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Lancamentos" sheetId="3" state="visible" r:id="rId3"/>
    <sheet xmlns:r="http://schemas.openxmlformats.org/officeDocument/2006/relationships" name="ContasMes" sheetId="4" state="visible" r:id="rId4"/>
    <sheet xmlns:r="http://schemas.openxmlformats.org/officeDocument/2006/relationships" name="Parcelar" sheetId="5" state="visible" r:id="rId5"/>
    <sheet xmlns:r="http://schemas.openxmlformats.org/officeDocument/2006/relationships" name="Orcamento" sheetId="6" state="visible" r:id="rId6"/>
    <sheet xmlns:r="http://schemas.openxmlformats.org/officeDocument/2006/relationships" name="Anual" sheetId="7" state="visible" r:id="rId7"/>
    <sheet xmlns:r="http://schemas.openxmlformats.org/officeDocument/2006/relationships" name="Historico" sheetId="8" state="visible" r:id="rId8"/>
    <sheet xmlns:r="http://schemas.openxmlformats.org/officeDocument/2006/relationships" name="Metas" sheetId="9" state="visible" r:id="rId9"/>
    <sheet xmlns:r="http://schemas.openxmlformats.org/officeDocument/2006/relationships" name="Atalhos" sheetId="10" state="visible" r:id="rId10"/>
    <sheet xmlns:r="http://schemas.openxmlformats.org/officeDocument/2006/relationships" name="Config" sheetId="11" state="visible" r:id="rId11"/>
    <sheet xmlns:r="http://schemas.openxmlformats.org/officeDocument/2006/relationships" name="Calc" sheetId="12" state="hidden" r:id="rId12"/>
  </sheets>
  <definedNames>
    <definedName name="CatReceita">OFFSET(Config!$B$6,0,0,MAX(1,SUMPRODUCT(--(LEN(Config!$B$6:$B$1000)&gt;0))),1)</definedName>
    <definedName name="CatDespesa">OFFSET(Config!$D$6,0,0,MAX(1,SUMPRODUCT(--(LEN(Config!$D$6:$D$1000)&gt;0))),1)</definedName>
    <definedName name="CatOutras">OFFSET(Config!$G$6,0,0,MAX(1,SUMPRODUCT(--(LEN(Config!$G$6:$G$1000)&gt;0))),1)</definedName>
    <definedName name="Potes">OFFSET(Config!$I$6,0,0,MAX(1,SUMPRODUCT(--(LEN(Config!$I$6:$I$1000)&gt;0))),1)</definedName>
    <definedName name="Pessoas">OFFSET(Config!$K$6,0,0,MAX(1,SUMPRODUCT(--(LEN(Config!$K$6:$K$1000)&gt;0))),1)</definedName>
    <definedName name="ListaContas">OFFSET(Config!$M$6,0,0,MAX(1,SUMPRODUCT(--(LEN(Config!$M$6:$M$1000)&gt;0))),1)</definedName>
    <definedName name="ListaCartoes">OFFSET(Config!$Q$6,0,0,MAX(1,SUMPRODUCT(--(LEN(Config!$Q$6:$Q$1000)&gt;0))),1)</definedName>
    <definedName name="FormasPagamento">OFFSET(Config!$W$6,0,0,MAX(1,SUMPRODUCT(--(LEN(Config!$W$6:$W$1000)&gt;0))),1)</definedName>
    <definedName name="Tipos">OFFSET(Config!$Y$6,0,0,MAX(1,SUMPRODUCT(--(LEN(Config!$Y$6:$Y$1000)&gt;0))),1)</definedName>
    <definedName name="Situacoes">OFFSET(Config!$AA$6,0,0,MAX(1,SUMPRODUCT(--(LEN(Config!$AA$6:$AA$1000)&gt;0))),1)</definedName>
    <definedName name="Anos">OFFSET(Config!$AG$6,0,0,MAX(1,SUMPRODUCT(--(LEN(Config!$AG$6:$AG$1000)&gt;0))),1)</definedName>
    <definedName name="Meses">Config!$AD$6:$AD$17</definedName>
    <definedName name="MesesAbrev">Config!$AE$6:$AE$17</definedName>
    <definedName name="ListaFavoritos">OFFSET(Atalhos!$B$6,0,0,MAX(1,SUMPRODUCT(--(LEN(Atalhos!$B$6:$B$515)&gt;0))),1)</definedName>
    <definedName name="MesNum">Calc!$B$2</definedName>
    <definedName name="Categorias">OFFSET(Calc!$AM$2,0,0,MAX(1,Calc!$B$20+Calc!$B$21+Calc!$B$27),1)</definedName>
    <definedName name="Contas">OFFSET(Calc!$AO$2,0,0,MAX(1,Calc!$B$22+Calc!$B$23),1)</definedName>
    <definedName name="MesSelecionado">Dashboard!$R$3</definedName>
    <definedName name="AnoSelecionado">Dashboard!$V$3</definedName>
    <definedName name="_xlnm.Print_Area" localSheetId="0">'Inicio'!$A$1:$Y$33</definedName>
    <definedName name="_xlnm.Print_Area" localSheetId="1">'Dashboard'!$A$1:$Y$66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R$&quot; #,##0.00;[Red]-&quot;R$&quot; #,##0.00"/>
    <numFmt numFmtId="165" formatCode="yyyy-mm-dd"/>
    <numFmt numFmtId="166" formatCode="dd/mm/yyyy"/>
    <numFmt numFmtId="167" formatCode="mm/yyyy"/>
    <numFmt numFmtId="168" formatCode="0.0%"/>
    <numFmt numFmtId="169" formatCode="&quot;R$&quot; #,##0.00;[Red]-&quot;R$&quot; #,##0.00;&quot;–&quot;"/>
    <numFmt numFmtId="170" formatCode="&quot;▲ &quot;0.0%;&quot;▼ &quot;0.0%;0.0%"/>
  </numFmts>
  <fonts count="27">
    <font>
      <name val="Calibri"/>
      <family val="2"/>
      <color theme="1"/>
      <sz val="11"/>
      <scheme val="minor"/>
    </font>
    <font>
      <name val="Calibri"/>
      <color rgb="FFE8EAED"/>
      <sz val="10"/>
    </font>
    <font>
      <name val="Calibri"/>
      <b val="1"/>
      <color rgb="FFE8EAED"/>
      <sz val="18"/>
    </font>
    <font>
      <name val="Calibri"/>
      <color rgb="FF9AA0A6"/>
      <sz val="9"/>
    </font>
    <font>
      <name val="Calibri"/>
      <b val="1"/>
      <color rgb="FF9AA0A6"/>
      <sz val="10"/>
    </font>
    <font>
      <name val="Calibri"/>
      <b val="1"/>
      <color rgb="FFFFFFFF"/>
      <sz val="10"/>
    </font>
    <font>
      <name val="Calibri"/>
      <color rgb="FF9AA0A6"/>
      <sz val="10"/>
    </font>
    <font>
      <name val="Calibri"/>
      <i val="1"/>
      <color rgb="FF9AA0A6"/>
      <sz val="9"/>
    </font>
    <font>
      <name val="Calibri"/>
      <b val="1"/>
      <color rgb="FFFFFFFF"/>
      <sz val="11"/>
    </font>
    <font>
      <name val="Calibri"/>
      <b val="1"/>
      <color rgb="FF4F8CFF"/>
      <sz val="11"/>
    </font>
    <font>
      <name val="Calibri"/>
      <b val="1"/>
      <color rgb="FFE8EAED"/>
      <sz val="10"/>
    </font>
    <font>
      <name val="Calibri"/>
      <b val="1"/>
      <color rgb="FF4F8CFF"/>
      <sz val="13"/>
    </font>
    <font>
      <name val="Calibri"/>
      <b val="1"/>
      <color rgb="FF9AA0A6"/>
      <sz val="9"/>
    </font>
    <font>
      <name val="Calibri"/>
      <b val="1"/>
      <color rgb="FFE8EAED"/>
      <sz val="13"/>
    </font>
    <font>
      <name val="Calibri"/>
      <b val="1"/>
      <color rgb="FFE8EAED"/>
      <sz val="11"/>
    </font>
    <font>
      <name val="Calibri"/>
      <color rgb="FF2ECC71"/>
      <sz val="10"/>
    </font>
    <font>
      <name val="Calibri"/>
      <color rgb="FFF5B942"/>
      <sz val="10"/>
    </font>
    <font>
      <name val="Calibri"/>
      <color rgb="FFFF5C5C"/>
      <sz val="10"/>
    </font>
    <font>
      <name val="Calibri"/>
      <b val="1"/>
      <color rgb="FF4F8CFF"/>
      <sz val="14"/>
    </font>
    <font>
      <name val="Calibri"/>
      <b val="1"/>
      <color rgb="FF2ECC71"/>
      <sz val="10"/>
    </font>
    <font>
      <name val="Calibri"/>
      <b val="1"/>
      <color rgb="FFFF5C5C"/>
      <sz val="10"/>
    </font>
    <font>
      <name val="Calibri"/>
      <b val="1"/>
      <color rgb="FFE8EAED"/>
      <sz val="20"/>
    </font>
    <font>
      <name val="Calibri"/>
      <b val="1"/>
      <color rgb="FF4F8CFF"/>
      <sz val="10"/>
    </font>
    <font>
      <name val="Calibri"/>
      <b val="1"/>
      <color rgb="FFE8EAED"/>
      <sz val="22"/>
    </font>
    <font>
      <name val="Calibri"/>
      <b val="1"/>
      <color rgb="FFE8EAED"/>
      <sz val="12"/>
    </font>
    <font>
      <name val="Calibri"/>
      <b val="1"/>
      <color rgb="FFFFFFFF"/>
      <sz val="12"/>
    </font>
    <font>
      <name val="Calibri"/>
      <i val="1"/>
      <color rgb="FF9AA0A6"/>
      <sz val="10"/>
    </font>
  </fonts>
  <fills count="12">
    <fill>
      <patternFill/>
    </fill>
    <fill>
      <patternFill patternType="gray125"/>
    </fill>
    <fill>
      <patternFill patternType="solid">
        <fgColor rgb="FF121417"/>
        <bgColor rgb="FF121417"/>
      </patternFill>
    </fill>
    <fill>
      <patternFill patternType="solid">
        <fgColor rgb="FF4F8CFF"/>
        <bgColor rgb="FF4F8CFF"/>
      </patternFill>
    </fill>
    <fill>
      <patternFill patternType="solid">
        <fgColor rgb="FF1E2228"/>
        <bgColor rgb="FF1E2228"/>
      </patternFill>
    </fill>
    <fill>
      <patternFill patternType="solid">
        <fgColor rgb="FF886EDF"/>
        <bgColor rgb="FF886EDF"/>
      </patternFill>
    </fill>
    <fill>
      <patternFill patternType="solid">
        <fgColor rgb="FF262B33"/>
        <bgColor rgb="FF262B33"/>
      </patternFill>
    </fill>
    <fill>
      <patternFill patternType="solid">
        <fgColor rgb="FF2ECC71"/>
        <bgColor rgb="FF2ECC71"/>
      </patternFill>
    </fill>
    <fill>
      <patternFill patternType="solid">
        <fgColor rgb="FF9B7BFF"/>
        <bgColor rgb="FF9B7BFF"/>
      </patternFill>
    </fill>
    <fill>
      <patternFill patternType="solid">
        <fgColor rgb="FF3E67B4"/>
        <bgColor rgb="FF3E67B4"/>
      </patternFill>
    </fill>
    <fill>
      <patternFill patternType="solid">
        <fgColor rgb="FFBF933C"/>
        <bgColor rgb="FFBF933C"/>
      </patternFill>
    </fill>
    <fill>
      <patternFill patternType="solid">
        <fgColor rgb="FF6F5CB4"/>
        <bgColor rgb="FF6F5CB4"/>
      </patternFill>
    </fill>
  </fills>
  <borders count="17">
    <border>
      <left/>
      <right/>
      <top/>
      <bottom/>
      <diagonal/>
    </border>
    <border/>
    <border>
      <bottom style="thin">
        <color rgb="FF2C323B"/>
      </bottom>
    </border>
    <border>
      <top style="thick">
        <color rgb="FF4F8CFF"/>
      </top>
    </border>
    <border>
      <left/>
      <right/>
      <top style="thick">
        <color rgb="FF4F8CFF"/>
      </top>
      <bottom/>
      <diagonal/>
    </border>
    <border>
      <top style="thick">
        <color rgb="FF9AA0A6"/>
      </top>
    </border>
    <border>
      <top style="thick">
        <color rgb="FF2ECC71"/>
      </top>
    </border>
    <border>
      <top style="thick">
        <color rgb="FFFF5C5C"/>
      </top>
    </border>
    <border>
      <bottom style="thin">
        <color rgb="FF4F8CFF"/>
      </bottom>
    </border>
    <border>
      <top style="thin">
        <color rgb="FF4F8CFF"/>
      </top>
    </border>
    <border>
      <top style="thin">
        <color rgb="FF2ECC71"/>
      </top>
    </border>
    <border>
      <top style="thin">
        <color rgb="FFFF5C5C"/>
      </top>
    </border>
    <border>
      <bottom style="medium">
        <color rgb="FF4F8CFF"/>
      </bottom>
    </border>
    <border>
      <left/>
      <right/>
      <top/>
      <bottom style="medium">
        <color rgb="FF4F8CFF"/>
      </bottom>
      <diagonal/>
    </border>
    <border>
      <top style="thick">
        <color rgb="FF9B7BFF"/>
      </top>
    </border>
    <border>
      <top style="thick">
        <color rgb="FFF5B942"/>
      </top>
    </border>
    <border>
      <left/>
      <right/>
      <top/>
      <bottom style="thin">
        <color rgb="FF2C323B"/>
      </bottom>
      <diagonal/>
    </border>
  </borders>
  <cellStyleXfs count="1">
    <xf numFmtId="0" fontId="0" fillId="0" borderId="0"/>
  </cellStyleXfs>
  <cellXfs count="128">
    <xf numFmtId="0" fontId="0" fillId="0" borderId="0" pivotButton="0" quotePrefix="0" xfId="0"/>
    <xf numFmtId="0" fontId="1" fillId="2" borderId="0" pivotButton="0" quotePrefix="0" xfId="0"/>
    <xf numFmtId="0" fontId="21" fillId="2" borderId="0" applyAlignment="1" pivotButton="0" quotePrefix="0" xfId="0">
      <alignment vertical="bottom"/>
    </xf>
    <xf numFmtId="0" fontId="12" fillId="2" borderId="0" applyAlignment="1" pivotButton="0" quotePrefix="0" xfId="0">
      <alignment vertical="bottom" indent="1"/>
    </xf>
    <xf numFmtId="0" fontId="3" fillId="2" borderId="0" applyAlignment="1" pivotButton="0" quotePrefix="0" xfId="0">
      <alignment vertical="center"/>
    </xf>
    <xf numFmtId="0" fontId="11" fillId="6" borderId="12" applyAlignment="1" pivotButton="0" quotePrefix="0" xfId="0">
      <alignment horizontal="center" vertical="center"/>
    </xf>
    <xf numFmtId="0" fontId="0" fillId="2" borderId="13" pivotButton="0" quotePrefix="0" xfId="0"/>
    <xf numFmtId="0" fontId="4" fillId="4" borderId="0" applyAlignment="1" pivotButton="0" quotePrefix="0" xfId="0">
      <alignment horizontal="center" vertical="center"/>
    </xf>
    <xf numFmtId="0" fontId="0" fillId="2" borderId="0" pivotButton="0" quotePrefix="0" xfId="0"/>
    <xf numFmtId="0" fontId="25" fillId="7" borderId="0" applyAlignment="1" pivotButton="0" quotePrefix="0" xfId="0">
      <alignment horizontal="center" vertical="center"/>
    </xf>
    <xf numFmtId="0" fontId="25" fillId="3" borderId="0" applyAlignment="1" pivotButton="0" quotePrefix="0" xfId="0">
      <alignment horizontal="center" vertical="center"/>
    </xf>
    <xf numFmtId="0" fontId="25" fillId="8" borderId="0" applyAlignment="1" pivotButton="0" quotePrefix="0" xfId="0">
      <alignment horizontal="center" vertical="center"/>
    </xf>
    <xf numFmtId="0" fontId="25" fillId="9" borderId="0" applyAlignment="1" pivotButton="0" quotePrefix="0" xfId="0">
      <alignment horizontal="center" vertical="center"/>
    </xf>
    <xf numFmtId="0" fontId="25" fillId="10" borderId="0" applyAlignment="1" pivotButton="0" quotePrefix="0" xfId="0">
      <alignment horizontal="center" vertical="center"/>
    </xf>
    <xf numFmtId="0" fontId="25" fillId="11" borderId="0" applyAlignment="1" pivotButton="0" quotePrefix="0" xfId="0">
      <alignment horizontal="center" vertical="center"/>
    </xf>
    <xf numFmtId="0" fontId="1" fillId="4" borderId="3" pivotButton="0" quotePrefix="0" xfId="0"/>
    <xf numFmtId="0" fontId="1" fillId="4" borderId="6" pivotButton="0" quotePrefix="0" xfId="0"/>
    <xf numFmtId="0" fontId="1" fillId="4" borderId="15" pivotButton="0" quotePrefix="0" xfId="0"/>
    <xf numFmtId="0" fontId="1" fillId="4" borderId="14" pivotButton="0" quotePrefix="0" xfId="0"/>
    <xf numFmtId="0" fontId="12" fillId="4" borderId="0" applyAlignment="1" pivotButton="0" quotePrefix="0" xfId="0">
      <alignment horizontal="left" vertical="center" indent="1"/>
    </xf>
    <xf numFmtId="164" fontId="2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left" vertical="center" indent="1"/>
    </xf>
    <xf numFmtId="168" fontId="2" fillId="4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168" fontId="12" fillId="4" borderId="0" applyAlignment="1" pivotButton="0" quotePrefix="0" xfId="0">
      <alignment horizontal="right" vertical="center" indent="1"/>
    </xf>
    <xf numFmtId="164" fontId="12" fillId="4" borderId="0" applyAlignment="1" pivotButton="0" quotePrefix="0" xfId="0">
      <alignment horizontal="right" vertical="center" indent="1"/>
    </xf>
    <xf numFmtId="1" fontId="12" fillId="4" borderId="0" applyAlignment="1" pivotButton="0" quotePrefix="0" xfId="0">
      <alignment horizontal="right" vertical="center" indent="1"/>
    </xf>
    <xf numFmtId="0" fontId="1" fillId="4" borderId="0" pivotButton="0" quotePrefix="0" xfId="0"/>
    <xf numFmtId="0" fontId="24" fillId="2" borderId="0" applyAlignment="1" pivotButton="0" quotePrefix="0" xfId="0">
      <alignment vertical="center"/>
    </xf>
    <xf numFmtId="0" fontId="5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right" vertical="center" indent="1"/>
    </xf>
    <xf numFmtId="166" fontId="6" fillId="4" borderId="2" applyAlignment="1" pivotButton="0" quotePrefix="0" xfId="0">
      <alignment horizontal="left" vertical="center" indent="1"/>
    </xf>
    <xf numFmtId="0" fontId="0" fillId="2" borderId="16" pivotButton="0" quotePrefix="0" xfId="0"/>
    <xf numFmtId="0" fontId="1" fillId="4" borderId="2" applyAlignment="1" pivotButton="0" quotePrefix="0" xfId="0">
      <alignment horizontal="left" vertical="center" indent="1"/>
    </xf>
    <xf numFmtId="164" fontId="10" fillId="4" borderId="2" applyAlignment="1" pivotButton="0" quotePrefix="0" xfId="0">
      <alignment horizontal="right" vertical="center" indent="1"/>
    </xf>
    <xf numFmtId="0" fontId="4" fillId="4" borderId="2" applyAlignment="1" pivotButton="0" quotePrefix="0" xfId="0">
      <alignment horizontal="left" vertical="center" indent="1"/>
    </xf>
    <xf numFmtId="0" fontId="6" fillId="4" borderId="2" applyAlignment="1" pivotButton="0" quotePrefix="0" xfId="0">
      <alignment horizontal="left" vertical="center" indent="1"/>
    </xf>
    <xf numFmtId="0" fontId="24" fillId="2" borderId="0" pivotButton="0" quotePrefix="0" xfId="0"/>
    <xf numFmtId="0" fontId="26" fillId="2" borderId="0" pivotButton="0" quotePrefix="0" xfId="0"/>
    <xf numFmtId="0" fontId="22" fillId="6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1" fillId="4" borderId="7" pivotButton="0" quotePrefix="0" xfId="0"/>
    <xf numFmtId="164" fontId="23" fillId="4" borderId="0" applyAlignment="1" pivotButton="0" quotePrefix="0" xfId="0">
      <alignment horizontal="left" vertical="center" indent="1"/>
    </xf>
    <xf numFmtId="168" fontId="23" fillId="4" borderId="0" applyAlignment="1" pivotButton="0" quotePrefix="0" xfId="0">
      <alignment horizontal="left" vertical="center" indent="1"/>
    </xf>
    <xf numFmtId="170" fontId="23" fillId="4" borderId="0" applyAlignment="1" pivotButton="0" quotePrefix="0" xfId="0">
      <alignment horizontal="left" vertical="center" indent="1"/>
    </xf>
    <xf numFmtId="164" fontId="20" fillId="4" borderId="2" applyAlignment="1" pivotButton="0" quotePrefix="0" xfId="0">
      <alignment horizontal="right" vertical="center" indent="1"/>
    </xf>
    <xf numFmtId="164" fontId="6" fillId="4" borderId="2" applyAlignment="1" pivotButton="0" quotePrefix="0" xfId="0">
      <alignment horizontal="right" vertical="center" indent="1"/>
    </xf>
    <xf numFmtId="164" fontId="1" fillId="4" borderId="2" applyAlignment="1" pivotButton="0" quotePrefix="0" xfId="0">
      <alignment horizontal="right" vertical="center" indent="1"/>
    </xf>
    <xf numFmtId="168" fontId="10" fillId="4" borderId="2" applyAlignment="1" pivotButton="0" quotePrefix="0" xfId="0">
      <alignment horizontal="right" vertical="center" indent="1"/>
    </xf>
    <xf numFmtId="0" fontId="4" fillId="2" borderId="0" pivotButton="0" quotePrefix="0" xfId="0"/>
    <xf numFmtId="0" fontId="3" fillId="2" borderId="0" pivotButton="0" quotePrefix="0" xfId="0"/>
    <xf numFmtId="0" fontId="2" fillId="2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left" vertical="center" wrapText="1" indent="1"/>
    </xf>
    <xf numFmtId="166" fontId="1" fillId="4" borderId="2" applyAlignment="1" pivotButton="0" quotePrefix="0" xfId="0">
      <alignment horizontal="left" vertical="center" indent="1"/>
    </xf>
    <xf numFmtId="0" fontId="6" fillId="4" borderId="2" applyAlignment="1" pivotButton="0" quotePrefix="0" xfId="0">
      <alignment horizontal="center" vertical="center"/>
    </xf>
    <xf numFmtId="167" fontId="6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 indent="1"/>
    </xf>
    <xf numFmtId="166" fontId="0" fillId="2" borderId="0" pivotButton="0" quotePrefix="0" xfId="0"/>
    <xf numFmtId="164" fontId="0" fillId="2" borderId="0" applyAlignment="1" pivotButton="0" quotePrefix="0" xfId="0">
      <alignment horizontal="right" vertical="center" indent="1"/>
    </xf>
    <xf numFmtId="167" fontId="0" fillId="2" borderId="0" pivotButton="0" quotePrefix="0" xfId="0"/>
    <xf numFmtId="0" fontId="11" fillId="2" borderId="0" applyAlignment="1" pivotButton="0" quotePrefix="0" xfId="0">
      <alignment horizontal="right" vertical="center"/>
    </xf>
    <xf numFmtId="0" fontId="12" fillId="4" borderId="3" applyAlignment="1" pivotButton="0" quotePrefix="0" xfId="0">
      <alignment horizontal="left" vertical="bottom" indent="1"/>
    </xf>
    <xf numFmtId="0" fontId="0" fillId="2" borderId="4" pivotButton="0" quotePrefix="0" xfId="0"/>
    <xf numFmtId="0" fontId="12" fillId="4" borderId="5" applyAlignment="1" pivotButton="0" quotePrefix="0" xfId="0">
      <alignment horizontal="left" vertical="bottom" indent="1"/>
    </xf>
    <xf numFmtId="0" fontId="12" fillId="4" borderId="6" applyAlignment="1" pivotButton="0" quotePrefix="0" xfId="0">
      <alignment horizontal="left" vertical="bottom" indent="1"/>
    </xf>
    <xf numFmtId="0" fontId="12" fillId="4" borderId="7" applyAlignment="1" pivotButton="0" quotePrefix="0" xfId="0">
      <alignment horizontal="left" vertical="bottom" indent="1"/>
    </xf>
    <xf numFmtId="0" fontId="13" fillId="4" borderId="0" applyAlignment="1" pivotButton="0" quotePrefix="0" xfId="0">
      <alignment horizontal="left" vertical="center" indent="1"/>
    </xf>
    <xf numFmtId="164" fontId="13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1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 indent="1"/>
    </xf>
    <xf numFmtId="166" fontId="1" fillId="6" borderId="2" applyAlignment="1" pivotButton="0" quotePrefix="0" xfId="0">
      <alignment horizontal="left" vertical="center" indent="1"/>
    </xf>
    <xf numFmtId="0" fontId="1" fillId="6" borderId="2" applyAlignment="1" pivotButton="0" quotePrefix="0" xfId="0">
      <alignment horizontal="left" vertical="center" indent="1"/>
    </xf>
    <xf numFmtId="164" fontId="1" fillId="6" borderId="2" applyAlignment="1" pivotButton="0" quotePrefix="0" xfId="0">
      <alignment horizontal="right" vertical="center" indent="1"/>
    </xf>
    <xf numFmtId="0" fontId="6" fillId="4" borderId="0" applyAlignment="1" pivotButton="0" quotePrefix="0" xfId="0">
      <alignment horizontal="left" vertical="center" indent="1"/>
    </xf>
    <xf numFmtId="0" fontId="9" fillId="6" borderId="8" applyAlignment="1" pivotButton="0" quotePrefix="0" xfId="0">
      <alignment horizontal="left" vertical="center" indent="1"/>
    </xf>
    <xf numFmtId="0" fontId="1" fillId="6" borderId="2" applyAlignment="1" pivotButton="0" quotePrefix="0" xfId="0">
      <alignment horizontal="center" vertical="center"/>
    </xf>
    <xf numFmtId="164" fontId="9" fillId="6" borderId="8" applyAlignment="1" pivotButton="0" quotePrefix="0" xfId="0">
      <alignment horizontal="left" vertical="center" indent="1"/>
    </xf>
    <xf numFmtId="166" fontId="9" fillId="6" borderId="8" applyAlignment="1" pivotButton="0" quotePrefix="0" xfId="0">
      <alignment horizontal="left" vertical="center" indent="1"/>
    </xf>
    <xf numFmtId="164" fontId="14" fillId="4" borderId="0" applyAlignment="1" pivotButton="0" quotePrefix="0" xfId="0">
      <alignment horizontal="left" vertical="center" indent="1"/>
    </xf>
    <xf numFmtId="167" fontId="14" fillId="4" borderId="0" applyAlignment="1" pivotButton="0" quotePrefix="0" xfId="0">
      <alignment horizontal="left" vertical="center" indent="1"/>
    </xf>
    <xf numFmtId="0" fontId="9" fillId="2" borderId="0" applyAlignment="1" pivotButton="0" quotePrefix="0" xfId="0">
      <alignment vertical="center"/>
    </xf>
    <xf numFmtId="0" fontId="10" fillId="2" borderId="0" pivotButton="0" quotePrefix="0" xfId="0"/>
    <xf numFmtId="168" fontId="1" fillId="4" borderId="2" applyAlignment="1" pivotButton="0" quotePrefix="0" xfId="0">
      <alignment horizontal="right" vertical="center" indent="1"/>
    </xf>
    <xf numFmtId="0" fontId="15" fillId="2" borderId="0" pivotButton="0" quotePrefix="0" xfId="0"/>
    <xf numFmtId="0" fontId="16" fillId="2" borderId="0" pivotButton="0" quotePrefix="0" xfId="0"/>
    <xf numFmtId="0" fontId="17" fillId="2" borderId="0" pivotButton="0" quotePrefix="0" xfId="0"/>
    <xf numFmtId="0" fontId="7" fillId="2" borderId="0" applyAlignment="1" pivotButton="0" quotePrefix="0" xfId="0">
      <alignment vertical="top" wrapText="1"/>
    </xf>
    <xf numFmtId="0" fontId="10" fillId="6" borderId="9" applyAlignment="1" pivotButton="0" quotePrefix="0" xfId="0">
      <alignment horizontal="left" vertical="center" indent="1"/>
    </xf>
    <xf numFmtId="164" fontId="10" fillId="6" borderId="9" applyAlignment="1" pivotButton="0" quotePrefix="0" xfId="0">
      <alignment horizontal="right" vertical="center" indent="1"/>
    </xf>
    <xf numFmtId="168" fontId="10" fillId="6" borderId="9" applyAlignment="1" pivotButton="0" quotePrefix="0" xfId="0">
      <alignment horizontal="right" vertical="center" indent="1"/>
    </xf>
    <xf numFmtId="0" fontId="18" fillId="2" borderId="0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 indent="1"/>
    </xf>
    <xf numFmtId="0" fontId="5" fillId="3" borderId="1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indent="1"/>
    </xf>
    <xf numFmtId="0" fontId="19" fillId="6" borderId="0" pivotButton="0" quotePrefix="0" xfId="0"/>
    <xf numFmtId="169" fontId="1" fillId="4" borderId="2" applyAlignment="1" pivotButton="0" quotePrefix="0" xfId="0">
      <alignment horizontal="right" vertical="center" indent="1"/>
    </xf>
    <xf numFmtId="0" fontId="1" fillId="4" borderId="2" pivotButton="0" quotePrefix="0" xfId="0"/>
    <xf numFmtId="169" fontId="19" fillId="6" borderId="10" applyAlignment="1" pivotButton="0" quotePrefix="0" xfId="0">
      <alignment horizontal="left" vertical="center" indent="1"/>
    </xf>
    <xf numFmtId="169" fontId="19" fillId="6" borderId="10" applyAlignment="1" pivotButton="0" quotePrefix="0" xfId="0">
      <alignment horizontal="right" vertical="center" indent="1"/>
    </xf>
    <xf numFmtId="169" fontId="19" fillId="6" borderId="10" pivotButton="0" quotePrefix="0" xfId="0"/>
    <xf numFmtId="0" fontId="20" fillId="6" borderId="0" applyAlignment="1" pivotButton="0" quotePrefix="0" xfId="0">
      <alignment horizontal="left" vertical="center" indent="1"/>
    </xf>
    <xf numFmtId="0" fontId="20" fillId="6" borderId="0" pivotButton="0" quotePrefix="0" xfId="0"/>
    <xf numFmtId="169" fontId="20" fillId="6" borderId="11" applyAlignment="1" pivotButton="0" quotePrefix="0" xfId="0">
      <alignment horizontal="left" vertical="center" indent="1"/>
    </xf>
    <xf numFmtId="169" fontId="20" fillId="6" borderId="11" applyAlignment="1" pivotButton="0" quotePrefix="0" xfId="0">
      <alignment horizontal="right" vertical="center" indent="1"/>
    </xf>
    <xf numFmtId="169" fontId="20" fillId="6" borderId="11" pivotButton="0" quotePrefix="0" xfId="0"/>
    <xf numFmtId="169" fontId="14" fillId="6" borderId="9" applyAlignment="1" pivotButton="0" quotePrefix="0" xfId="0">
      <alignment horizontal="left" vertical="center" indent="1"/>
    </xf>
    <xf numFmtId="169" fontId="14" fillId="6" borderId="9" applyAlignment="1" pivotButton="0" quotePrefix="0" xfId="0">
      <alignment horizontal="right" vertical="center" indent="1"/>
    </xf>
    <xf numFmtId="169" fontId="14" fillId="6" borderId="9" pivotButton="0" quotePrefix="0" xfId="0"/>
    <xf numFmtId="168" fontId="6" fillId="4" borderId="0" applyAlignment="1" pivotButton="0" quotePrefix="0" xfId="0">
      <alignment horizontal="left" vertical="center" indent="1"/>
    </xf>
    <xf numFmtId="168" fontId="6" fillId="4" borderId="0" applyAlignment="1" pivotButton="0" quotePrefix="0" xfId="0">
      <alignment horizontal="right" vertical="center" indent="1"/>
    </xf>
    <xf numFmtId="168" fontId="6" fillId="4" borderId="0" pivotButton="0" quotePrefix="0" xfId="0"/>
    <xf numFmtId="0" fontId="5" fillId="3" borderId="1" applyAlignment="1" pivotButton="0" quotePrefix="0" xfId="0">
      <alignment horizontal="right" vertical="center" wrapText="1" indent="1"/>
    </xf>
    <xf numFmtId="167" fontId="1" fillId="4" borderId="2" applyAlignment="1" pivotButton="0" quotePrefix="0" xfId="0">
      <alignment horizontal="left" vertical="center" indent="1"/>
    </xf>
    <xf numFmtId="169" fontId="10" fillId="4" borderId="2" applyAlignment="1" pivotButton="0" quotePrefix="0" xfId="0">
      <alignment horizontal="right" vertical="center" indent="1"/>
    </xf>
    <xf numFmtId="166" fontId="1" fillId="4" borderId="2" applyAlignment="1" pivotButton="0" quotePrefix="0" xfId="0">
      <alignment horizontal="center" vertical="center"/>
    </xf>
    <xf numFmtId="0" fontId="10" fillId="6" borderId="9" applyAlignment="1" pivotButton="0" quotePrefix="0" xfId="0">
      <alignment horizontal="center" vertical="center"/>
    </xf>
    <xf numFmtId="166" fontId="10" fillId="6" borderId="9" applyAlignment="1" pivotButton="0" quotePrefix="0" xfId="0">
      <alignment horizontal="center" vertical="center"/>
    </xf>
    <xf numFmtId="0" fontId="7" fillId="2" borderId="0" pivotButton="0" quotePrefix="0" xfId="0"/>
    <xf numFmtId="164" fontId="0" fillId="2" borderId="0" pivotButton="0" quotePrefix="0" xfId="0"/>
    <xf numFmtId="164" fontId="1" fillId="4" borderId="2" applyAlignment="1" pivotButton="0" quotePrefix="0" xfId="0">
      <alignment horizontal="left" vertical="center" indent="1"/>
    </xf>
    <xf numFmtId="0" fontId="10" fillId="0" borderId="0" pivotButton="0" quotePrefix="0" xfId="0"/>
    <xf numFmtId="166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dxfs count="9">
    <dxf>
      <font>
        <b val="1"/>
        <color rgb="FFFF5C5C"/>
      </font>
    </dxf>
    <dxf>
      <font>
        <b val="1"/>
        <color rgb="FF2ECC71"/>
      </font>
    </dxf>
    <dxf>
      <font>
        <b val="1"/>
        <color rgb="FFF5B942"/>
      </font>
    </dxf>
    <dxf>
      <font>
        <color rgb="FFFF5C5C"/>
      </font>
    </dxf>
    <dxf>
      <fill>
        <patternFill patternType="solid">
          <fgColor rgb="FF7F6634"/>
          <bgColor rgb="FF7F6634"/>
        </patternFill>
      </fill>
    </dxf>
    <dxf>
      <font>
        <color rgb="FF2ECC71"/>
      </font>
    </dxf>
    <dxf>
      <font>
        <color rgb="FF4F8CFF"/>
      </font>
    </dxf>
    <dxf>
      <font>
        <b val="1"/>
        <color rgb="FFE8EAED"/>
      </font>
      <fill>
        <patternFill patternType="solid">
          <fgColor rgb="FF9A4245"/>
          <bgColor rgb="FF9A4245"/>
        </patternFill>
      </fill>
    </dxf>
    <dxf>
      <font>
        <b val="1"/>
        <color rgb="FFF5B942"/>
      </font>
      <fill>
        <patternFill patternType="solid">
          <fgColor rgb="FF7F6634"/>
          <bgColor rgb="FF7F663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E8EAED"/>
                </a:solidFill>
                <a:latin typeface="Calibri"/>
              </a:defRPr>
            </a:pPr>
            <a:r>
              <a:rPr sz="1200" b="1">
                <a:solidFill>
                  <a:srgbClr val="E8EAED"/>
                </a:solidFill>
                <a:latin typeface="Calibri"/>
              </a:rPr>
              <a:t>Gastos por categoria no mês</a:t>
            </a:r>
          </a:p>
        </rich>
      </tx>
      <overlay val="0"/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F8CFF"/>
              </a:solidFill>
              <a:ln xmlns:a="http://schemas.openxmlformats.org/drawingml/2006/main" w="19050">
                <a:solidFill>
                  <a:srgbClr val="1E2228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ECC71"/>
              </a:solidFill>
              <a:ln xmlns:a="http://schemas.openxmlformats.org/drawingml/2006/main" w="19050">
                <a:solidFill>
                  <a:srgbClr val="1E2228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5B942"/>
              </a:solidFill>
              <a:ln xmlns:a="http://schemas.openxmlformats.org/drawingml/2006/main" w="19050">
                <a:solidFill>
                  <a:srgbClr val="1E2228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F5C5C"/>
              </a:solidFill>
              <a:ln xmlns:a="http://schemas.openxmlformats.org/drawingml/2006/main" w="19050">
                <a:solidFill>
                  <a:srgbClr val="1E2228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9B7BFF"/>
              </a:solidFill>
              <a:ln xmlns:a="http://schemas.openxmlformats.org/drawingml/2006/main" w="19050">
                <a:solidFill>
                  <a:srgbClr val="1E2228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2EC4B6"/>
              </a:solidFill>
              <a:ln xmlns:a="http://schemas.openxmlformats.org/drawingml/2006/main" w="19050">
                <a:solidFill>
                  <a:srgbClr val="1E2228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FF9F43"/>
              </a:solidFill>
              <a:ln xmlns:a="http://schemas.openxmlformats.org/drawingml/2006/main" w="19050">
                <a:solidFill>
                  <a:srgbClr val="1E2228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8A94A6"/>
              </a:solidFill>
              <a:ln xmlns:a="http://schemas.openxmlformats.org/drawingml/2006/main" w="19050">
                <a:solidFill>
                  <a:srgbClr val="1E2228"/>
                </a:solidFill>
                <a:prstDash val="solid"/>
              </a:ln>
            </spPr>
          </dPt>
          <cat>
            <numRef>
              <f>'Calc'!$W$2:$W$9</f>
            </numRef>
          </cat>
          <val>
            <numRef>
              <f>'Calc'!$X$2:$X$9</f>
            </numRef>
          </val>
        </ser>
        <firstSliceAng val="0"/>
        <holeSize val="58"/>
      </doughnutChart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E8EAED"/>
              </a:solidFill>
              <a:latin typeface="Calibri"/>
            </a:defRPr>
          </a:pPr>
          <a:r>
            <a:t/>
          </a:r>
          <a:endParaRPr sz="900" b="0">
            <a:solidFill>
              <a:srgbClr val="E8EAED"/>
            </a:solidFill>
            <a:latin typeface="Calibri"/>
          </a:endParaRPr>
        </a:p>
      </txPr>
    </legend>
    <plotVisOnly val="1"/>
    <dispBlanksAs val="gap"/>
  </chart>
  <spPr>
    <a:solidFill xmlns:a="http://schemas.openxmlformats.org/drawingml/2006/main">
      <a:srgbClr val="1E2228"/>
    </a:solidFill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E8EAED"/>
                </a:solidFill>
                <a:latin typeface="Calibri"/>
              </a:defRPr>
            </a:pPr>
            <a:r>
              <a:rPr sz="1200" b="1">
                <a:solidFill>
                  <a:srgbClr val="E8EAED"/>
                </a:solidFill>
                <a:latin typeface="Calibri"/>
              </a:rPr>
              <a:t>Receitas × Gastos — últimos 12 meses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'Calc'!F1</f>
            </strRef>
          </tx>
          <spPr>
            <a:solidFill xmlns:a="http://schemas.openxmlformats.org/drawingml/2006/main">
              <a:srgbClr val="2ECC71"/>
            </a:solidFill>
            <a:ln xmlns:a="http://schemas.openxmlformats.org/drawingml/2006/main">
              <a:noFill/>
              <a:prstDash val="solid"/>
            </a:ln>
          </spPr>
          <cat>
            <numRef>
              <f>'Calc'!$E$2:$E$13</f>
            </numRef>
          </cat>
          <val>
            <numRef>
              <f>'Calc'!$F$2:$F$13</f>
            </numRef>
          </val>
        </ser>
        <ser>
          <idx val="1"/>
          <order val="1"/>
          <tx>
            <strRef>
              <f>'Calc'!G1</f>
            </strRef>
          </tx>
          <spPr>
            <a:solidFill xmlns:a="http://schemas.openxmlformats.org/drawingml/2006/main">
              <a:srgbClr val="FF5C5C"/>
            </a:solidFill>
            <a:ln xmlns:a="http://schemas.openxmlformats.org/drawingml/2006/main">
              <a:noFill/>
              <a:prstDash val="solid"/>
            </a:ln>
          </spPr>
          <cat>
            <numRef>
              <f>'Calc'!$E$2:$E$13</f>
            </numRef>
          </cat>
          <val>
            <numRef>
              <f>'Calc'!$G$2:$G$13</f>
            </numRef>
          </val>
        </ser>
        <gapWidth val="70"/>
        <overlap val="-1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2C323B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50" b="0">
                <a:solidFill>
                  <a:srgbClr val="9AA0A6"/>
                </a:solidFill>
                <a:latin typeface="Calibri"/>
              </a:defRPr>
            </a:pPr>
            <a:r>
              <a:t/>
            </a:r>
            <a:endParaRPr sz="850" b="0">
              <a:solidFill>
                <a:srgbClr val="9AA0A6"/>
              </a:solidFill>
              <a:latin typeface="Calibr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2A2F37"/>
              </a:solidFill>
              <a:prstDash val="solid"/>
            </a:ln>
          </spPr>
        </majorGridlines>
        <numFmt formatCode="&quot;R$&quot; #,##0" sourceLinked="0"/>
        <majorTickMark val="none"/>
        <minorTickMark val="none"/>
        <spPr>
          <a:ln xmlns:a="http://schemas.openxmlformats.org/drawingml/2006/main">
            <a:solidFill>
              <a:srgbClr val="2C323B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50" b="0">
                <a:solidFill>
                  <a:srgbClr val="9AA0A6"/>
                </a:solidFill>
                <a:latin typeface="Calibri"/>
              </a:defRPr>
            </a:pPr>
            <a:r>
              <a:t/>
            </a:r>
            <a:endParaRPr sz="850" b="0">
              <a:solidFill>
                <a:srgbClr val="9AA0A6"/>
              </a:solidFill>
              <a:latin typeface="Calibri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E8EAED"/>
              </a:solidFill>
              <a:latin typeface="Calibri"/>
            </a:defRPr>
          </a:pPr>
          <a:r>
            <a:t/>
          </a:r>
          <a:endParaRPr sz="900" b="0">
            <a:solidFill>
              <a:srgbClr val="E8EAED"/>
            </a:solidFill>
            <a:latin typeface="Calibri"/>
          </a:endParaRPr>
        </a:p>
      </txPr>
    </legend>
    <plotVisOnly val="1"/>
    <dispBlanksAs val="gap"/>
  </chart>
  <spPr>
    <a:solidFill xmlns:a="http://schemas.openxmlformats.org/drawingml/2006/main">
      <a:srgbClr val="1E2228"/>
    </a:solidFill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E8EAED"/>
                </a:solidFill>
                <a:latin typeface="Calibri"/>
              </a:defRPr>
            </a:pPr>
            <a:r>
              <a:rPr sz="1200" b="1">
                <a:solidFill>
                  <a:srgbClr val="E8EAED"/>
                </a:solidFill>
                <a:latin typeface="Calibri"/>
              </a:rPr>
              <a:t>Saldo acumulado no ano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'Calc'!O1</f>
            </strRef>
          </tx>
          <spPr>
            <a:ln xmlns:a="http://schemas.openxmlformats.org/drawingml/2006/main" w="31750">
              <a:solidFill>
                <a:srgbClr val="4F8CFF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4F8CFF"/>
              </a:solidFill>
              <a:ln xmlns:a="http://schemas.openxmlformats.org/drawingml/2006/main">
                <a:solidFill>
                  <a:srgbClr val="1E2228"/>
                </a:solidFill>
                <a:prstDash val="solid"/>
              </a:ln>
            </spPr>
          </marker>
          <cat>
            <numRef>
              <f>'Calc'!$K$2:$K$13</f>
            </numRef>
          </cat>
          <val>
            <numRef>
              <f>'Calc'!$O$2:$O$13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2C323B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50" b="0">
                <a:solidFill>
                  <a:srgbClr val="9AA0A6"/>
                </a:solidFill>
                <a:latin typeface="Calibri"/>
              </a:defRPr>
            </a:pPr>
            <a:r>
              <a:t/>
            </a:r>
            <a:endParaRPr sz="850" b="0">
              <a:solidFill>
                <a:srgbClr val="9AA0A6"/>
              </a:solidFill>
              <a:latin typeface="Calibr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2A2F37"/>
              </a:solidFill>
              <a:prstDash val="solid"/>
            </a:ln>
          </spPr>
        </majorGridlines>
        <numFmt formatCode="&quot;R$&quot; #,##0" sourceLinked="0"/>
        <majorTickMark val="none"/>
        <minorTickMark val="none"/>
        <spPr>
          <a:ln xmlns:a="http://schemas.openxmlformats.org/drawingml/2006/main">
            <a:solidFill>
              <a:srgbClr val="2C323B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50" b="0">
                <a:solidFill>
                  <a:srgbClr val="9AA0A6"/>
                </a:solidFill>
                <a:latin typeface="Calibri"/>
              </a:defRPr>
            </a:pPr>
            <a:r>
              <a:t/>
            </a:r>
            <a:endParaRPr sz="850" b="0">
              <a:solidFill>
                <a:srgbClr val="9AA0A6"/>
              </a:solidFill>
              <a:latin typeface="Calibri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1E2228"/>
    </a:solidFill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E8EAED"/>
                </a:solidFill>
                <a:latin typeface="Calibri"/>
              </a:defRPr>
            </a:pPr>
            <a:r>
              <a:rPr sz="1200" b="1">
                <a:solidFill>
                  <a:srgbClr val="E8EAED"/>
                </a:solidFill>
                <a:latin typeface="Calibri"/>
              </a:rPr>
              <a:t>Orçado × Realizado por categoria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'Calc'!AA1</f>
            </strRef>
          </tx>
          <spPr>
            <a:solidFill xmlns:a="http://schemas.openxmlformats.org/drawingml/2006/main">
              <a:srgbClr val="9AA0A6"/>
            </a:solidFill>
            <a:ln xmlns:a="http://schemas.openxmlformats.org/drawingml/2006/main">
              <a:noFill/>
              <a:prstDash val="solid"/>
            </a:ln>
          </spPr>
          <cat>
            <numRef>
              <f>'Calc'!$Z$2:$Z$13</f>
            </numRef>
          </cat>
          <val>
            <numRef>
              <f>'Calc'!$AA$2:$AA$13</f>
            </numRef>
          </val>
        </ser>
        <ser>
          <idx val="1"/>
          <order val="1"/>
          <tx>
            <strRef>
              <f>'Calc'!AB1</f>
            </strRef>
          </tx>
          <spPr>
            <a:solidFill xmlns:a="http://schemas.openxmlformats.org/drawingml/2006/main">
              <a:srgbClr val="4F8CFF"/>
            </a:solidFill>
            <a:ln xmlns:a="http://schemas.openxmlformats.org/drawingml/2006/main">
              <a:noFill/>
              <a:prstDash val="solid"/>
            </a:ln>
          </spPr>
          <cat>
            <numRef>
              <f>'Calc'!$Z$2:$Z$13</f>
            </numRef>
          </cat>
          <val>
            <numRef>
              <f>'Calc'!$AB$2:$AB$13</f>
            </numRef>
          </val>
        </ser>
        <gapWidth val="40"/>
        <overlap val="-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2C323B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50" b="0">
                <a:solidFill>
                  <a:srgbClr val="9AA0A6"/>
                </a:solidFill>
                <a:latin typeface="Calibri"/>
              </a:defRPr>
            </a:pPr>
            <a:r>
              <a:t/>
            </a:r>
            <a:endParaRPr sz="850" b="0">
              <a:solidFill>
                <a:srgbClr val="9AA0A6"/>
              </a:solidFill>
              <a:latin typeface="Calibr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2A2F37"/>
              </a:solidFill>
              <a:prstDash val="solid"/>
            </a:ln>
          </spPr>
        </majorGridlines>
        <numFmt formatCode="&quot;R$&quot; #,##0" sourceLinked="0"/>
        <majorTickMark val="none"/>
        <minorTickMark val="none"/>
        <spPr>
          <a:ln xmlns:a="http://schemas.openxmlformats.org/drawingml/2006/main">
            <a:solidFill>
              <a:srgbClr val="2C323B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50" b="0">
                <a:solidFill>
                  <a:srgbClr val="9AA0A6"/>
                </a:solidFill>
                <a:latin typeface="Calibri"/>
              </a:defRPr>
            </a:pPr>
            <a:r>
              <a:t/>
            </a:r>
            <a:endParaRPr sz="850" b="0">
              <a:solidFill>
                <a:srgbClr val="9AA0A6"/>
              </a:solidFill>
              <a:latin typeface="Calibri"/>
            </a:endParaRPr>
          </a:p>
        </txPr>
        <crossAx val="10"/>
        <crosses val="max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E8EAED"/>
              </a:solidFill>
              <a:latin typeface="Calibri"/>
            </a:defRPr>
          </a:pPr>
          <a:r>
            <a:t/>
          </a:r>
          <a:endParaRPr sz="900" b="0">
            <a:solidFill>
              <a:srgbClr val="E8EAED"/>
            </a:solidFill>
            <a:latin typeface="Calibri"/>
          </a:endParaRPr>
        </a:p>
      </txPr>
    </legend>
    <plotVisOnly val="1"/>
    <dispBlanksAs val="gap"/>
  </chart>
  <spPr>
    <a:solidFill xmlns:a="http://schemas.openxmlformats.org/drawingml/2006/main">
      <a:srgbClr val="1E2228"/>
    </a:solidFill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10</row>
      <rowOff>0</rowOff>
    </from>
    <to>
      <col>12</col>
      <colOff>0</colOff>
      <row>29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13</col>
      <colOff>0</colOff>
      <row>10</row>
      <rowOff>0</rowOff>
    </from>
    <to>
      <col>24</col>
      <colOff>0</colOff>
      <row>29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</col>
      <colOff>0</colOff>
      <row>30</row>
      <rowOff>0</rowOff>
    </from>
    <to>
      <col>12</col>
      <colOff>0</colOff>
      <row>49</row>
      <rowOff>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13</col>
      <colOff>0</colOff>
      <row>30</row>
      <rowOff>0</rowOff>
    </from>
    <to>
      <col>24</col>
      <colOff>0</colOff>
      <row>49</row>
      <rowOff>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bLancamentos" displayName="tbLancamentos" ref="B4:T76" headerRowCount="1">
  <autoFilter ref="B4:T76"/>
  <tableColumns count="19">
    <tableColumn id="1" name="Data"/>
    <tableColumn id="2" name="Descrição"/>
    <tableColumn id="3" name="Valor">
      <calculatedColumnFormula>IF(tbLancamentos[[#This Row],[Descrição]]="","",IFERROR(1/(1/INDEX(tbAtalhos[Valor padrão],MATCH(tbLancamentos[[#This Row],[Descrição]],tbAtalhos[Descrição],0))),""))</calculatedColumnFormula>
    </tableColumn>
    <tableColumn id="4" name="Tipo">
      <calculatedColumnFormula>IF(tbLancamentos[[#This Row],[Descrição]]="","",IFERROR(INDEX(tbAtalhos[Tipo],MATCH(tbLancamentos[[#This Row],[Descrição]],tbAtalhos[Descrição],0))&amp;"","Despesa"))</calculatedColumnFormula>
    </tableColumn>
    <tableColumn id="5" name="Categoria">
      <calculatedColumnFormula>IF(tbLancamentos[[#This Row],[Descrição]]="","",IFERROR(INDEX(tbAtalhos[Categoria],MATCH(tbLancamentos[[#This Row],[Descrição]],tbAtalhos[Descrição],0))&amp;"",""))</calculatedColumnFormula>
    </tableColumn>
    <tableColumn id="6" name="Situação">
      <calculatedColumnFormula>IF(tbLancamentos[[#This Row],[Descrição]]="","",IF(tbLancamentos[[#This Row],[Tipo]]="Receita","Recebido","Pago"))</calculatedColumnFormula>
    </tableColumn>
    <tableColumn id="7" name="Pote">
      <calculatedColumnFormula>IF(tbLancamentos[[#This Row],[Descrição]]="","",IFERROR(INDEX(tbAtalhos[Pote],MATCH(tbLancamentos[[#This Row],[Descrição]],tbAtalhos[Descrição],0))&amp;"",""))</calculatedColumnFormula>
    </tableColumn>
    <tableColumn id="8" name="Quem">
      <calculatedColumnFormula>IF(tbLancamentos[[#This Row],[Descrição]]="","",IFERROR(INDEX(tbAtalhos[Quem],MATCH(tbLancamentos[[#This Row],[Descrição]],tbAtalhos[Descrição],0))&amp;"",""))</calculatedColumnFormula>
    </tableColumn>
    <tableColumn id="9" name="Conta">
      <calculatedColumnFormula>IF(tbLancamentos[[#This Row],[Descrição]]="","",IFERROR(INDEX(tbAtalhos[Conta],MATCH(tbLancamentos[[#This Row],[Descrição]],tbAtalhos[Descrição],0))&amp;"",""))</calculatedColumnFormula>
    </tableColumn>
    <tableColumn id="10" name="Forma de pagamento">
      <calculatedColumnFormula>IF(tbLancamentos[[#This Row],[Descrição]]="","",IFERROR(INDEX(tbAtalhos[Forma de pagamento],MATCH(tbLancamentos[[#This Row],[Descrição]],tbAtalhos[Descrição],0))&amp;"",""))</calculatedColumnFormula>
    </tableColumn>
    <tableColumn id="11" name="Parcela"/>
    <tableColumn id="12" name="Vencimento"/>
    <tableColumn id="13" name="Competência"/>
    <tableColumn id="14" name="Subcategoria"/>
    <tableColumn id="15" name="Descontar de"/>
    <tableColumn id="16" name="Observação"/>
    <tableColumn id="17" name="Mês">
      <calculatedColumnFormula>IF(AND(tbLancamentos[[#This Row],[Data]]="",tbLancamentos[[#This Row],[Competência]]=""),"",MONTH(IF(tbLancamentos[[#This Row],[Competência]]&lt;&gt;"",tbLancamentos[[#This Row],[Competência]],tbLancamentos[[#This Row],[Data]])))</calculatedColumnFormula>
    </tableColumn>
    <tableColumn id="18" name="Ano">
      <calculatedColumnFormula>IF(AND(tbLancamentos[[#This Row],[Data]]="",tbLancamentos[[#This Row],[Competência]]=""),"",YEAR(IF(tbLancamentos[[#This Row],[Competência]]&lt;&gt;"",tbLancamentos[[#This Row],[Competência]],tbLancamentos[[#This Row],[Data]])))</calculatedColumnFormula>
    </tableColumn>
    <tableColumn id="19" name="Conta no mês?">
      <calculatedColumnFormula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calculatedColumnFormula>
    </tableColumn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tbOrcamento" displayName="tbOrcamento" ref="B5:F18" headerRowCount="1" totalsRowCount="1">
  <autoFilter ref="B5:F17"/>
  <tableColumns count="5">
    <tableColumn id="1" name="Categoria" totalsRowLabel="Total"/>
    <tableColumn id="2" name="Meta mensal" totalsRowFunction="sum"/>
    <tableColumn id="3" name="Realizado no mês selecionado" totalsRowFunction="sum">
      <calculatedColumnFormula>SUMIFS(tbLancamentos[Valor],tbLancamentos[Categoria],tbOrcamento[[#This Row],[Categoria]],tbLancamentos[Tipo],"&lt;&gt;Receita",tbLancamentos[Conta no mês?],"sim",tbLancamentos[Mês],MesNum,tbLancamentos[Ano],AnoSelecionado)</calculatedColumnFormula>
    </tableColumn>
    <tableColumn id="4" name="Diferença" totalsRowFunction="sum">
      <calculatedColumnFormula>tbOrcamento[[#This Row],[Meta mensal]]-tbOrcamento[[#This Row],[Realizado no mês selecionado]]</calculatedColumnFormula>
    </tableColumn>
    <tableColumn id="5" name="% usado" totalsRowFunction="custom">
      <calculatedColumnFormula>IF(tbOrcamento[[#This Row],[Meta mensal]]&gt;0,tbOrcamento[[#This Row],[Realizado no mês selecionado]]/tbOrcamento[[#This Row],[Meta mensal]],0)</calculatedColumnFormula>
      <totalsRowFormula>IF(SUM(tbOrcamento[Meta mensal])&gt;0,SUM(tbOrcamento[Realizado no mês selecionado])/SUM(tbOrcamento[Meta mensal]),0)</totalsRowFormula>
    </tableColumn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tbMetas" displayName="tbMetas" ref="B5:G10" headerRowCount="1" totalsRowCount="1">
  <autoFilter ref="B5:G9"/>
  <tableColumns count="6">
    <tableColumn id="1" name="Nome" totalsRowLabel="Total"/>
    <tableColumn id="2" name="Valor alvo" totalsRowFunction="sum"/>
    <tableColumn id="3" name="Valor atual" totalsRowFunction="sum"/>
    <tableColumn id="4" name="% atingido" totalsRowFunction="custom">
      <calculatedColumnFormula>IF(N(tbMetas[[#This Row],[Valor alvo]])&gt;0,MIN(1,N(tbMetas[[#This Row],[Valor atual]])/tbMetas[[#This Row],[Valor alvo]]),0)</calculatedColumnFormula>
      <totalsRowFormula>IF(SUM(tbMetas[Valor alvo])&gt;0,SUM(tbMetas[Valor atual])/SUM(tbMetas[Valor alvo]),0)</totalsRowFormula>
    </tableColumn>
    <tableColumn id="5" name="Prazo"/>
    <tableColumn id="6" name="Aporte mensal necessário" totalsRowFunction="sum">
      <calculatedColumnFormula>IFERROR(IF(N(tbMetas[[#This Row],[Valor atual]])&gt;=N(tbMetas[[#This Row],[Valor alvo]]),0,(tbMetas[[#This Row],[Valor alvo]]-N(tbMetas[[#This Row],[Valor atual]]))/MAX(1,(YEAR(tbMetas[[#This Row],[Prazo]])-YEAR(TODAY()))*12+MONTH(tbMetas[[#This Row],[Prazo]])-MONTH(TODAY()))),0)</calculatedColumnFormula>
    </tableColumn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tbDividas" displayName="tbDividas" ref="I5:N9" headerRowCount="1" totalsRowCount="1">
  <autoFilter ref="I5:N8"/>
  <tableColumns count="6">
    <tableColumn id="1" name="Descrição" totalsRowLabel="Total"/>
    <tableColumn id="2" name="Valor da parcela" totalsRowFunction="sum"/>
    <tableColumn id="3" name="Parcelas pagas"/>
    <tableColumn id="4" name="Total de parcelas"/>
    <tableColumn id="5" name="Saldo devedor" totalsRowFunction="sum">
      <calculatedColumnFormula>N(tbDividas[[#This Row],[Valor da parcela]])*MAX(0,N(tbDividas[[#This Row],[Total de parcelas]])-N(tbDividas[[#This Row],[Parcelas pagas]]))</calculatedColumnFormula>
    </tableColumn>
    <tableColumn id="6" name="Data de término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tbAtalhos" displayName="tbAtalhos" ref="B5:M15" headerRowCount="1">
  <autoFilter ref="B5:M15"/>
  <tableColumns count="12">
    <tableColumn id="1" name="Descrição"/>
    <tableColumn id="2" name="Tipo"/>
    <tableColumn id="3" name="Categoria"/>
    <tableColumn id="4" name="Pote"/>
    <tableColumn id="5" name="Quem"/>
    <tableColumn id="6" name="Conta"/>
    <tableColumn id="7" name="Forma de pagamento"/>
    <tableColumn id="8" name="Valor padrão"/>
    <tableColumn id="9" name="Recorrente?"/>
    <tableColumn id="10" name="Dia do vencimento"/>
    <tableColumn id="11" name="Usos">
      <calculatedColumnFormula>COUNTIF(tbLancamentos[Descrição],tbAtalhos[[#This Row],[Descrição]])</calculatedColumnFormula>
    </tableColumn>
    <tableColumn id="12" name="Último valor">
      <calculatedColumnFormula>IFERROR(LOOKUP(2,1/(tbLancamentos[Descrição]=tbAtalhos[[#This Row],[Descrição]]),tbLancamentos[Valor]),"")</calculatedColumnFormula>
    </tableColumn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tbCatReceita" displayName="tbCatReceita" ref="B5:B10" headerRowCount="1">
  <autoFilter ref="B5:B10"/>
  <tableColumns count="1">
    <tableColumn id="1" name="Categoria de receita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id="7" name="tbCatDespesa" displayName="tbCatDespesa" ref="D5:E17" headerRowCount="1">
  <autoFilter ref="D5:E17"/>
  <tableColumns count="2">
    <tableColumn id="1" name="Categoria de gasto"/>
    <tableColumn id="2" name="Subcategorias / exemplos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id="8" name="tbCatOutras" displayName="tbCatOutras" ref="G5:G6" headerRowCount="1">
  <autoFilter ref="G5:G6"/>
  <tableColumns count="1">
    <tableColumn id="1" name="Categoria (fora dos gastos)"/>
  </tableColumns>
  <tableStyleInfo name="TableStyleMedium2" showFirstColumn="0" showLastColumn="0" showRowStripes="0" showColumnStripes="0"/>
</table>
</file>

<file path=xl/tables/table9.xml><?xml version="1.0" encoding="utf-8"?>
<table xmlns="http://schemas.openxmlformats.org/spreadsheetml/2006/main" id="9" name="tbPotes" displayName="tbPotes" ref="I5:I8" headerRowCount="1">
  <autoFilter ref="I5:I8"/>
  <tableColumns count="1">
    <tableColumn id="1" name="Pote"/>
  </tableColumns>
  <tableStyleInfo name="TableStyleMedium2" showFirstColumn="0" showLastColumn="0" showRowStripes="0" showColumnStripes="0"/>
</table>
</file>

<file path=xl/tables/table10.xml><?xml version="1.0" encoding="utf-8"?>
<table xmlns="http://schemas.openxmlformats.org/spreadsheetml/2006/main" id="10" name="tbPessoas" displayName="tbPessoas" ref="K5:K6" headerRowCount="1">
  <autoFilter ref="K5:K6"/>
  <tableColumns count="1">
    <tableColumn id="1" name="Quem"/>
  </tableColumns>
  <tableStyleInfo name="TableStyleMedium2" showFirstColumn="0" showLastColumn="0" showRowStripes="0" showColumnStripes="0"/>
</table>
</file>

<file path=xl/tables/table11.xml><?xml version="1.0" encoding="utf-8"?>
<table xmlns="http://schemas.openxmlformats.org/spreadsheetml/2006/main" id="11" name="tbContas" displayName="tbContas" ref="M5:O9" headerRowCount="1">
  <autoFilter ref="M5:O9"/>
  <tableColumns count="3">
    <tableColumn id="1" name="Conta"/>
    <tableColumn id="2" name="Tipo de conta"/>
    <tableColumn id="3" name="Banco"/>
  </tableColumns>
  <tableStyleInfo name="TableStyleMedium2" showFirstColumn="0" showLastColumn="0" showRowStripes="0" showColumnStripes="0"/>
</table>
</file>

<file path=xl/tables/table12.xml><?xml version="1.0" encoding="utf-8"?>
<table xmlns="http://schemas.openxmlformats.org/spreadsheetml/2006/main" id="12" name="tbCartoes" displayName="tbCartoes" ref="Q5:U7" headerRowCount="1">
  <autoFilter ref="Q5:U7"/>
  <tableColumns count="5">
    <tableColumn id="1" name="Cartão"/>
    <tableColumn id="2" name="Bandeira"/>
    <tableColumn id="3" name="Dia fechamento"/>
    <tableColumn id="4" name="Dia vencimento"/>
    <tableColumn id="5" name="Limite"/>
  </tableColumns>
  <tableStyleInfo name="TableStyleMedium2" showFirstColumn="0" showLastColumn="0" showRowStripes="0" showColumnStripes="0"/>
</table>
</file>

<file path=xl/tables/table13.xml><?xml version="1.0" encoding="utf-8"?>
<table xmlns="http://schemas.openxmlformats.org/spreadsheetml/2006/main" id="13" name="tbFormas" displayName="tbFormas" ref="W5:W12" headerRowCount="1">
  <autoFilter ref="W5:W12"/>
  <tableColumns count="1">
    <tableColumn id="1" name="Forma de pagamento"/>
  </tableColumns>
  <tableStyleInfo name="TableStyleMedium2" showFirstColumn="0" showLastColumn="0" showRowStripes="0" showColumnStripes="0"/>
</table>
</file>

<file path=xl/tables/table14.xml><?xml version="1.0" encoding="utf-8"?>
<table xmlns="http://schemas.openxmlformats.org/spreadsheetml/2006/main" id="14" name="tbTipos" displayName="tbTipos" ref="Y5:Y8" headerRowCount="1">
  <autoFilter ref="Y5:Y8"/>
  <tableColumns count="1">
    <tableColumn id="1" name="Tipo"/>
  </tableColumns>
  <tableStyleInfo name="TableStyleMedium2" showFirstColumn="0" showLastColumn="0" showRowStripes="0" showColumnStripes="0"/>
</table>
</file>

<file path=xl/tables/table15.xml><?xml version="1.0" encoding="utf-8"?>
<table xmlns="http://schemas.openxmlformats.org/spreadsheetml/2006/main" id="15" name="tbSituacoes" displayName="tbSituacoes" ref="AA5:AA9" headerRowCount="1">
  <autoFilter ref="AA5:AA9"/>
  <tableColumns count="1">
    <tableColumn id="1" name="Situação"/>
  </tableColumns>
  <tableStyleInfo name="TableStyleMedium2" showFirstColumn="0" showLastColumn="0" showRowStripes="0" showColumnStripes="0"/>
</table>
</file>

<file path=xl/tables/table16.xml><?xml version="1.0" encoding="utf-8"?>
<table xmlns="http://schemas.openxmlformats.org/spreadsheetml/2006/main" id="16" name="tbMeses" displayName="tbMeses" ref="AC5:AE17" headerRowCount="1">
  <autoFilter ref="AC5:AE17"/>
  <tableColumns count="3">
    <tableColumn id="1" name="Nº"/>
    <tableColumn id="2" name="Mês"/>
    <tableColumn id="3" name="Abrev."/>
  </tableColumns>
  <tableStyleInfo name="TableStyleMedium2" showFirstColumn="0" showLastColumn="0" showRowStripes="0" showColumnStripes="0"/>
</table>
</file>

<file path=xl/tables/table17.xml><?xml version="1.0" encoding="utf-8"?>
<table xmlns="http://schemas.openxmlformats.org/spreadsheetml/2006/main" id="17" name="tbAnos" displayName="tbAnos" ref="AG5:AG14" headerRowCount="1">
  <autoFilter ref="AG5:AG14"/>
  <tableColumns count="1">
    <tableColumn id="1" name="Ano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Relationship Type="http://schemas.openxmlformats.org/officeDocument/2006/relationships/table" Target="/xl/tables/table8.xml" Id="rId3"/><Relationship Type="http://schemas.openxmlformats.org/officeDocument/2006/relationships/table" Target="/xl/tables/table9.xml" Id="rId4"/><Relationship Type="http://schemas.openxmlformats.org/officeDocument/2006/relationships/table" Target="/xl/tables/table10.xml" Id="rId5"/><Relationship Type="http://schemas.openxmlformats.org/officeDocument/2006/relationships/table" Target="/xl/tables/table11.xml" Id="rId6"/><Relationship Type="http://schemas.openxmlformats.org/officeDocument/2006/relationships/table" Target="/xl/tables/table12.xml" Id="rId7"/><Relationship Type="http://schemas.openxmlformats.org/officeDocument/2006/relationships/table" Target="/xl/tables/table13.xml" Id="rId8"/><Relationship Type="http://schemas.openxmlformats.org/officeDocument/2006/relationships/table" Target="/xl/tables/table14.xml" Id="rId9"/><Relationship Type="http://schemas.openxmlformats.org/officeDocument/2006/relationships/table" Target="/xl/tables/table15.xml" Id="rId10"/><Relationship Type="http://schemas.openxmlformats.org/officeDocument/2006/relationships/table" Target="/xl/tables/table16.xml" Id="rId11"/><Relationship Type="http://schemas.openxmlformats.org/officeDocument/2006/relationships/table" Target="/xl/tables/table17.xml" Id="rId12"/></Relationships>
</file>

<file path=xl/worksheets/sheet1.xml><?xml version="1.0" encoding="utf-8"?>
<worksheet xmlns="http://schemas.openxmlformats.org/spreadsheetml/2006/main">
  <sheetPr>
    <tabColor rgb="002ECC71"/>
    <outlinePr summaryBelow="1" summaryRight="1"/>
    <pageSetUpPr fitToPage="1"/>
  </sheetPr>
  <dimension ref="A1:AE45"/>
  <sheetViews>
    <sheetView showGridLines="0" tabSelected="1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style="1" min="1" max="1"/>
    <col width="10" customWidth="1" style="1" min="2" max="2"/>
    <col width="10" customWidth="1" style="1" min="3" max="3"/>
    <col width="10" customWidth="1" style="1" min="4" max="4"/>
    <col width="2.5" customWidth="1" style="1" min="5" max="5"/>
    <col width="10" customWidth="1" style="1" min="6" max="6"/>
    <col width="10" customWidth="1" style="1" min="7" max="7"/>
    <col width="10" customWidth="1" style="1" min="8" max="8"/>
    <col width="2.5" customWidth="1" style="1" min="9" max="9"/>
    <col width="10" customWidth="1" style="1" min="10" max="10"/>
    <col width="10" customWidth="1" style="1" min="11" max="11"/>
    <col width="10" customWidth="1" style="1" min="12" max="12"/>
    <col width="2.5" customWidth="1" style="1" min="13" max="13"/>
    <col width="10" customWidth="1" style="1" min="14" max="14"/>
    <col width="10" customWidth="1" style="1" min="15" max="15"/>
    <col width="10" customWidth="1" style="1" min="16" max="16"/>
    <col width="2.5" customWidth="1" style="1" min="17" max="17"/>
    <col width="10" customWidth="1" style="1" min="18" max="18"/>
    <col width="10" customWidth="1" style="1" min="19" max="19"/>
    <col width="10" customWidth="1" style="1" min="20" max="20"/>
    <col width="2.5" customWidth="1" style="1" min="21" max="21"/>
    <col width="10" customWidth="1" style="1" min="22" max="22"/>
    <col width="10" customWidth="1" style="1" min="23" max="23"/>
    <col width="10" customWidth="1" style="1" min="24" max="24"/>
    <col width="3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</cols>
  <sheetData>
    <row r="1" ht="1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26" customHeight="1">
      <c r="A2" s="1" t="n"/>
      <c r="B2" s="2" t="inlineStr">
        <is>
          <t>Central da Família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3" t="inlineStr">
        <is>
          <t>MÊS DE REFERÊNCIA</t>
        </is>
      </c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</row>
    <row r="3" ht="28" customHeight="1">
      <c r="A3" s="1" t="n"/>
      <c r="B3" s="4" t="inlineStr">
        <is>
          <t>Tudo do dia a dia num lugar só: lance, confira as contas do mês e acompanhe o que vence.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5">
        <f>MesSelecionado&amp;" / "&amp;AnoSelecionado</f>
        <v/>
      </c>
      <c r="S3" s="6" t="n"/>
      <c r="T3" s="6" t="n"/>
      <c r="U3" s="1" t="n"/>
      <c r="V3" s="7">
        <f>HYPERLINK("#Dashboard!A1","trocar no Dashboard ➜")</f>
        <v/>
      </c>
      <c r="W3" s="8" t="n"/>
      <c r="X3" s="8" t="n"/>
      <c r="Y3" s="1" t="n"/>
      <c r="Z3" s="1" t="n"/>
      <c r="AA3" s="1" t="n"/>
      <c r="AB3" s="1" t="n"/>
      <c r="AC3" s="1" t="n"/>
      <c r="AD3" s="1" t="n"/>
      <c r="AE3" s="1" t="n"/>
    </row>
    <row r="4" ht="14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</row>
    <row r="5" ht="16" customHeight="1">
      <c r="A5" s="1" t="n"/>
      <c r="B5" s="9">
        <f>HYPERLINK("#Lancamentos!B"&amp;(ROWS(tbLancamentos[Data])+5),"✚  Novo lançamento")</f>
        <v/>
      </c>
      <c r="C5" s="8" t="n"/>
      <c r="D5" s="8" t="n"/>
      <c r="E5" s="1" t="n"/>
      <c r="F5" s="10">
        <f>HYPERLINK("#ContasMes!A1","✔  Contas do mês")</f>
        <v/>
      </c>
      <c r="G5" s="8" t="n"/>
      <c r="H5" s="8" t="n"/>
      <c r="I5" s="1" t="n"/>
      <c r="J5" s="11">
        <f>HYPERLINK("#Parcelar!A1","⟳  Parcelar / repetir")</f>
        <v/>
      </c>
      <c r="K5" s="8" t="n"/>
      <c r="L5" s="8" t="n"/>
      <c r="M5" s="1" t="n"/>
      <c r="N5" s="12">
        <f>HYPERLINK("#Dashboard!A1","▦  Dashboard")</f>
        <v/>
      </c>
      <c r="O5" s="8" t="n"/>
      <c r="P5" s="8" t="n"/>
      <c r="Q5" s="1" t="n"/>
      <c r="R5" s="13">
        <f>HYPERLINK("#Orcamento!A1","◎  Orçamento")</f>
        <v/>
      </c>
      <c r="S5" s="8" t="n"/>
      <c r="T5" s="8" t="n"/>
      <c r="U5" s="1" t="n"/>
      <c r="V5" s="14">
        <f>HYPERLINK("#Atalhos!A1","★  Favoritos")</f>
        <v/>
      </c>
      <c r="W5" s="8" t="n"/>
      <c r="X5" s="8" t="n"/>
      <c r="Y5" s="1" t="n"/>
      <c r="Z5" s="1" t="n"/>
      <c r="AA5" s="1" t="n"/>
      <c r="AB5" s="1" t="n"/>
      <c r="AC5" s="1" t="n"/>
      <c r="AD5" s="1" t="n"/>
      <c r="AE5" s="1" t="n"/>
    </row>
    <row r="6" ht="16" customHeight="1">
      <c r="A6" s="1" t="n"/>
      <c r="B6" s="8" t="n"/>
      <c r="C6" s="8" t="n"/>
      <c r="D6" s="8" t="n"/>
      <c r="E6" s="1" t="n"/>
      <c r="F6" s="8" t="n"/>
      <c r="G6" s="8" t="n"/>
      <c r="H6" s="8" t="n"/>
      <c r="I6" s="1" t="n"/>
      <c r="J6" s="8" t="n"/>
      <c r="K6" s="8" t="n"/>
      <c r="L6" s="8" t="n"/>
      <c r="M6" s="1" t="n"/>
      <c r="N6" s="8" t="n"/>
      <c r="O6" s="8" t="n"/>
      <c r="P6" s="8" t="n"/>
      <c r="Q6" s="1" t="n"/>
      <c r="R6" s="8" t="n"/>
      <c r="S6" s="8" t="n"/>
      <c r="T6" s="8" t="n"/>
      <c r="U6" s="1" t="n"/>
      <c r="V6" s="8" t="n"/>
      <c r="W6" s="8" t="n"/>
      <c r="X6" s="8" t="n"/>
      <c r="Y6" s="1" t="n"/>
      <c r="Z6" s="1" t="n"/>
      <c r="AA6" s="1" t="n"/>
      <c r="AB6" s="1" t="n"/>
      <c r="AC6" s="1" t="n"/>
      <c r="AD6" s="1" t="n"/>
      <c r="AE6" s="1" t="n"/>
    </row>
    <row r="7" ht="16" customHeight="1">
      <c r="A7" s="1" t="n"/>
      <c r="B7" s="8" t="n"/>
      <c r="C7" s="8" t="n"/>
      <c r="D7" s="8" t="n"/>
      <c r="E7" s="1" t="n"/>
      <c r="F7" s="8" t="n"/>
      <c r="G7" s="8" t="n"/>
      <c r="H7" s="8" t="n"/>
      <c r="I7" s="1" t="n"/>
      <c r="J7" s="8" t="n"/>
      <c r="K7" s="8" t="n"/>
      <c r="L7" s="8" t="n"/>
      <c r="M7" s="1" t="n"/>
      <c r="N7" s="8" t="n"/>
      <c r="O7" s="8" t="n"/>
      <c r="P7" s="8" t="n"/>
      <c r="Q7" s="1" t="n"/>
      <c r="R7" s="8" t="n"/>
      <c r="S7" s="8" t="n"/>
      <c r="T7" s="8" t="n"/>
      <c r="U7" s="1" t="n"/>
      <c r="V7" s="8" t="n"/>
      <c r="W7" s="8" t="n"/>
      <c r="X7" s="8" t="n"/>
      <c r="Y7" s="1" t="n"/>
      <c r="Z7" s="1" t="n"/>
      <c r="AA7" s="1" t="n"/>
      <c r="AB7" s="1" t="n"/>
      <c r="AC7" s="1" t="n"/>
      <c r="AD7" s="1" t="n"/>
      <c r="AE7" s="1" t="n"/>
    </row>
    <row r="8" ht="14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</row>
    <row r="9" ht="8" customHeight="1">
      <c r="A9" s="1" t="n"/>
      <c r="B9" s="15" t="n"/>
      <c r="C9" s="15" t="n"/>
      <c r="D9" s="15" t="n"/>
      <c r="E9" s="1" t="n"/>
      <c r="F9" s="16" t="n"/>
      <c r="G9" s="16" t="n"/>
      <c r="H9" s="16" t="n"/>
      <c r="I9" s="1" t="n"/>
      <c r="J9" s="17" t="n"/>
      <c r="K9" s="17" t="n"/>
      <c r="L9" s="17" t="n"/>
      <c r="M9" s="1" t="n"/>
      <c r="N9" s="18" t="n"/>
      <c r="O9" s="18" t="n"/>
      <c r="P9" s="18" t="n"/>
      <c r="Q9" s="1" t="n"/>
      <c r="R9" s="17" t="n"/>
      <c r="S9" s="17" t="n"/>
      <c r="T9" s="17" t="n"/>
      <c r="U9" s="1" t="n"/>
      <c r="V9" s="16" t="n"/>
      <c r="W9" s="16" t="n"/>
      <c r="X9" s="16" t="n"/>
      <c r="Y9" s="1" t="n"/>
      <c r="Z9" s="1" t="n"/>
      <c r="AA9" s="1" t="n"/>
      <c r="AB9" s="1" t="n"/>
      <c r="AC9" s="1" t="n"/>
      <c r="AD9" s="1" t="n"/>
      <c r="AE9" s="1" t="n"/>
    </row>
    <row r="10" ht="20" customHeight="1">
      <c r="A10" s="1" t="n"/>
      <c r="B10" s="19" t="inlineStr">
        <is>
          <t>SALDO DO MÊS</t>
        </is>
      </c>
      <c r="C10" s="8" t="n"/>
      <c r="D10" s="8" t="n"/>
      <c r="E10" s="1" t="n"/>
      <c r="F10" s="19" t="inlineStr">
        <is>
          <t>CONTAS FIXAS LANÇADAS</t>
        </is>
      </c>
      <c r="G10" s="8" t="n"/>
      <c r="H10" s="8" t="n"/>
      <c r="I10" s="1" t="n"/>
      <c r="J10" s="19" t="inlineStr">
        <is>
          <t>A PAGAR NO MÊS</t>
        </is>
      </c>
      <c r="K10" s="8" t="n"/>
      <c r="L10" s="8" t="n"/>
      <c r="M10" s="1" t="n"/>
      <c r="N10" s="19" t="inlineStr">
        <is>
          <t>ORÇAMENTO USADO</t>
        </is>
      </c>
      <c r="O10" s="8" t="n"/>
      <c r="P10" s="8" t="n"/>
      <c r="Q10" s="1" t="n"/>
      <c r="R10" s="19" t="inlineStr">
        <is>
          <t>A RECEBER (ACERTOS)</t>
        </is>
      </c>
      <c r="S10" s="8" t="n"/>
      <c r="T10" s="8" t="n"/>
      <c r="U10" s="1" t="n"/>
      <c r="V10" s="19" t="inlineStr">
        <is>
          <t>INVESTIMENTOS (LÍQUIDO)</t>
        </is>
      </c>
      <c r="W10" s="8" t="n"/>
      <c r="X10" s="8" t="n"/>
      <c r="Y10" s="1" t="n"/>
      <c r="Z10" s="1" t="n"/>
      <c r="AA10" s="1" t="n"/>
      <c r="AB10" s="1" t="n"/>
      <c r="AC10" s="1" t="n"/>
      <c r="AD10" s="1" t="n"/>
      <c r="AE10" s="1" t="n"/>
    </row>
    <row r="11" ht="34" customHeight="1">
      <c r="A11" s="1" t="n"/>
      <c r="B11" s="20">
        <f>Calc!B13</f>
        <v/>
      </c>
      <c r="C11" s="8" t="n"/>
      <c r="D11" s="8" t="n"/>
      <c r="E11" s="1" t="n"/>
      <c r="F11" s="21">
        <f>ContasMes!B6</f>
        <v/>
      </c>
      <c r="G11" s="8" t="n"/>
      <c r="H11" s="8" t="n"/>
      <c r="I11" s="1" t="n"/>
      <c r="J11" s="20">
        <f>Calc!B28</f>
        <v/>
      </c>
      <c r="K11" s="8" t="n"/>
      <c r="L11" s="8" t="n"/>
      <c r="M11" s="1" t="n"/>
      <c r="N11" s="22">
        <f>Calc!B18</f>
        <v/>
      </c>
      <c r="O11" s="8" t="n"/>
      <c r="P11" s="8" t="n"/>
      <c r="Q11" s="1" t="n"/>
      <c r="R11" s="20">
        <f>0</f>
        <v/>
      </c>
      <c r="S11" s="8" t="n"/>
      <c r="T11" s="8" t="n"/>
      <c r="U11" s="1" t="n"/>
      <c r="V11" s="20">
        <f>0</f>
        <v/>
      </c>
      <c r="W11" s="8" t="n"/>
      <c r="X11" s="8" t="n"/>
      <c r="Y11" s="1" t="n"/>
      <c r="Z11" s="1" t="n"/>
      <c r="AA11" s="1" t="n"/>
      <c r="AB11" s="1" t="n"/>
      <c r="AC11" s="1" t="n"/>
      <c r="AD11" s="1" t="n"/>
      <c r="AE11" s="1" t="n"/>
    </row>
    <row r="12" ht="18" customHeight="1">
      <c r="A12" s="1" t="n"/>
      <c r="B12" s="23" t="inlineStr">
        <is>
          <t>Poupança</t>
        </is>
      </c>
      <c r="C12" s="24">
        <f>Calc!B15</f>
        <v/>
      </c>
      <c r="D12" s="8" t="n"/>
      <c r="E12" s="1" t="n"/>
      <c r="F12" s="23" t="inlineStr">
        <is>
          <t>Falta lançar</t>
        </is>
      </c>
      <c r="G12" s="25">
        <f>ContasMes!G6</f>
        <v/>
      </c>
      <c r="H12" s="8" t="n"/>
      <c r="I12" s="1" t="n"/>
      <c r="J12" s="23" t="inlineStr">
        <is>
          <t>Atrasadas</t>
        </is>
      </c>
      <c r="K12" s="26">
        <f>Calc!B29</f>
        <v/>
      </c>
      <c r="L12" s="8" t="n"/>
      <c r="M12" s="1" t="n"/>
      <c r="N12" s="23" t="inlineStr">
        <is>
          <t>Meta total</t>
        </is>
      </c>
      <c r="O12" s="25">
        <f>Calc!B17</f>
        <v/>
      </c>
      <c r="P12" s="8" t="n"/>
      <c r="Q12" s="1" t="n"/>
      <c r="R12" s="23" t="inlineStr">
        <is>
          <t>Parcelas</t>
        </is>
      </c>
      <c r="S12" s="25">
        <f>SUM(tbDividas[Saldo devedor])</f>
        <v/>
      </c>
      <c r="T12" s="8" t="n"/>
      <c r="U12" s="1" t="n"/>
      <c r="V12" s="23" t="inlineStr">
        <is>
          <t>Metas</t>
        </is>
      </c>
      <c r="W12" s="25">
        <f>SUM(tbMetas[Valor atual])</f>
        <v/>
      </c>
      <c r="X12" s="8" t="n"/>
      <c r="Y12" s="1" t="n"/>
      <c r="Z12" s="1" t="n"/>
      <c r="AA12" s="1" t="n"/>
      <c r="AB12" s="1" t="n"/>
      <c r="AC12" s="1" t="n"/>
      <c r="AD12" s="1" t="n"/>
      <c r="AE12" s="1" t="n"/>
    </row>
    <row r="13" ht="10" customHeight="1">
      <c r="A13" s="1" t="n"/>
      <c r="B13" s="27" t="n"/>
      <c r="C13" s="27" t="n"/>
      <c r="D13" s="27" t="n"/>
      <c r="E13" s="1" t="n"/>
      <c r="F13" s="27" t="n"/>
      <c r="G13" s="27" t="n"/>
      <c r="H13" s="27" t="n"/>
      <c r="I13" s="1" t="n"/>
      <c r="J13" s="27" t="n"/>
      <c r="K13" s="27" t="n"/>
      <c r="L13" s="27" t="n"/>
      <c r="M13" s="1" t="n"/>
      <c r="N13" s="27" t="n"/>
      <c r="O13" s="27" t="n"/>
      <c r="P13" s="27" t="n"/>
      <c r="Q13" s="1" t="n"/>
      <c r="R13" s="27" t="n"/>
      <c r="S13" s="27" t="n"/>
      <c r="T13" s="27" t="n"/>
      <c r="U13" s="1" t="n"/>
      <c r="V13" s="27" t="n"/>
      <c r="W13" s="27" t="n"/>
      <c r="X13" s="27" t="n"/>
      <c r="Y13" s="1" t="n"/>
      <c r="Z13" s="1" t="n"/>
      <c r="AA13" s="1" t="n"/>
      <c r="AB13" s="1" t="n"/>
      <c r="AC13" s="1" t="n"/>
      <c r="AD13" s="1" t="n"/>
      <c r="AE13" s="1" t="n"/>
    </row>
    <row r="14" ht="18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</row>
    <row r="15" ht="26" customHeight="1">
      <c r="A15" s="1" t="n"/>
      <c r="B15" s="28" t="inlineStr">
        <is>
          <t>Próximos vencimentos e atrasados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28" t="inlineStr">
        <is>
          <t>Últimos lançamentos</t>
        </is>
      </c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</row>
    <row r="16" ht="24" customHeight="1">
      <c r="A16" s="1" t="n"/>
      <c r="B16" s="29" t="inlineStr">
        <is>
          <t>Vence</t>
        </is>
      </c>
      <c r="C16" s="8" t="n"/>
      <c r="D16" s="29" t="inlineStr">
        <is>
          <t>Descrição</t>
        </is>
      </c>
      <c r="E16" s="8" t="n"/>
      <c r="F16" s="8" t="n"/>
      <c r="G16" s="8" t="n"/>
      <c r="H16" s="8" t="n"/>
      <c r="I16" s="30" t="inlineStr">
        <is>
          <t>Valor</t>
        </is>
      </c>
      <c r="J16" s="8" t="n"/>
      <c r="K16" s="29" t="inlineStr">
        <is>
          <t>Status</t>
        </is>
      </c>
      <c r="L16" s="8" t="n"/>
      <c r="M16" s="1" t="n"/>
      <c r="N16" s="29" t="inlineStr">
        <is>
          <t>Data</t>
        </is>
      </c>
      <c r="O16" s="8" t="n"/>
      <c r="P16" s="29" t="inlineStr">
        <is>
          <t>Descrição</t>
        </is>
      </c>
      <c r="Q16" s="8" t="n"/>
      <c r="R16" s="8" t="n"/>
      <c r="S16" s="8" t="n"/>
      <c r="T16" s="8" t="n"/>
      <c r="U16" s="29" t="inlineStr">
        <is>
          <t>Categoria</t>
        </is>
      </c>
      <c r="V16" s="8" t="n"/>
      <c r="W16" s="30" t="inlineStr">
        <is>
          <t>Valor</t>
        </is>
      </c>
      <c r="X16" s="8" t="n"/>
      <c r="Y16" s="1" t="n"/>
      <c r="Z16" s="1" t="n"/>
      <c r="AA16" s="1" t="n"/>
      <c r="AB16" s="1" t="n"/>
      <c r="AC16" s="1" t="n"/>
      <c r="AD16" s="1" t="n"/>
      <c r="AE16" s="1" t="n"/>
    </row>
    <row r="17" ht="21" customHeight="1">
      <c r="A17" s="1" t="n"/>
      <c r="B17" s="31">
        <f>Calc!AW2</f>
        <v/>
      </c>
      <c r="C17" s="32" t="n"/>
      <c r="D17" s="33">
        <f>Calc!AX2</f>
        <v/>
      </c>
      <c r="E17" s="32" t="n"/>
      <c r="F17" s="32" t="n"/>
      <c r="G17" s="32" t="n"/>
      <c r="H17" s="32" t="n"/>
      <c r="I17" s="34">
        <f>Calc!AY2</f>
        <v/>
      </c>
      <c r="J17" s="32" t="n"/>
      <c r="K17" s="35">
        <f>Calc!AZ2</f>
        <v/>
      </c>
      <c r="L17" s="32" t="n"/>
      <c r="M17" s="1" t="n"/>
      <c r="N17" s="31">
        <f>Calc!BC2</f>
        <v/>
      </c>
      <c r="O17" s="32" t="n"/>
      <c r="P17" s="33">
        <f>Calc!BD2</f>
        <v/>
      </c>
      <c r="Q17" s="32" t="n"/>
      <c r="R17" s="32" t="n"/>
      <c r="S17" s="32" t="n"/>
      <c r="T17" s="32" t="n"/>
      <c r="U17" s="36">
        <f>Calc!BF2</f>
        <v/>
      </c>
      <c r="V17" s="32" t="n"/>
      <c r="W17" s="34">
        <f>Calc!BE2</f>
        <v/>
      </c>
      <c r="X17" s="32" t="n"/>
      <c r="Y17" s="1" t="n"/>
      <c r="Z17" s="1" t="n"/>
      <c r="AA17" s="1" t="n"/>
      <c r="AB17" s="1" t="n"/>
      <c r="AC17" s="1" t="n"/>
      <c r="AD17" s="1" t="n"/>
      <c r="AE17" s="1" t="n"/>
    </row>
    <row r="18" ht="21" customHeight="1">
      <c r="A18" s="1" t="n"/>
      <c r="B18" s="31">
        <f>Calc!AW3</f>
        <v/>
      </c>
      <c r="C18" s="32" t="n"/>
      <c r="D18" s="33">
        <f>Calc!AX3</f>
        <v/>
      </c>
      <c r="E18" s="32" t="n"/>
      <c r="F18" s="32" t="n"/>
      <c r="G18" s="32" t="n"/>
      <c r="H18" s="32" t="n"/>
      <c r="I18" s="34">
        <f>Calc!AY3</f>
        <v/>
      </c>
      <c r="J18" s="32" t="n"/>
      <c r="K18" s="35">
        <f>Calc!AZ3</f>
        <v/>
      </c>
      <c r="L18" s="32" t="n"/>
      <c r="M18" s="1" t="n"/>
      <c r="N18" s="31">
        <f>Calc!BC3</f>
        <v/>
      </c>
      <c r="O18" s="32" t="n"/>
      <c r="P18" s="33">
        <f>Calc!BD3</f>
        <v/>
      </c>
      <c r="Q18" s="32" t="n"/>
      <c r="R18" s="32" t="n"/>
      <c r="S18" s="32" t="n"/>
      <c r="T18" s="32" t="n"/>
      <c r="U18" s="36">
        <f>Calc!BF3</f>
        <v/>
      </c>
      <c r="V18" s="32" t="n"/>
      <c r="W18" s="34">
        <f>Calc!BE3</f>
        <v/>
      </c>
      <c r="X18" s="32" t="n"/>
      <c r="Y18" s="1" t="n"/>
      <c r="Z18" s="1" t="n"/>
      <c r="AA18" s="1" t="n"/>
      <c r="AB18" s="1" t="n"/>
      <c r="AC18" s="1" t="n"/>
      <c r="AD18" s="1" t="n"/>
      <c r="AE18" s="1" t="n"/>
    </row>
    <row r="19" ht="21" customHeight="1">
      <c r="A19" s="1" t="n"/>
      <c r="B19" s="31">
        <f>Calc!AW4</f>
        <v/>
      </c>
      <c r="C19" s="32" t="n"/>
      <c r="D19" s="33">
        <f>Calc!AX4</f>
        <v/>
      </c>
      <c r="E19" s="32" t="n"/>
      <c r="F19" s="32" t="n"/>
      <c r="G19" s="32" t="n"/>
      <c r="H19" s="32" t="n"/>
      <c r="I19" s="34">
        <f>Calc!AY4</f>
        <v/>
      </c>
      <c r="J19" s="32" t="n"/>
      <c r="K19" s="35">
        <f>Calc!AZ4</f>
        <v/>
      </c>
      <c r="L19" s="32" t="n"/>
      <c r="M19" s="1" t="n"/>
      <c r="N19" s="31">
        <f>Calc!BC4</f>
        <v/>
      </c>
      <c r="O19" s="32" t="n"/>
      <c r="P19" s="33">
        <f>Calc!BD4</f>
        <v/>
      </c>
      <c r="Q19" s="32" t="n"/>
      <c r="R19" s="32" t="n"/>
      <c r="S19" s="32" t="n"/>
      <c r="T19" s="32" t="n"/>
      <c r="U19" s="36">
        <f>Calc!BF4</f>
        <v/>
      </c>
      <c r="V19" s="32" t="n"/>
      <c r="W19" s="34">
        <f>Calc!BE4</f>
        <v/>
      </c>
      <c r="X19" s="32" t="n"/>
      <c r="Y19" s="1" t="n"/>
      <c r="Z19" s="1" t="n"/>
      <c r="AA19" s="1" t="n"/>
      <c r="AB19" s="1" t="n"/>
      <c r="AC19" s="1" t="n"/>
      <c r="AD19" s="1" t="n"/>
      <c r="AE19" s="1" t="n"/>
    </row>
    <row r="20" ht="21" customHeight="1">
      <c r="A20" s="1" t="n"/>
      <c r="B20" s="31">
        <f>Calc!AW5</f>
        <v/>
      </c>
      <c r="C20" s="32" t="n"/>
      <c r="D20" s="33">
        <f>Calc!AX5</f>
        <v/>
      </c>
      <c r="E20" s="32" t="n"/>
      <c r="F20" s="32" t="n"/>
      <c r="G20" s="32" t="n"/>
      <c r="H20" s="32" t="n"/>
      <c r="I20" s="34">
        <f>Calc!AY5</f>
        <v/>
      </c>
      <c r="J20" s="32" t="n"/>
      <c r="K20" s="35">
        <f>Calc!AZ5</f>
        <v/>
      </c>
      <c r="L20" s="32" t="n"/>
      <c r="M20" s="1" t="n"/>
      <c r="N20" s="31">
        <f>Calc!BC5</f>
        <v/>
      </c>
      <c r="O20" s="32" t="n"/>
      <c r="P20" s="33">
        <f>Calc!BD5</f>
        <v/>
      </c>
      <c r="Q20" s="32" t="n"/>
      <c r="R20" s="32" t="n"/>
      <c r="S20" s="32" t="n"/>
      <c r="T20" s="32" t="n"/>
      <c r="U20" s="36">
        <f>Calc!BF5</f>
        <v/>
      </c>
      <c r="V20" s="32" t="n"/>
      <c r="W20" s="34">
        <f>Calc!BE5</f>
        <v/>
      </c>
      <c r="X20" s="32" t="n"/>
      <c r="Y20" s="1" t="n"/>
      <c r="Z20" s="1" t="n"/>
      <c r="AA20" s="1" t="n"/>
      <c r="AB20" s="1" t="n"/>
      <c r="AC20" s="1" t="n"/>
      <c r="AD20" s="1" t="n"/>
      <c r="AE20" s="1" t="n"/>
    </row>
    <row r="21" ht="21" customHeight="1">
      <c r="A21" s="1" t="n"/>
      <c r="B21" s="31">
        <f>Calc!AW6</f>
        <v/>
      </c>
      <c r="C21" s="32" t="n"/>
      <c r="D21" s="33">
        <f>Calc!AX6</f>
        <v/>
      </c>
      <c r="E21" s="32" t="n"/>
      <c r="F21" s="32" t="n"/>
      <c r="G21" s="32" t="n"/>
      <c r="H21" s="32" t="n"/>
      <c r="I21" s="34">
        <f>Calc!AY6</f>
        <v/>
      </c>
      <c r="J21" s="32" t="n"/>
      <c r="K21" s="35">
        <f>Calc!AZ6</f>
        <v/>
      </c>
      <c r="L21" s="32" t="n"/>
      <c r="M21" s="1" t="n"/>
      <c r="N21" s="31">
        <f>Calc!BC6</f>
        <v/>
      </c>
      <c r="O21" s="32" t="n"/>
      <c r="P21" s="33">
        <f>Calc!BD6</f>
        <v/>
      </c>
      <c r="Q21" s="32" t="n"/>
      <c r="R21" s="32" t="n"/>
      <c r="S21" s="32" t="n"/>
      <c r="T21" s="32" t="n"/>
      <c r="U21" s="36">
        <f>Calc!BF6</f>
        <v/>
      </c>
      <c r="V21" s="32" t="n"/>
      <c r="W21" s="34">
        <f>Calc!BE6</f>
        <v/>
      </c>
      <c r="X21" s="32" t="n"/>
      <c r="Y21" s="1" t="n"/>
      <c r="Z21" s="1" t="n"/>
      <c r="AA21" s="1" t="n"/>
      <c r="AB21" s="1" t="n"/>
      <c r="AC21" s="1" t="n"/>
      <c r="AD21" s="1" t="n"/>
      <c r="AE21" s="1" t="n"/>
    </row>
    <row r="22" ht="21" customHeight="1">
      <c r="A22" s="1" t="n"/>
      <c r="B22" s="31">
        <f>Calc!AW7</f>
        <v/>
      </c>
      <c r="C22" s="32" t="n"/>
      <c r="D22" s="33">
        <f>Calc!AX7</f>
        <v/>
      </c>
      <c r="E22" s="32" t="n"/>
      <c r="F22" s="32" t="n"/>
      <c r="G22" s="32" t="n"/>
      <c r="H22" s="32" t="n"/>
      <c r="I22" s="34">
        <f>Calc!AY7</f>
        <v/>
      </c>
      <c r="J22" s="32" t="n"/>
      <c r="K22" s="35">
        <f>Calc!AZ7</f>
        <v/>
      </c>
      <c r="L22" s="32" t="n"/>
      <c r="M22" s="1" t="n"/>
      <c r="N22" s="31">
        <f>Calc!BC7</f>
        <v/>
      </c>
      <c r="O22" s="32" t="n"/>
      <c r="P22" s="33">
        <f>Calc!BD7</f>
        <v/>
      </c>
      <c r="Q22" s="32" t="n"/>
      <c r="R22" s="32" t="n"/>
      <c r="S22" s="32" t="n"/>
      <c r="T22" s="32" t="n"/>
      <c r="U22" s="36">
        <f>Calc!BF7</f>
        <v/>
      </c>
      <c r="V22" s="32" t="n"/>
      <c r="W22" s="34">
        <f>Calc!BE7</f>
        <v/>
      </c>
      <c r="X22" s="32" t="n"/>
      <c r="Y22" s="1" t="n"/>
      <c r="Z22" s="1" t="n"/>
      <c r="AA22" s="1" t="n"/>
      <c r="AB22" s="1" t="n"/>
      <c r="AC22" s="1" t="n"/>
      <c r="AD22" s="1" t="n"/>
      <c r="AE22" s="1" t="n"/>
    </row>
    <row r="23" ht="21" customHeight="1">
      <c r="A23" s="1" t="n"/>
      <c r="B23" s="31">
        <f>Calc!AW8</f>
        <v/>
      </c>
      <c r="C23" s="32" t="n"/>
      <c r="D23" s="33">
        <f>Calc!AX8</f>
        <v/>
      </c>
      <c r="E23" s="32" t="n"/>
      <c r="F23" s="32" t="n"/>
      <c r="G23" s="32" t="n"/>
      <c r="H23" s="32" t="n"/>
      <c r="I23" s="34">
        <f>Calc!AY8</f>
        <v/>
      </c>
      <c r="J23" s="32" t="n"/>
      <c r="K23" s="35">
        <f>Calc!AZ8</f>
        <v/>
      </c>
      <c r="L23" s="32" t="n"/>
      <c r="M23" s="1" t="n"/>
      <c r="N23" s="31">
        <f>Calc!BC8</f>
        <v/>
      </c>
      <c r="O23" s="32" t="n"/>
      <c r="P23" s="33">
        <f>Calc!BD8</f>
        <v/>
      </c>
      <c r="Q23" s="32" t="n"/>
      <c r="R23" s="32" t="n"/>
      <c r="S23" s="32" t="n"/>
      <c r="T23" s="32" t="n"/>
      <c r="U23" s="36">
        <f>Calc!BF8</f>
        <v/>
      </c>
      <c r="V23" s="32" t="n"/>
      <c r="W23" s="34">
        <f>Calc!BE8</f>
        <v/>
      </c>
      <c r="X23" s="32" t="n"/>
      <c r="Y23" s="1" t="n"/>
      <c r="Z23" s="1" t="n"/>
      <c r="AA23" s="1" t="n"/>
      <c r="AB23" s="1" t="n"/>
      <c r="AC23" s="1" t="n"/>
      <c r="AD23" s="1" t="n"/>
      <c r="AE23" s="1" t="n"/>
    </row>
    <row r="24" ht="21" customHeight="1">
      <c r="A24" s="1" t="n"/>
      <c r="B24" s="31">
        <f>Calc!AW9</f>
        <v/>
      </c>
      <c r="C24" s="32" t="n"/>
      <c r="D24" s="33">
        <f>Calc!AX9</f>
        <v/>
      </c>
      <c r="E24" s="32" t="n"/>
      <c r="F24" s="32" t="n"/>
      <c r="G24" s="32" t="n"/>
      <c r="H24" s="32" t="n"/>
      <c r="I24" s="34">
        <f>Calc!AY9</f>
        <v/>
      </c>
      <c r="J24" s="32" t="n"/>
      <c r="K24" s="35">
        <f>Calc!AZ9</f>
        <v/>
      </c>
      <c r="L24" s="32" t="n"/>
      <c r="M24" s="1" t="n"/>
      <c r="N24" s="31">
        <f>Calc!BC9</f>
        <v/>
      </c>
      <c r="O24" s="32" t="n"/>
      <c r="P24" s="33">
        <f>Calc!BD9</f>
        <v/>
      </c>
      <c r="Q24" s="32" t="n"/>
      <c r="R24" s="32" t="n"/>
      <c r="S24" s="32" t="n"/>
      <c r="T24" s="32" t="n"/>
      <c r="U24" s="36">
        <f>Calc!BF9</f>
        <v/>
      </c>
      <c r="V24" s="32" t="n"/>
      <c r="W24" s="34">
        <f>Calc!BE9</f>
        <v/>
      </c>
      <c r="X24" s="32" t="n"/>
      <c r="Y24" s="1" t="n"/>
      <c r="Z24" s="1" t="n"/>
      <c r="AA24" s="1" t="n"/>
      <c r="AB24" s="1" t="n"/>
      <c r="AC24" s="1" t="n"/>
      <c r="AD24" s="1" t="n"/>
      <c r="AE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</row>
    <row r="26">
      <c r="A26" s="1" t="n"/>
      <c r="B26" s="37" t="inlineStr">
        <is>
          <t>Lançar em 10 segundos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37" t="inlineStr">
        <is>
          <t>Rotina da família</t>
        </is>
      </c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</row>
    <row r="27">
      <c r="A27" s="1" t="n"/>
      <c r="B27" s="1" t="inlineStr">
        <is>
          <t>1.  ✚ Novo lançamento (botão acima) leva à primeira linha vazia.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inlineStr">
        <is>
          <t>Toda semana: lançar os gastos (5 min) e conferir Próximos vencimentos.</t>
        </is>
      </c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</row>
    <row r="28">
      <c r="A28" s="1" t="n"/>
      <c r="B28" s="1" t="inlineStr">
        <is>
          <t>2.  Ctrl+;  põe a data de hoje  →  Tab.</t>
        </is>
      </c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inlineStr">
        <is>
          <t>Quando pagar uma conta: trocar Pendente ➜ Pago em Lançamentos.</t>
        </is>
      </c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</row>
    <row r="29">
      <c r="A29" s="1" t="n"/>
      <c r="B29" s="1" t="inlineStr">
        <is>
          <t>3.  Descrição: escolha um favorito (Alt+↓) ou digite  →  Tab.</t>
        </is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inlineStr">
        <is>
          <t>Início do mês: abrir ✔ Contas do mês e colar o bloco das contas que faltam.</t>
        </is>
      </c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</row>
    <row r="30">
      <c r="A30" s="1" t="n"/>
      <c r="B30" s="1" t="inlineStr">
        <is>
          <t>4.  Valor  →  Enter. Tipo, Categoria, Situação e Pote se preenchem sozinhos.</t>
        </is>
      </c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inlineStr">
        <is>
          <t>Fim do mês: olhar o Dashboard e o Orçamento; ajustar metas se precisar.</t>
        </is>
      </c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</row>
    <row r="31">
      <c r="A31" s="1" t="n"/>
      <c r="B31" s="1" t="inlineStr">
        <is>
          <t>5.  Conta futura? Troque a Situação para Pendente; ela aparece em Próximos vencimentos.</t>
        </is>
      </c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inlineStr">
        <is>
          <t>Sempre que mudar: novos favoritos em ★ Favoritos; listas na aba Config.</t>
        </is>
      </c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</row>
    <row r="32">
      <c r="A32" s="1" t="n"/>
      <c r="B32" s="38" t="inlineStr">
        <is>
          <t>Compra parcelada ou lançamento que se repete? Use  ⟳ Parcelar / repetir.</t>
        </is>
      </c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38" t="inlineStr">
        <is>
          <t>Atalhos úteis: Ctrl+D copia a célula de cima • Alt+↓ abre a lista • Ctrl+↓ vai ao fim.</t>
        </is>
      </c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</row>
  </sheetData>
  <mergeCells count="98">
    <mergeCell ref="B11:D11"/>
    <mergeCell ref="V10:X10"/>
    <mergeCell ref="N20:O20"/>
    <mergeCell ref="K24:L24"/>
    <mergeCell ref="D19:H19"/>
    <mergeCell ref="B22:C22"/>
    <mergeCell ref="W24:X24"/>
    <mergeCell ref="N5:P7"/>
    <mergeCell ref="N22:O22"/>
    <mergeCell ref="J11:L11"/>
    <mergeCell ref="B21:C21"/>
    <mergeCell ref="I16:J16"/>
    <mergeCell ref="U16:V16"/>
    <mergeCell ref="I18:J18"/>
    <mergeCell ref="B5:D7"/>
    <mergeCell ref="B24:C24"/>
    <mergeCell ref="J5:L7"/>
    <mergeCell ref="I20:J20"/>
    <mergeCell ref="N24:O24"/>
    <mergeCell ref="U20:V20"/>
    <mergeCell ref="D23:H23"/>
    <mergeCell ref="U22:V22"/>
    <mergeCell ref="G12:H12"/>
    <mergeCell ref="B16:C16"/>
    <mergeCell ref="S12:T12"/>
    <mergeCell ref="N16:O16"/>
    <mergeCell ref="B18:C18"/>
    <mergeCell ref="K21:L21"/>
    <mergeCell ref="B10:D10"/>
    <mergeCell ref="R3:T3"/>
    <mergeCell ref="N10:P10"/>
    <mergeCell ref="D17:H17"/>
    <mergeCell ref="W16:X16"/>
    <mergeCell ref="P17:T17"/>
    <mergeCell ref="I24:J24"/>
    <mergeCell ref="R5:T7"/>
    <mergeCell ref="U24:V24"/>
    <mergeCell ref="V3:X3"/>
    <mergeCell ref="U18:V18"/>
    <mergeCell ref="W18:X18"/>
    <mergeCell ref="I17:J17"/>
    <mergeCell ref="F11:H11"/>
    <mergeCell ref="P19:T19"/>
    <mergeCell ref="K17:L17"/>
    <mergeCell ref="R11:T11"/>
    <mergeCell ref="W17:X17"/>
    <mergeCell ref="I19:J19"/>
    <mergeCell ref="K19:L19"/>
    <mergeCell ref="U19:V19"/>
    <mergeCell ref="W19:X19"/>
    <mergeCell ref="K16:L16"/>
    <mergeCell ref="V5:X7"/>
    <mergeCell ref="P20:T20"/>
    <mergeCell ref="P22:T22"/>
    <mergeCell ref="D21:H21"/>
    <mergeCell ref="W20:X20"/>
    <mergeCell ref="P21:T21"/>
    <mergeCell ref="N18:O18"/>
    <mergeCell ref="B17:C17"/>
    <mergeCell ref="W22:X22"/>
    <mergeCell ref="N17:O17"/>
    <mergeCell ref="I21:J21"/>
    <mergeCell ref="C12:D12"/>
    <mergeCell ref="P23:T23"/>
    <mergeCell ref="D16:H16"/>
    <mergeCell ref="W12:X12"/>
    <mergeCell ref="U21:V21"/>
    <mergeCell ref="B19:C19"/>
    <mergeCell ref="W21:X21"/>
    <mergeCell ref="P16:T16"/>
    <mergeCell ref="N19:O19"/>
    <mergeCell ref="I23:J23"/>
    <mergeCell ref="K23:L23"/>
    <mergeCell ref="D18:H18"/>
    <mergeCell ref="N11:P11"/>
    <mergeCell ref="P18:T18"/>
    <mergeCell ref="J10:L10"/>
    <mergeCell ref="B20:C20"/>
    <mergeCell ref="K18:L18"/>
    <mergeCell ref="D20:H20"/>
    <mergeCell ref="F5:H7"/>
    <mergeCell ref="D22:H22"/>
    <mergeCell ref="V11:X11"/>
    <mergeCell ref="K20:L20"/>
    <mergeCell ref="N21:O21"/>
    <mergeCell ref="U17:V17"/>
    <mergeCell ref="B23:C23"/>
    <mergeCell ref="I22:J22"/>
    <mergeCell ref="K22:L22"/>
    <mergeCell ref="N23:O23"/>
    <mergeCell ref="K12:L12"/>
    <mergeCell ref="O12:P12"/>
    <mergeCell ref="F10:H10"/>
    <mergeCell ref="D24:H24"/>
    <mergeCell ref="R10:T10"/>
    <mergeCell ref="U23:V23"/>
    <mergeCell ref="W23:X23"/>
    <mergeCell ref="P24:T24"/>
  </mergeCells>
  <conditionalFormatting sqref="B11">
    <cfRule type="expression" priority="1" dxfId="0">
      <formula>B11&lt;0</formula>
    </cfRule>
    <cfRule type="expression" priority="2" dxfId="1">
      <formula>B11&gt;=0</formula>
    </cfRule>
  </conditionalFormatting>
  <conditionalFormatting sqref="J11">
    <cfRule type="expression" priority="3" dxfId="2">
      <formula>J11&gt;0</formula>
    </cfRule>
  </conditionalFormatting>
  <conditionalFormatting sqref="N11">
    <cfRule type="expression" priority="4" dxfId="0">
      <formula>N11&gt;1</formula>
    </cfRule>
    <cfRule type="expression" priority="5" dxfId="2">
      <formula>AND(N11&gt;0.8,N11&lt;=1)</formula>
    </cfRule>
    <cfRule type="expression" priority="6" dxfId="1">
      <formula>N11&lt;=0.8</formula>
    </cfRule>
  </conditionalFormatting>
  <conditionalFormatting sqref="G12:H12">
    <cfRule type="expression" priority="7" dxfId="0">
      <formula>G12&gt;0</formula>
    </cfRule>
  </conditionalFormatting>
  <conditionalFormatting sqref="K12:L12">
    <cfRule type="expression" priority="8" dxfId="0">
      <formula>K12&gt;0</formula>
    </cfRule>
  </conditionalFormatting>
  <conditionalFormatting sqref="K17:L24">
    <cfRule type="expression" priority="9" dxfId="0">
      <formula>$K17="Atrasada"</formula>
    </cfRule>
    <cfRule type="expression" priority="10" dxfId="2">
      <formula>$K17="Esta semana"</formula>
    </cfRule>
  </conditionalFormatting>
  <conditionalFormatting sqref="W17:X24">
    <cfRule type="expression" priority="11" dxfId="1">
      <formula>Calc!$BG2="Receita"</formula>
    </cfRule>
  </conditionalFormatting>
  <printOptions horizontalCentered="1"/>
  <pageMargins left="0.3" right="0.3" top="0.3" bottom="0.3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4F8CFF"/>
    <outlinePr summaryBelow="1" summaryRight="1"/>
    <pageSetUpPr fitToPage="1"/>
  </sheetPr>
  <dimension ref="A1:AE80"/>
  <sheetViews>
    <sheetView showGridLines="0" tabSelected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style="1" min="1" max="1"/>
    <col width="10" customWidth="1" style="1" min="2" max="2"/>
    <col width="10" customWidth="1" style="1" min="3" max="3"/>
    <col width="10" customWidth="1" style="1" min="4" max="4"/>
    <col width="2.5" customWidth="1" style="1" min="5" max="5"/>
    <col width="10" customWidth="1" style="1" min="6" max="6"/>
    <col width="10" customWidth="1" style="1" min="7" max="7"/>
    <col width="10" customWidth="1" style="1" min="8" max="8"/>
    <col width="2.5" customWidth="1" style="1" min="9" max="9"/>
    <col width="10" customWidth="1" style="1" min="10" max="10"/>
    <col width="10" customWidth="1" style="1" min="11" max="11"/>
    <col width="10" customWidth="1" style="1" min="12" max="12"/>
    <col width="2.5" customWidth="1" style="1" min="13" max="13"/>
    <col width="10" customWidth="1" style="1" min="14" max="14"/>
    <col width="10" customWidth="1" style="1" min="15" max="15"/>
    <col width="10" customWidth="1" style="1" min="16" max="16"/>
    <col width="2.5" customWidth="1" style="1" min="17" max="17"/>
    <col width="10" customWidth="1" style="1" min="18" max="18"/>
    <col width="10" customWidth="1" style="1" min="19" max="19"/>
    <col width="10" customWidth="1" style="1" min="20" max="20"/>
    <col width="2.5" customWidth="1" style="1" min="21" max="21"/>
    <col width="10" customWidth="1" style="1" min="22" max="22"/>
    <col width="10" customWidth="1" style="1" min="23" max="23"/>
    <col width="10" customWidth="1" style="1" min="24" max="24"/>
    <col width="3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</cols>
  <sheetData>
    <row r="1" ht="1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26" customHeight="1">
      <c r="A2" s="1" t="n"/>
      <c r="B2" s="2" t="inlineStr">
        <is>
          <t>Finanças da Família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39">
        <f>HYPERLINK("#Inicio!A1","⌂  Início")</f>
        <v/>
      </c>
      <c r="O2" s="8" t="n"/>
      <c r="P2" s="8" t="n"/>
      <c r="Q2" s="1" t="n"/>
      <c r="R2" s="3" t="inlineStr">
        <is>
          <t>MÊS</t>
        </is>
      </c>
      <c r="S2" s="1" t="n"/>
      <c r="T2" s="1" t="n"/>
      <c r="U2" s="1" t="n"/>
      <c r="V2" s="3" t="inlineStr">
        <is>
          <t>ANO</t>
        </is>
      </c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</row>
    <row r="3" ht="28" customHeight="1">
      <c r="A3" s="1" t="n"/>
      <c r="B3" s="4" t="inlineStr">
        <is>
          <t>Visão mensal — escolha o mês e o ano nos seletores à direita; tudo se atualiza sozinho.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40">
        <f>HYPERLINK("#Lancamentos!B"&amp;(ROWS(tbLancamentos[Data])+5),"✚  Novo lançamento")</f>
        <v/>
      </c>
      <c r="O3" s="8" t="n"/>
      <c r="P3" s="8" t="n"/>
      <c r="Q3" s="1" t="n"/>
      <c r="R3" s="41" t="inlineStr">
        <is>
          <t>Setembro</t>
        </is>
      </c>
      <c r="S3" s="6" t="n"/>
      <c r="T3" s="6" t="n"/>
      <c r="U3" s="1" t="n"/>
      <c r="V3" s="41" t="n">
        <v>2026</v>
      </c>
      <c r="W3" s="6" t="n"/>
      <c r="X3" s="6" t="n"/>
      <c r="Y3" s="1" t="n"/>
      <c r="Z3" s="1" t="n"/>
      <c r="AA3" s="1" t="n"/>
      <c r="AB3" s="1" t="n"/>
      <c r="AC3" s="1" t="n"/>
      <c r="AD3" s="1" t="n"/>
      <c r="AE3" s="1" t="n"/>
    </row>
    <row r="4" ht="16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</row>
    <row r="5" ht="8" customHeight="1">
      <c r="A5" s="1" t="n"/>
      <c r="B5" s="16" t="n"/>
      <c r="C5" s="16" t="n"/>
      <c r="D5" s="16" t="n"/>
      <c r="E5" s="1" t="n"/>
      <c r="F5" s="42" t="n"/>
      <c r="G5" s="42" t="n"/>
      <c r="H5" s="42" t="n"/>
      <c r="I5" s="1" t="n"/>
      <c r="J5" s="15" t="n"/>
      <c r="K5" s="15" t="n"/>
      <c r="L5" s="15" t="n"/>
      <c r="M5" s="1" t="n"/>
      <c r="N5" s="18" t="n"/>
      <c r="O5" s="18" t="n"/>
      <c r="P5" s="18" t="n"/>
      <c r="Q5" s="1" t="n"/>
      <c r="R5" s="17" t="n"/>
      <c r="S5" s="17" t="n"/>
      <c r="T5" s="17" t="n"/>
      <c r="U5" s="1" t="n"/>
      <c r="V5" s="15" t="n"/>
      <c r="W5" s="15" t="n"/>
      <c r="X5" s="15" t="n"/>
      <c r="Y5" s="1" t="n"/>
      <c r="Z5" s="1" t="n"/>
      <c r="AA5" s="1" t="n"/>
      <c r="AB5" s="1" t="n"/>
      <c r="AC5" s="1" t="n"/>
      <c r="AD5" s="1" t="n"/>
      <c r="AE5" s="1" t="n"/>
    </row>
    <row r="6" ht="20" customHeight="1">
      <c r="A6" s="1" t="n"/>
      <c r="B6" s="19" t="inlineStr">
        <is>
          <t>RECEITAS DO MÊS</t>
        </is>
      </c>
      <c r="C6" s="8" t="n"/>
      <c r="D6" s="8" t="n"/>
      <c r="E6" s="1" t="n"/>
      <c r="F6" s="19" t="inlineStr">
        <is>
          <t>GASTOS DO MÊS</t>
        </is>
      </c>
      <c r="G6" s="8" t="n"/>
      <c r="H6" s="8" t="n"/>
      <c r="I6" s="1" t="n"/>
      <c r="J6" s="19" t="inlineStr">
        <is>
          <t>SALDO DO MÊS</t>
        </is>
      </c>
      <c r="K6" s="8" t="n"/>
      <c r="L6" s="8" t="n"/>
      <c r="M6" s="1" t="n"/>
      <c r="N6" s="19" t="inlineStr">
        <is>
          <t>TAXA DE POUPANÇA</t>
        </is>
      </c>
      <c r="O6" s="8" t="n"/>
      <c r="P6" s="8" t="n"/>
      <c r="Q6" s="1" t="n"/>
      <c r="R6" s="19" t="inlineStr">
        <is>
          <t>GASTOS VS. MÊS ANTERIOR</t>
        </is>
      </c>
      <c r="S6" s="8" t="n"/>
      <c r="T6" s="8" t="n"/>
      <c r="U6" s="1" t="n"/>
      <c r="V6" s="19" t="inlineStr">
        <is>
          <t>% DO ORÇAMENTO UTILIZADO</t>
        </is>
      </c>
      <c r="W6" s="8" t="n"/>
      <c r="X6" s="8" t="n"/>
      <c r="Y6" s="1" t="n"/>
      <c r="Z6" s="1" t="n"/>
      <c r="AA6" s="1" t="n"/>
      <c r="AB6" s="1" t="n"/>
      <c r="AC6" s="1" t="n"/>
      <c r="AD6" s="1" t="n"/>
      <c r="AE6" s="1" t="n"/>
    </row>
    <row r="7" ht="38" customHeight="1">
      <c r="A7" s="1" t="n"/>
      <c r="B7" s="43">
        <f>Calc!B9</f>
        <v/>
      </c>
      <c r="C7" s="8" t="n"/>
      <c r="D7" s="8" t="n"/>
      <c r="E7" s="1" t="n"/>
      <c r="F7" s="43">
        <f>Calc!B10</f>
        <v/>
      </c>
      <c r="G7" s="8" t="n"/>
      <c r="H7" s="8" t="n"/>
      <c r="I7" s="1" t="n"/>
      <c r="J7" s="43">
        <f>Calc!B13</f>
        <v/>
      </c>
      <c r="K7" s="8" t="n"/>
      <c r="L7" s="8" t="n"/>
      <c r="M7" s="1" t="n"/>
      <c r="N7" s="44">
        <f>Calc!B15</f>
        <v/>
      </c>
      <c r="O7" s="8" t="n"/>
      <c r="P7" s="8" t="n"/>
      <c r="Q7" s="1" t="n"/>
      <c r="R7" s="45">
        <f>Calc!B16</f>
        <v/>
      </c>
      <c r="S7" s="8" t="n"/>
      <c r="T7" s="8" t="n"/>
      <c r="U7" s="1" t="n"/>
      <c r="V7" s="44">
        <f>Calc!B18</f>
        <v/>
      </c>
      <c r="W7" s="8" t="n"/>
      <c r="X7" s="8" t="n"/>
      <c r="Y7" s="1" t="n"/>
      <c r="Z7" s="1" t="n"/>
      <c r="AA7" s="1" t="n"/>
      <c r="AB7" s="1" t="n"/>
      <c r="AC7" s="1" t="n"/>
      <c r="AD7" s="1" t="n"/>
      <c r="AE7" s="1" t="n"/>
    </row>
    <row r="8" ht="18" customHeight="1">
      <c r="A8" s="1" t="n"/>
      <c r="B8" s="23" t="inlineStr">
        <is>
          <t>Mês anterior</t>
        </is>
      </c>
      <c r="C8" s="25">
        <f>Calc!B11</f>
        <v/>
      </c>
      <c r="D8" s="8" t="n"/>
      <c r="E8" s="1" t="n"/>
      <c r="F8" s="23" t="inlineStr">
        <is>
          <t>Mês anterior</t>
        </is>
      </c>
      <c r="G8" s="25">
        <f>Calc!B12</f>
        <v/>
      </c>
      <c r="H8" s="8" t="n"/>
      <c r="I8" s="1" t="n"/>
      <c r="J8" s="23" t="inlineStr">
        <is>
          <t>Mês anterior</t>
        </is>
      </c>
      <c r="K8" s="25">
        <f>Calc!B14</f>
        <v/>
      </c>
      <c r="L8" s="8" t="n"/>
      <c r="M8" s="1" t="n"/>
      <c r="N8" s="23" t="inlineStr">
        <is>
          <t>Mês anterior</t>
        </is>
      </c>
      <c r="O8" s="24">
        <f>Calc!B19</f>
        <v/>
      </c>
      <c r="P8" s="8" t="n"/>
      <c r="Q8" s="1" t="n"/>
      <c r="R8" s="23" t="inlineStr">
        <is>
          <t>Diferença</t>
        </is>
      </c>
      <c r="S8" s="25">
        <f>Calc!B25</f>
        <v/>
      </c>
      <c r="T8" s="8" t="n"/>
      <c r="U8" s="1" t="n"/>
      <c r="V8" s="23" t="inlineStr">
        <is>
          <t>Meta total</t>
        </is>
      </c>
      <c r="W8" s="25">
        <f>Calc!B17</f>
        <v/>
      </c>
      <c r="X8" s="8" t="n"/>
      <c r="Y8" s="1" t="n"/>
      <c r="Z8" s="1" t="n"/>
      <c r="AA8" s="1" t="n"/>
      <c r="AB8" s="1" t="n"/>
      <c r="AC8" s="1" t="n"/>
      <c r="AD8" s="1" t="n"/>
      <c r="AE8" s="1" t="n"/>
    </row>
    <row r="9" ht="10" customHeight="1">
      <c r="A9" s="1" t="n"/>
      <c r="B9" s="27" t="n"/>
      <c r="C9" s="27" t="n"/>
      <c r="D9" s="27" t="n"/>
      <c r="E9" s="1" t="n"/>
      <c r="F9" s="27" t="n"/>
      <c r="G9" s="27" t="n"/>
      <c r="H9" s="27" t="n"/>
      <c r="I9" s="1" t="n"/>
      <c r="J9" s="27" t="n"/>
      <c r="K9" s="27" t="n"/>
      <c r="L9" s="27" t="n"/>
      <c r="M9" s="1" t="n"/>
      <c r="N9" s="27" t="n"/>
      <c r="O9" s="27" t="n"/>
      <c r="P9" s="27" t="n"/>
      <c r="Q9" s="1" t="n"/>
      <c r="R9" s="27" t="n"/>
      <c r="S9" s="27" t="n"/>
      <c r="T9" s="27" t="n"/>
      <c r="U9" s="1" t="n"/>
      <c r="V9" s="27" t="n"/>
      <c r="W9" s="27" t="n"/>
      <c r="X9" s="27" t="n"/>
      <c r="Y9" s="1" t="n"/>
      <c r="Z9" s="1" t="n"/>
      <c r="AA9" s="1" t="n"/>
      <c r="AB9" s="1" t="n"/>
      <c r="AC9" s="1" t="n"/>
      <c r="AD9" s="1" t="n"/>
      <c r="AE9" s="1" t="n"/>
    </row>
    <row r="10" ht="18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</row>
    <row r="11" ht="18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</row>
    <row r="12" ht="18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</row>
    <row r="13" ht="18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</row>
    <row r="14" ht="18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</row>
    <row r="15" ht="18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</row>
    <row r="16" ht="18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</row>
    <row r="17" ht="18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</row>
    <row r="18" ht="18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</row>
    <row r="19" ht="18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</row>
    <row r="20" ht="18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</row>
    <row r="21" ht="18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</row>
    <row r="22" ht="18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</row>
    <row r="23" ht="18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</row>
    <row r="24" ht="18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</row>
    <row r="25" ht="18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</row>
    <row r="26" ht="18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</row>
    <row r="27" ht="18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</row>
    <row r="28" ht="18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</row>
    <row r="29" ht="18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</row>
    <row r="30" ht="14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</row>
    <row r="31" ht="18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</row>
    <row r="32" ht="18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</row>
    <row r="33" ht="18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</row>
    <row r="34" ht="18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</row>
    <row r="35" ht="18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</row>
    <row r="36" ht="18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</row>
    <row r="37" ht="18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</row>
    <row r="38" ht="18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</row>
    <row r="39" ht="18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</row>
    <row r="40" ht="18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</row>
    <row r="41" ht="18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</row>
    <row r="42" ht="18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</row>
    <row r="43" ht="18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</row>
    <row r="44" ht="18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</row>
    <row r="45" ht="18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</row>
    <row r="46" ht="18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</row>
    <row r="47" ht="18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</row>
    <row r="48" ht="18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</row>
    <row r="49" ht="18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</row>
    <row r="50" ht="14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</row>
    <row r="51" ht="26" customHeight="1">
      <c r="A51" s="1" t="n"/>
      <c r="B51" s="28" t="inlineStr">
        <is>
          <t>Top 5 maiores gastos do mês</t>
        </is>
      </c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28" t="inlineStr">
        <is>
          <t>Orçado × Realizado por categoria</t>
        </is>
      </c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</row>
    <row r="52" ht="24" customHeight="1">
      <c r="A52" s="1" t="n"/>
      <c r="B52" s="29" t="inlineStr">
        <is>
          <t>Data</t>
        </is>
      </c>
      <c r="C52" s="8" t="n"/>
      <c r="D52" s="29" t="inlineStr">
        <is>
          <t>Descrição</t>
        </is>
      </c>
      <c r="E52" s="8" t="n"/>
      <c r="F52" s="8" t="n"/>
      <c r="G52" s="8" t="n"/>
      <c r="H52" s="8" t="n"/>
      <c r="I52" s="29" t="inlineStr">
        <is>
          <t>Categoria</t>
        </is>
      </c>
      <c r="J52" s="8" t="n"/>
      <c r="K52" s="30" t="inlineStr">
        <is>
          <t>Valor</t>
        </is>
      </c>
      <c r="L52" s="8" t="n"/>
      <c r="M52" s="1" t="n"/>
      <c r="N52" s="29" t="inlineStr">
        <is>
          <t>Categoria</t>
        </is>
      </c>
      <c r="O52" s="8" t="n"/>
      <c r="P52" s="8" t="n"/>
      <c r="Q52" s="30" t="inlineStr">
        <is>
          <t>Meta</t>
        </is>
      </c>
      <c r="R52" s="8" t="n"/>
      <c r="S52" s="30" t="inlineStr">
        <is>
          <t>Realizado</t>
        </is>
      </c>
      <c r="T52" s="8" t="n"/>
      <c r="U52" s="30" t="inlineStr">
        <is>
          <t>Diferença</t>
        </is>
      </c>
      <c r="V52" s="8" t="n"/>
      <c r="W52" s="30" t="inlineStr">
        <is>
          <t>% usado</t>
        </is>
      </c>
      <c r="X52" s="8" t="n"/>
      <c r="Y52" s="1" t="n"/>
      <c r="Z52" s="1" t="n"/>
      <c r="AA52" s="1" t="n"/>
      <c r="AB52" s="1" t="n"/>
      <c r="AC52" s="1" t="n"/>
      <c r="AD52" s="1" t="n"/>
      <c r="AE52" s="1" t="n"/>
    </row>
    <row r="53" ht="22" customHeight="1">
      <c r="A53" s="1" t="n"/>
      <c r="B53" s="31">
        <f>Calc!AH2</f>
        <v/>
      </c>
      <c r="C53" s="32" t="n"/>
      <c r="D53" s="33">
        <f>Calc!AI2</f>
        <v/>
      </c>
      <c r="E53" s="32" t="n"/>
      <c r="F53" s="32" t="n"/>
      <c r="G53" s="32" t="n"/>
      <c r="H53" s="32" t="n"/>
      <c r="I53" s="36">
        <f>Calc!AJ2</f>
        <v/>
      </c>
      <c r="J53" s="32" t="n"/>
      <c r="K53" s="46">
        <f>Calc!AK2</f>
        <v/>
      </c>
      <c r="L53" s="32" t="n"/>
      <c r="M53" s="1" t="n"/>
      <c r="N53" s="33">
        <f>Calc!Z2</f>
        <v/>
      </c>
      <c r="O53" s="32" t="n"/>
      <c r="P53" s="32" t="n"/>
      <c r="Q53" s="47">
        <f>Calc!AA2</f>
        <v/>
      </c>
      <c r="R53" s="32" t="n"/>
      <c r="S53" s="48">
        <f>Calc!AB2</f>
        <v/>
      </c>
      <c r="T53" s="32" t="n"/>
      <c r="U53" s="48">
        <f>Q53-S53</f>
        <v/>
      </c>
      <c r="V53" s="32" t="n"/>
      <c r="W53" s="49">
        <f>Calc!AC2</f>
        <v/>
      </c>
      <c r="X53" s="32" t="n"/>
      <c r="Y53" s="1" t="n"/>
      <c r="Z53" s="1" t="n"/>
      <c r="AA53" s="1" t="n"/>
      <c r="AB53" s="1" t="n"/>
      <c r="AC53" s="1" t="n"/>
      <c r="AD53" s="1" t="n"/>
      <c r="AE53" s="1" t="n"/>
    </row>
    <row r="54" ht="22" customHeight="1">
      <c r="A54" s="1" t="n"/>
      <c r="B54" s="31">
        <f>Calc!AH3</f>
        <v/>
      </c>
      <c r="C54" s="32" t="n"/>
      <c r="D54" s="33">
        <f>Calc!AI3</f>
        <v/>
      </c>
      <c r="E54" s="32" t="n"/>
      <c r="F54" s="32" t="n"/>
      <c r="G54" s="32" t="n"/>
      <c r="H54" s="32" t="n"/>
      <c r="I54" s="36">
        <f>Calc!AJ3</f>
        <v/>
      </c>
      <c r="J54" s="32" t="n"/>
      <c r="K54" s="46">
        <f>Calc!AK3</f>
        <v/>
      </c>
      <c r="L54" s="32" t="n"/>
      <c r="M54" s="1" t="n"/>
      <c r="N54" s="33">
        <f>Calc!Z3</f>
        <v/>
      </c>
      <c r="O54" s="32" t="n"/>
      <c r="P54" s="32" t="n"/>
      <c r="Q54" s="47">
        <f>Calc!AA3</f>
        <v/>
      </c>
      <c r="R54" s="32" t="n"/>
      <c r="S54" s="48">
        <f>Calc!AB3</f>
        <v/>
      </c>
      <c r="T54" s="32" t="n"/>
      <c r="U54" s="48">
        <f>Q54-S54</f>
        <v/>
      </c>
      <c r="V54" s="32" t="n"/>
      <c r="W54" s="49">
        <f>Calc!AC3</f>
        <v/>
      </c>
      <c r="X54" s="32" t="n"/>
      <c r="Y54" s="1" t="n"/>
      <c r="Z54" s="1" t="n"/>
      <c r="AA54" s="1" t="n"/>
      <c r="AB54" s="1" t="n"/>
      <c r="AC54" s="1" t="n"/>
      <c r="AD54" s="1" t="n"/>
      <c r="AE54" s="1" t="n"/>
    </row>
    <row r="55" ht="22" customHeight="1">
      <c r="A55" s="1" t="n"/>
      <c r="B55" s="31">
        <f>Calc!AH4</f>
        <v/>
      </c>
      <c r="C55" s="32" t="n"/>
      <c r="D55" s="33">
        <f>Calc!AI4</f>
        <v/>
      </c>
      <c r="E55" s="32" t="n"/>
      <c r="F55" s="32" t="n"/>
      <c r="G55" s="32" t="n"/>
      <c r="H55" s="32" t="n"/>
      <c r="I55" s="36">
        <f>Calc!AJ4</f>
        <v/>
      </c>
      <c r="J55" s="32" t="n"/>
      <c r="K55" s="46">
        <f>Calc!AK4</f>
        <v/>
      </c>
      <c r="L55" s="32" t="n"/>
      <c r="M55" s="1" t="n"/>
      <c r="N55" s="33">
        <f>Calc!Z4</f>
        <v/>
      </c>
      <c r="O55" s="32" t="n"/>
      <c r="P55" s="32" t="n"/>
      <c r="Q55" s="47">
        <f>Calc!AA4</f>
        <v/>
      </c>
      <c r="R55" s="32" t="n"/>
      <c r="S55" s="48">
        <f>Calc!AB4</f>
        <v/>
      </c>
      <c r="T55" s="32" t="n"/>
      <c r="U55" s="48">
        <f>Q55-S55</f>
        <v/>
      </c>
      <c r="V55" s="32" t="n"/>
      <c r="W55" s="49">
        <f>Calc!AC4</f>
        <v/>
      </c>
      <c r="X55" s="32" t="n"/>
      <c r="Y55" s="1" t="n"/>
      <c r="Z55" s="1" t="n"/>
      <c r="AA55" s="1" t="n"/>
      <c r="AB55" s="1" t="n"/>
      <c r="AC55" s="1" t="n"/>
      <c r="AD55" s="1" t="n"/>
      <c r="AE55" s="1" t="n"/>
    </row>
    <row r="56" ht="22" customHeight="1">
      <c r="A56" s="1" t="n"/>
      <c r="B56" s="31">
        <f>Calc!AH5</f>
        <v/>
      </c>
      <c r="C56" s="32" t="n"/>
      <c r="D56" s="33">
        <f>Calc!AI5</f>
        <v/>
      </c>
      <c r="E56" s="32" t="n"/>
      <c r="F56" s="32" t="n"/>
      <c r="G56" s="32" t="n"/>
      <c r="H56" s="32" t="n"/>
      <c r="I56" s="36">
        <f>Calc!AJ5</f>
        <v/>
      </c>
      <c r="J56" s="32" t="n"/>
      <c r="K56" s="46">
        <f>Calc!AK5</f>
        <v/>
      </c>
      <c r="L56" s="32" t="n"/>
      <c r="M56" s="1" t="n"/>
      <c r="N56" s="33">
        <f>Calc!Z5</f>
        <v/>
      </c>
      <c r="O56" s="32" t="n"/>
      <c r="P56" s="32" t="n"/>
      <c r="Q56" s="47">
        <f>Calc!AA5</f>
        <v/>
      </c>
      <c r="R56" s="32" t="n"/>
      <c r="S56" s="48">
        <f>Calc!AB5</f>
        <v/>
      </c>
      <c r="T56" s="32" t="n"/>
      <c r="U56" s="48">
        <f>Q56-S56</f>
        <v/>
      </c>
      <c r="V56" s="32" t="n"/>
      <c r="W56" s="49">
        <f>Calc!AC5</f>
        <v/>
      </c>
      <c r="X56" s="32" t="n"/>
      <c r="Y56" s="1" t="n"/>
      <c r="Z56" s="1" t="n"/>
      <c r="AA56" s="1" t="n"/>
      <c r="AB56" s="1" t="n"/>
      <c r="AC56" s="1" t="n"/>
      <c r="AD56" s="1" t="n"/>
      <c r="AE56" s="1" t="n"/>
    </row>
    <row r="57" ht="22" customHeight="1">
      <c r="A57" s="1" t="n"/>
      <c r="B57" s="31">
        <f>Calc!AH6</f>
        <v/>
      </c>
      <c r="C57" s="32" t="n"/>
      <c r="D57" s="33">
        <f>Calc!AI6</f>
        <v/>
      </c>
      <c r="E57" s="32" t="n"/>
      <c r="F57" s="32" t="n"/>
      <c r="G57" s="32" t="n"/>
      <c r="H57" s="32" t="n"/>
      <c r="I57" s="36">
        <f>Calc!AJ6</f>
        <v/>
      </c>
      <c r="J57" s="32" t="n"/>
      <c r="K57" s="46">
        <f>Calc!AK6</f>
        <v/>
      </c>
      <c r="L57" s="32" t="n"/>
      <c r="M57" s="1" t="n"/>
      <c r="N57" s="33">
        <f>Calc!Z6</f>
        <v/>
      </c>
      <c r="O57" s="32" t="n"/>
      <c r="P57" s="32" t="n"/>
      <c r="Q57" s="47">
        <f>Calc!AA6</f>
        <v/>
      </c>
      <c r="R57" s="32" t="n"/>
      <c r="S57" s="48">
        <f>Calc!AB6</f>
        <v/>
      </c>
      <c r="T57" s="32" t="n"/>
      <c r="U57" s="48">
        <f>Q57-S57</f>
        <v/>
      </c>
      <c r="V57" s="32" t="n"/>
      <c r="W57" s="49">
        <f>Calc!AC6</f>
        <v/>
      </c>
      <c r="X57" s="32" t="n"/>
      <c r="Y57" s="1" t="n"/>
      <c r="Z57" s="1" t="n"/>
      <c r="AA57" s="1" t="n"/>
      <c r="AB57" s="1" t="n"/>
      <c r="AC57" s="1" t="n"/>
      <c r="AD57" s="1" t="n"/>
      <c r="AE57" s="1" t="n"/>
    </row>
    <row r="58" ht="22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33">
        <f>Calc!Z7</f>
        <v/>
      </c>
      <c r="O58" s="32" t="n"/>
      <c r="P58" s="32" t="n"/>
      <c r="Q58" s="47">
        <f>Calc!AA7</f>
        <v/>
      </c>
      <c r="R58" s="32" t="n"/>
      <c r="S58" s="48">
        <f>Calc!AB7</f>
        <v/>
      </c>
      <c r="T58" s="32" t="n"/>
      <c r="U58" s="48">
        <f>Q58-S58</f>
        <v/>
      </c>
      <c r="V58" s="32" t="n"/>
      <c r="W58" s="49">
        <f>Calc!AC7</f>
        <v/>
      </c>
      <c r="X58" s="32" t="n"/>
      <c r="Y58" s="1" t="n"/>
      <c r="Z58" s="1" t="n"/>
      <c r="AA58" s="1" t="n"/>
      <c r="AB58" s="1" t="n"/>
      <c r="AC58" s="1" t="n"/>
      <c r="AD58" s="1" t="n"/>
      <c r="AE58" s="1" t="n"/>
    </row>
    <row r="59" ht="22" customHeight="1">
      <c r="A59" s="1" t="n"/>
      <c r="B59" s="50" t="inlineStr">
        <is>
          <t>Como usar</t>
        </is>
      </c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33">
        <f>Calc!Z8</f>
        <v/>
      </c>
      <c r="O59" s="32" t="n"/>
      <c r="P59" s="32" t="n"/>
      <c r="Q59" s="47">
        <f>Calc!AA8</f>
        <v/>
      </c>
      <c r="R59" s="32" t="n"/>
      <c r="S59" s="48">
        <f>Calc!AB8</f>
        <v/>
      </c>
      <c r="T59" s="32" t="n"/>
      <c r="U59" s="48">
        <f>Q59-S59</f>
        <v/>
      </c>
      <c r="V59" s="32" t="n"/>
      <c r="W59" s="49">
        <f>Calc!AC8</f>
        <v/>
      </c>
      <c r="X59" s="32" t="n"/>
      <c r="Y59" s="1" t="n"/>
      <c r="Z59" s="1" t="n"/>
      <c r="AA59" s="1" t="n"/>
      <c r="AB59" s="1" t="n"/>
      <c r="AC59" s="1" t="n"/>
      <c r="AD59" s="1" t="n"/>
      <c r="AE59" s="1" t="n"/>
    </row>
    <row r="60" ht="22" customHeight="1">
      <c r="A60" s="1" t="n"/>
      <c r="B60" s="51" t="inlineStr">
        <is>
          <t>1. Lance receitas e gastos na aba Lançamentos (valor sempre positivo).</t>
        </is>
      </c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33">
        <f>Calc!Z9</f>
        <v/>
      </c>
      <c r="O60" s="32" t="n"/>
      <c r="P60" s="32" t="n"/>
      <c r="Q60" s="47">
        <f>Calc!AA9</f>
        <v/>
      </c>
      <c r="R60" s="32" t="n"/>
      <c r="S60" s="48">
        <f>Calc!AB9</f>
        <v/>
      </c>
      <c r="T60" s="32" t="n"/>
      <c r="U60" s="48">
        <f>Q60-S60</f>
        <v/>
      </c>
      <c r="V60" s="32" t="n"/>
      <c r="W60" s="49">
        <f>Calc!AC9</f>
        <v/>
      </c>
      <c r="X60" s="32" t="n"/>
      <c r="Y60" s="1" t="n"/>
      <c r="Z60" s="1" t="n"/>
      <c r="AA60" s="1" t="n"/>
      <c r="AB60" s="1" t="n"/>
      <c r="AC60" s="1" t="n"/>
      <c r="AD60" s="1" t="n"/>
      <c r="AE60" s="1" t="n"/>
    </row>
    <row r="61" ht="22" customHeight="1">
      <c r="A61" s="1" t="n"/>
      <c r="B61" s="51" t="inlineStr">
        <is>
          <t>2. Troque o mês/ano no topo: tudo se atualiza sozinho.</t>
        </is>
      </c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33">
        <f>Calc!Z10</f>
        <v/>
      </c>
      <c r="O61" s="32" t="n"/>
      <c r="P61" s="32" t="n"/>
      <c r="Q61" s="47">
        <f>Calc!AA10</f>
        <v/>
      </c>
      <c r="R61" s="32" t="n"/>
      <c r="S61" s="48">
        <f>Calc!AB10</f>
        <v/>
      </c>
      <c r="T61" s="32" t="n"/>
      <c r="U61" s="48">
        <f>Q61-S61</f>
        <v/>
      </c>
      <c r="V61" s="32" t="n"/>
      <c r="W61" s="49">
        <f>Calc!AC10</f>
        <v/>
      </c>
      <c r="X61" s="32" t="n"/>
      <c r="Y61" s="1" t="n"/>
      <c r="Z61" s="1" t="n"/>
      <c r="AA61" s="1" t="n"/>
      <c r="AB61" s="1" t="n"/>
      <c r="AC61" s="1" t="n"/>
      <c r="AD61" s="1" t="n"/>
      <c r="AE61" s="1" t="n"/>
    </row>
    <row r="62" ht="22" customHeight="1">
      <c r="A62" s="1" t="n"/>
      <c r="B62" s="51" t="inlineStr">
        <is>
          <t>3. Ajuste metas na aba Orçamento e listas na aba Config.</t>
        </is>
      </c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33">
        <f>Calc!Z11</f>
        <v/>
      </c>
      <c r="O62" s="32" t="n"/>
      <c r="P62" s="32" t="n"/>
      <c r="Q62" s="47">
        <f>Calc!AA11</f>
        <v/>
      </c>
      <c r="R62" s="32" t="n"/>
      <c r="S62" s="48">
        <f>Calc!AB11</f>
        <v/>
      </c>
      <c r="T62" s="32" t="n"/>
      <c r="U62" s="48">
        <f>Q62-S62</f>
        <v/>
      </c>
      <c r="V62" s="32" t="n"/>
      <c r="W62" s="49">
        <f>Calc!AC11</f>
        <v/>
      </c>
      <c r="X62" s="32" t="n"/>
      <c r="Y62" s="1" t="n"/>
      <c r="Z62" s="1" t="n"/>
      <c r="AA62" s="1" t="n"/>
      <c r="AB62" s="1" t="n"/>
      <c r="AC62" s="1" t="n"/>
      <c r="AD62" s="1" t="n"/>
      <c r="AE62" s="1" t="n"/>
    </row>
    <row r="63" ht="22" customHeight="1">
      <c r="A63" s="1" t="n"/>
      <c r="B63" s="51" t="inlineStr">
        <is>
          <t>4. Só entra nos totais o que tem 'Conta no mês?' = sim.</t>
        </is>
      </c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33">
        <f>Calc!Z12</f>
        <v/>
      </c>
      <c r="O63" s="32" t="n"/>
      <c r="P63" s="32" t="n"/>
      <c r="Q63" s="47">
        <f>Calc!AA12</f>
        <v/>
      </c>
      <c r="R63" s="32" t="n"/>
      <c r="S63" s="48">
        <f>Calc!AB12</f>
        <v/>
      </c>
      <c r="T63" s="32" t="n"/>
      <c r="U63" s="48">
        <f>Q63-S63</f>
        <v/>
      </c>
      <c r="V63" s="32" t="n"/>
      <c r="W63" s="49">
        <f>Calc!AC12</f>
        <v/>
      </c>
      <c r="X63" s="32" t="n"/>
      <c r="Y63" s="1" t="n"/>
      <c r="Z63" s="1" t="n"/>
      <c r="AA63" s="1" t="n"/>
      <c r="AB63" s="1" t="n"/>
      <c r="AC63" s="1" t="n"/>
      <c r="AD63" s="1" t="n"/>
      <c r="AE63" s="1" t="n"/>
    </row>
    <row r="64" ht="22" customHeight="1">
      <c r="A64" s="1" t="n"/>
      <c r="B64" s="51" t="inlineStr">
        <is>
          <t>% usado: verde até 80% • amarelo 80–100% • vermelho acima de 100%.</t>
        </is>
      </c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33">
        <f>Calc!Z13</f>
        <v/>
      </c>
      <c r="O64" s="32" t="n"/>
      <c r="P64" s="32" t="n"/>
      <c r="Q64" s="47">
        <f>Calc!AA13</f>
        <v/>
      </c>
      <c r="R64" s="32" t="n"/>
      <c r="S64" s="48">
        <f>Calc!AB13</f>
        <v/>
      </c>
      <c r="T64" s="32" t="n"/>
      <c r="U64" s="48">
        <f>Q64-S64</f>
        <v/>
      </c>
      <c r="V64" s="32" t="n"/>
      <c r="W64" s="49">
        <f>Calc!AC13</f>
        <v/>
      </c>
      <c r="X64" s="32" t="n"/>
      <c r="Y64" s="1" t="n"/>
      <c r="Z64" s="1" t="n"/>
      <c r="AA64" s="1" t="n"/>
      <c r="AB64" s="1" t="n"/>
      <c r="AC64" s="1" t="n"/>
      <c r="AD64" s="1" t="n"/>
      <c r="AE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</row>
  </sheetData>
  <mergeCells count="111">
    <mergeCell ref="N2:P2"/>
    <mergeCell ref="Q62:R62"/>
    <mergeCell ref="S62:T62"/>
    <mergeCell ref="D52:H52"/>
    <mergeCell ref="Q55:R55"/>
    <mergeCell ref="Q64:R64"/>
    <mergeCell ref="N60:P60"/>
    <mergeCell ref="W63:X63"/>
    <mergeCell ref="Q63:R63"/>
    <mergeCell ref="S57:T57"/>
    <mergeCell ref="B6:D6"/>
    <mergeCell ref="U57:V57"/>
    <mergeCell ref="K52:L52"/>
    <mergeCell ref="D53:H53"/>
    <mergeCell ref="N55:P55"/>
    <mergeCell ref="I52:J52"/>
    <mergeCell ref="O8:P8"/>
    <mergeCell ref="B55:C55"/>
    <mergeCell ref="K53:L53"/>
    <mergeCell ref="F7:H7"/>
    <mergeCell ref="S60:T60"/>
    <mergeCell ref="U60:V60"/>
    <mergeCell ref="Q53:R53"/>
    <mergeCell ref="S59:T59"/>
    <mergeCell ref="N58:P58"/>
    <mergeCell ref="U59:V59"/>
    <mergeCell ref="Q52:R52"/>
    <mergeCell ref="K55:L55"/>
    <mergeCell ref="S52:T52"/>
    <mergeCell ref="S61:T61"/>
    <mergeCell ref="J7:L7"/>
    <mergeCell ref="U61:V61"/>
    <mergeCell ref="I57:J57"/>
    <mergeCell ref="Q54:R54"/>
    <mergeCell ref="W55:X55"/>
    <mergeCell ref="N57:P57"/>
    <mergeCell ref="R3:T3"/>
    <mergeCell ref="I54:J54"/>
    <mergeCell ref="D57:H57"/>
    <mergeCell ref="W64:X64"/>
    <mergeCell ref="N59:P59"/>
    <mergeCell ref="W54:X54"/>
    <mergeCell ref="B53:C53"/>
    <mergeCell ref="I56:J56"/>
    <mergeCell ref="K56:L56"/>
    <mergeCell ref="U56:V56"/>
    <mergeCell ref="W56:X56"/>
    <mergeCell ref="V3:X3"/>
    <mergeCell ref="U58:V58"/>
    <mergeCell ref="W58:X58"/>
    <mergeCell ref="C8:D8"/>
    <mergeCell ref="W8:X8"/>
    <mergeCell ref="D55:H55"/>
    <mergeCell ref="W60:X60"/>
    <mergeCell ref="S63:T63"/>
    <mergeCell ref="U63:V63"/>
    <mergeCell ref="Q57:R57"/>
    <mergeCell ref="D54:H54"/>
    <mergeCell ref="W53:X53"/>
    <mergeCell ref="R6:T6"/>
    <mergeCell ref="J6:L6"/>
    <mergeCell ref="B54:C54"/>
    <mergeCell ref="N62:P62"/>
    <mergeCell ref="B56:C56"/>
    <mergeCell ref="K54:L54"/>
    <mergeCell ref="N64:P64"/>
    <mergeCell ref="B52:C52"/>
    <mergeCell ref="B57:C57"/>
    <mergeCell ref="V7:X7"/>
    <mergeCell ref="K8:L8"/>
    <mergeCell ref="Q59:R59"/>
    <mergeCell ref="S53:T53"/>
    <mergeCell ref="U62:V62"/>
    <mergeCell ref="Q61:R61"/>
    <mergeCell ref="S55:T55"/>
    <mergeCell ref="U55:V55"/>
    <mergeCell ref="F6:H6"/>
    <mergeCell ref="S64:T64"/>
    <mergeCell ref="U64:V64"/>
    <mergeCell ref="K57:L57"/>
    <mergeCell ref="S54:T54"/>
    <mergeCell ref="N53:P53"/>
    <mergeCell ref="W57:X57"/>
    <mergeCell ref="N3:P3"/>
    <mergeCell ref="Q56:R56"/>
    <mergeCell ref="S56:T56"/>
    <mergeCell ref="N52:P52"/>
    <mergeCell ref="N61:P61"/>
    <mergeCell ref="G8:H8"/>
    <mergeCell ref="S58:T58"/>
    <mergeCell ref="V6:X6"/>
    <mergeCell ref="S8:T8"/>
    <mergeCell ref="Q58:R58"/>
    <mergeCell ref="I53:J53"/>
    <mergeCell ref="N6:P6"/>
    <mergeCell ref="U53:V53"/>
    <mergeCell ref="Q60:R60"/>
    <mergeCell ref="W62:X62"/>
    <mergeCell ref="I55:J55"/>
    <mergeCell ref="W59:X59"/>
    <mergeCell ref="B7:D7"/>
    <mergeCell ref="U52:V52"/>
    <mergeCell ref="D56:H56"/>
    <mergeCell ref="W52:X52"/>
    <mergeCell ref="N54:P54"/>
    <mergeCell ref="W61:X61"/>
    <mergeCell ref="N7:P7"/>
    <mergeCell ref="N63:P63"/>
    <mergeCell ref="U54:V54"/>
    <mergeCell ref="N56:P56"/>
    <mergeCell ref="R7:T7"/>
  </mergeCells>
  <conditionalFormatting sqref="J7">
    <cfRule type="expression" priority="1" dxfId="0">
      <formula>J7&lt;0</formula>
    </cfRule>
    <cfRule type="expression" priority="2" dxfId="1">
      <formula>J7&gt;=0</formula>
    </cfRule>
  </conditionalFormatting>
  <conditionalFormatting sqref="N7">
    <cfRule type="expression" priority="3" dxfId="0">
      <formula>N7&lt;0</formula>
    </cfRule>
  </conditionalFormatting>
  <conditionalFormatting sqref="R7">
    <cfRule type="expression" priority="4" dxfId="0">
      <formula>R7&gt;0</formula>
    </cfRule>
    <cfRule type="expression" priority="5" dxfId="1">
      <formula>R7&lt;0</formula>
    </cfRule>
  </conditionalFormatting>
  <conditionalFormatting sqref="V7">
    <cfRule type="expression" priority="6" dxfId="0">
      <formula>V7&gt;1</formula>
    </cfRule>
    <cfRule type="expression" priority="7" dxfId="2">
      <formula>AND(V7&gt;0.8,V7&lt;=1)</formula>
    </cfRule>
    <cfRule type="expression" priority="8" dxfId="1">
      <formula>V7&lt;=0.8</formula>
    </cfRule>
  </conditionalFormatting>
  <conditionalFormatting sqref="W53:X64">
    <cfRule type="dataBar" priority="9">
      <dataBar showValue="1">
        <cfvo type="num" val="0"/>
        <cfvo type="num" val="1.2"/>
        <color rgb="FF395C9E"/>
      </dataBar>
      <extLst>
        <ext xmlns:x14="http://schemas.microsoft.com/office/spreadsheetml/2009/9/main" uri="{B025F937-C7B1-47D3-B67F-A62EFF666E3E}">
          <x14:id>{DA7ABA01-0000-4000-8000-000000000001}</x14:id>
        </ext>
      </extLst>
    </cfRule>
    <cfRule type="expression" priority="10" dxfId="0" stopIfTrue="0">
      <formula>AND(ISNUMBER(W53),W53&gt;1)</formula>
    </cfRule>
    <cfRule type="expression" priority="11" dxfId="2" stopIfTrue="0">
      <formula>AND(ISNUMBER(W53),W53&gt;0.8,W53&lt;=1)</formula>
    </cfRule>
    <cfRule type="expression" priority="12" dxfId="1" stopIfTrue="0">
      <formula>AND(ISNUMBER(W53),W53&lt;=0.8)</formula>
    </cfRule>
  </conditionalFormatting>
  <conditionalFormatting sqref="U53:V64">
    <cfRule type="expression" priority="13" dxfId="3">
      <formula>U53&lt;0</formula>
    </cfRule>
  </conditionalFormatting>
  <dataValidations count="2">
    <dataValidation sqref="R3" showDropDown="0" showInputMessage="0" showErrorMessage="1" allowBlank="1" errorTitle="Mês inválido" error="Escolha um mês da lista." type="list">
      <formula1>=Meses</formula1>
    </dataValidation>
    <dataValidation sqref="V3" showDropDown="0" showInputMessage="0" showErrorMessage="1" allowBlank="1" errorTitle="Ano inválido" error="Escolha um ano da lista (cadastre novos anos na aba Config)." type="list">
      <formula1>=Anos</formula1>
    </dataValidation>
  </dataValidations>
  <printOptions horizontalCentered="1"/>
  <pageMargins left="0.3" right="0.3" top="0.3" bottom="0.3" header="0.5" footer="0.5"/>
  <pageSetup orientation="landscape" paperSize="9" fitToHeight="1" fitToWidth="1"/>
  <drawing xmlns:r="http://schemas.openxmlformats.org/officeDocument/2006/relationships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01-0000-4000-8000-000000000001}">
            <x14:dataBar minLength="0" maxLength="100" border="0" gradient="0">
              <x14:cfvo type="num">
                <xm:f>0</xm:f>
              </x14:cfvo>
              <x14:cfvo type="num">
                <xm:f>1.2</xm:f>
              </x14:cfvo>
              <x14:negativeFillColor rgb="FFFF5C5C"/>
              <x14:axisColor rgb="FF9AA0A6"/>
            </x14:dataBar>
          </x14:cfRule>
          <xm:sqref>W53:X64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>
  <sheetPr>
    <tabColor rgb="002ECC71"/>
    <outlinePr summaryBelow="1" summaryRight="0"/>
    <pageSetUpPr fitToPage="1"/>
  </sheetPr>
  <dimension ref="A1:V1076"/>
  <sheetViews>
    <sheetView showGridLines="0" tabSelected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style="1" min="1" max="1"/>
    <col width="12" customWidth="1" style="1" min="2" max="2"/>
    <col width="30" customWidth="1" style="1" min="3" max="3"/>
    <col width="14" customWidth="1" style="1" min="4" max="4"/>
    <col width="12" customWidth="1" style="1" min="5" max="5"/>
    <col width="22" customWidth="1" style="1" min="6" max="6"/>
    <col width="15" customWidth="1" style="1" min="7" max="7"/>
    <col width="12" customWidth="1" style="1" min="8" max="8"/>
    <col width="11" customWidth="1" style="1" min="9" max="9"/>
    <col hidden="1" outlineLevel="1" width="17" customWidth="1" style="1" min="10" max="17"/>
    <col width="6" customWidth="1" style="1" min="18" max="18"/>
    <col width="7" customWidth="1" style="1" min="19" max="19"/>
    <col width="9" customWidth="1" style="1" min="20" max="20"/>
    <col width="13" customWidth="1" style="1" min="21" max="21"/>
    <col width="13" customWidth="1" style="1" min="22" max="22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30" customHeight="1">
      <c r="A2" s="1" t="n"/>
      <c r="B2" s="52" t="inlineStr">
        <is>
          <t>Lançamentos</t>
        </is>
      </c>
      <c r="C2" s="1" t="n"/>
      <c r="D2" s="1" t="n"/>
      <c r="E2" s="53">
        <f>HYPERLINK("#Lancamentos!B"&amp;(ROWS(tbLancamentos[Data])+5),"✚  Ir para a próxima linha vazia")</f>
        <v/>
      </c>
      <c r="F2" s="8" t="n"/>
      <c r="G2" s="54">
        <f>HYPERLINK("#Inicio!A1","⌂  Início")</f>
        <v/>
      </c>
      <c r="H2" s="8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 ht="18" customHeight="1">
      <c r="A3" s="1" t="n"/>
      <c r="B3" s="4" t="inlineStr">
        <is>
          <t>Digite Data, Descrição e Valor: com um favorito, Tipo, Categoria, Situação e Pote se preenchem sozinhos. Clique no [+] acima das colunas para ver os detalhes (conta, parcela, vencimento...). Linhas com "EXEMPLO" na Observação são dados fictícios: filtre e apague quando quiser.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</row>
    <row r="4" ht="24" customHeight="1">
      <c r="A4" s="8" t="n"/>
      <c r="B4" s="55" t="inlineStr">
        <is>
          <t>Data</t>
        </is>
      </c>
      <c r="C4" s="55" t="inlineStr">
        <is>
          <t>Descrição</t>
        </is>
      </c>
      <c r="D4" s="56" t="inlineStr">
        <is>
          <t>Valor</t>
        </is>
      </c>
      <c r="E4" s="56" t="inlineStr">
        <is>
          <t>Tipo</t>
        </is>
      </c>
      <c r="F4" s="56" t="inlineStr">
        <is>
          <t>Categoria</t>
        </is>
      </c>
      <c r="G4" s="56" t="inlineStr">
        <is>
          <t>Situação</t>
        </is>
      </c>
      <c r="H4" s="56" t="inlineStr">
        <is>
          <t>Pote</t>
        </is>
      </c>
      <c r="I4" s="56" t="inlineStr">
        <is>
          <t>Quem</t>
        </is>
      </c>
      <c r="J4" s="56" t="inlineStr">
        <is>
          <t>Conta</t>
        </is>
      </c>
      <c r="K4" s="56" t="inlineStr">
        <is>
          <t>Forma de pagamento</t>
        </is>
      </c>
      <c r="L4" s="55" t="inlineStr">
        <is>
          <t>Parcela</t>
        </is>
      </c>
      <c r="M4" s="55" t="inlineStr">
        <is>
          <t>Vencimento</t>
        </is>
      </c>
      <c r="N4" s="55" t="inlineStr">
        <is>
          <t>Competência</t>
        </is>
      </c>
      <c r="O4" s="55" t="inlineStr">
        <is>
          <t>Subcategoria</t>
        </is>
      </c>
      <c r="P4" s="55" t="inlineStr">
        <is>
          <t>Descontar de</t>
        </is>
      </c>
      <c r="Q4" s="55" t="inlineStr">
        <is>
          <t>Observação</t>
        </is>
      </c>
      <c r="R4" s="55" t="inlineStr">
        <is>
          <t>Mês</t>
        </is>
      </c>
      <c r="S4" s="55" t="inlineStr">
        <is>
          <t>Ano</t>
        </is>
      </c>
      <c r="T4" s="55" t="inlineStr">
        <is>
          <t>Conta no mês?</t>
        </is>
      </c>
      <c r="U4" s="8" t="n"/>
      <c r="V4" s="8" t="n"/>
    </row>
    <row r="5" ht="20" customHeight="1">
      <c r="A5" s="8" t="n"/>
      <c r="B5" s="57" t="n">
        <v>46115</v>
      </c>
      <c r="C5" s="33" t="inlineStr">
        <is>
          <t>Plano de saúde familiar</t>
        </is>
      </c>
      <c r="D5" s="48" t="n">
        <v>890</v>
      </c>
      <c r="E5" s="33" t="inlineStr">
        <is>
          <t>Despesa</t>
        </is>
      </c>
      <c r="F5" s="33" t="inlineStr">
        <is>
          <t>Saúde</t>
        </is>
      </c>
      <c r="G5" s="33" t="inlineStr">
        <is>
          <t>Pago</t>
        </is>
      </c>
      <c r="H5" s="33" t="inlineStr">
        <is>
          <t>Essenciais</t>
        </is>
      </c>
      <c r="I5" s="33" t="n"/>
      <c r="J5" s="33" t="inlineStr">
        <is>
          <t>Conta corrente Itaú</t>
        </is>
      </c>
      <c r="K5" s="33" t="inlineStr">
        <is>
          <t>Débito automático</t>
        </is>
      </c>
      <c r="L5" s="58" t="n"/>
      <c r="M5" s="57" t="n"/>
      <c r="N5" s="59" t="n"/>
      <c r="O5" s="33" t="inlineStr">
        <is>
          <t>Plano de saúde</t>
        </is>
      </c>
      <c r="P5" s="33" t="n"/>
      <c r="Q5" s="60" t="inlineStr">
        <is>
          <t>EXEMPLO</t>
        </is>
      </c>
      <c r="R5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5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5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5" s="8" t="n"/>
      <c r="V5" s="8" t="n"/>
    </row>
    <row r="6" ht="20" customHeight="1">
      <c r="A6" s="8" t="n"/>
      <c r="B6" s="57" t="n">
        <v>46117</v>
      </c>
      <c r="C6" s="33" t="inlineStr">
        <is>
          <t>Salário — titular</t>
        </is>
      </c>
      <c r="D6" s="48" t="n">
        <v>7800</v>
      </c>
      <c r="E6" s="33" t="inlineStr">
        <is>
          <t>Receita</t>
        </is>
      </c>
      <c r="F6" s="33" t="inlineStr">
        <is>
          <t>Salário</t>
        </is>
      </c>
      <c r="G6" s="33" t="inlineStr">
        <is>
          <t>Recebido</t>
        </is>
      </c>
      <c r="H6" s="33" t="n"/>
      <c r="I6" s="33" t="n"/>
      <c r="J6" s="33" t="inlineStr">
        <is>
          <t>Conta corrente Itaú</t>
        </is>
      </c>
      <c r="K6" s="33" t="inlineStr">
        <is>
          <t>Transferência</t>
        </is>
      </c>
      <c r="L6" s="58" t="n"/>
      <c r="M6" s="57" t="n"/>
      <c r="N6" s="59" t="n"/>
      <c r="O6" s="33" t="inlineStr">
        <is>
          <t>Mensal</t>
        </is>
      </c>
      <c r="P6" s="33" t="n"/>
      <c r="Q6" s="60" t="inlineStr">
        <is>
          <t>EXEMPLO</t>
        </is>
      </c>
      <c r="R6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6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6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6" s="8" t="n"/>
      <c r="V6" s="8" t="n"/>
    </row>
    <row r="7" ht="20" customHeight="1">
      <c r="A7" s="8" t="n"/>
      <c r="B7" s="57" t="n">
        <v>46117</v>
      </c>
      <c r="C7" s="33" t="inlineStr">
        <is>
          <t>Salário — cônjuge</t>
        </is>
      </c>
      <c r="D7" s="48" t="n">
        <v>5200</v>
      </c>
      <c r="E7" s="33" t="inlineStr">
        <is>
          <t>Receita</t>
        </is>
      </c>
      <c r="F7" s="33" t="inlineStr">
        <is>
          <t>Salário</t>
        </is>
      </c>
      <c r="G7" s="33" t="inlineStr">
        <is>
          <t>Recebido</t>
        </is>
      </c>
      <c r="H7" s="33" t="n"/>
      <c r="I7" s="33" t="n"/>
      <c r="J7" s="33" t="inlineStr">
        <is>
          <t>Conta Nubank</t>
        </is>
      </c>
      <c r="K7" s="33" t="inlineStr">
        <is>
          <t>Transferência</t>
        </is>
      </c>
      <c r="L7" s="58" t="n"/>
      <c r="M7" s="57" t="n"/>
      <c r="N7" s="59" t="n"/>
      <c r="O7" s="33" t="inlineStr">
        <is>
          <t>Mensal</t>
        </is>
      </c>
      <c r="P7" s="33" t="n"/>
      <c r="Q7" s="60" t="inlineStr">
        <is>
          <t>EXEMPLO</t>
        </is>
      </c>
      <c r="R7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7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7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7" s="8" t="n"/>
      <c r="V7" s="8" t="n"/>
    </row>
    <row r="8" ht="20" customHeight="1">
      <c r="A8" s="8" t="n"/>
      <c r="B8" s="57" t="n">
        <v>46119</v>
      </c>
      <c r="C8" s="33" t="inlineStr">
        <is>
          <t>Mercado do mês</t>
        </is>
      </c>
      <c r="D8" s="48" t="n">
        <v>842.37</v>
      </c>
      <c r="E8" s="33" t="inlineStr">
        <is>
          <t>Despesa</t>
        </is>
      </c>
      <c r="F8" s="33" t="inlineStr">
        <is>
          <t>Alimentação</t>
        </is>
      </c>
      <c r="G8" s="33" t="inlineStr">
        <is>
          <t>Pago</t>
        </is>
      </c>
      <c r="H8" s="33" t="inlineStr">
        <is>
          <t>Essenciais</t>
        </is>
      </c>
      <c r="I8" s="33" t="n"/>
      <c r="J8" s="33" t="inlineStr">
        <is>
          <t>Cartão Nubank</t>
        </is>
      </c>
      <c r="K8" s="33" t="inlineStr">
        <is>
          <t>Cartão de crédito</t>
        </is>
      </c>
      <c r="L8" s="58" t="n"/>
      <c r="M8" s="57" t="n"/>
      <c r="N8" s="59" t="n"/>
      <c r="O8" s="33" t="inlineStr">
        <is>
          <t>Mercado</t>
        </is>
      </c>
      <c r="P8" s="33" t="n"/>
      <c r="Q8" s="60" t="inlineStr">
        <is>
          <t>EXEMPLO</t>
        </is>
      </c>
      <c r="R8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8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8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8" s="8" t="n"/>
      <c r="V8" s="8" t="n"/>
    </row>
    <row r="9" ht="20" customHeight="1">
      <c r="A9" s="8" t="n"/>
      <c r="B9" s="57" t="n">
        <v>46120</v>
      </c>
      <c r="C9" s="33" t="inlineStr">
        <is>
          <t>Mensalidade escolar</t>
        </is>
      </c>
      <c r="D9" s="48" t="n">
        <v>1450</v>
      </c>
      <c r="E9" s="33" t="inlineStr">
        <is>
          <t>Despesa</t>
        </is>
      </c>
      <c r="F9" s="33" t="inlineStr">
        <is>
          <t>Educação</t>
        </is>
      </c>
      <c r="G9" s="33" t="inlineStr">
        <is>
          <t>Pago</t>
        </is>
      </c>
      <c r="H9" s="33" t="inlineStr">
        <is>
          <t>Essenciais</t>
        </is>
      </c>
      <c r="I9" s="33" t="n"/>
      <c r="J9" s="33" t="inlineStr">
        <is>
          <t>Conta corrente Itaú</t>
        </is>
      </c>
      <c r="K9" s="33" t="inlineStr">
        <is>
          <t>Boleto</t>
        </is>
      </c>
      <c r="L9" s="58" t="n"/>
      <c r="M9" s="57" t="n"/>
      <c r="N9" s="59" t="n"/>
      <c r="O9" s="33" t="inlineStr">
        <is>
          <t>Escola</t>
        </is>
      </c>
      <c r="P9" s="33" t="n"/>
      <c r="Q9" s="60" t="inlineStr">
        <is>
          <t>EXEMPLO</t>
        </is>
      </c>
      <c r="R9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9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9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9" s="8" t="n"/>
      <c r="V9" s="8" t="n"/>
    </row>
    <row r="10" ht="20" customHeight="1">
      <c r="A10" s="8" t="n"/>
      <c r="B10" s="57" t="n">
        <v>46122</v>
      </c>
      <c r="C10" s="33" t="inlineStr">
        <is>
          <t>Aluguel do apartamento</t>
        </is>
      </c>
      <c r="D10" s="48" t="n">
        <v>2350</v>
      </c>
      <c r="E10" s="33" t="inlineStr">
        <is>
          <t>Despesa</t>
        </is>
      </c>
      <c r="F10" s="33" t="inlineStr">
        <is>
          <t>Moradia</t>
        </is>
      </c>
      <c r="G10" s="33" t="inlineStr">
        <is>
          <t>Pago</t>
        </is>
      </c>
      <c r="H10" s="33" t="inlineStr">
        <is>
          <t>Essenciais</t>
        </is>
      </c>
      <c r="I10" s="33" t="n"/>
      <c r="J10" s="33" t="inlineStr">
        <is>
          <t>Conta corrente Itaú</t>
        </is>
      </c>
      <c r="K10" s="33" t="inlineStr">
        <is>
          <t>Boleto</t>
        </is>
      </c>
      <c r="L10" s="58" t="n"/>
      <c r="M10" s="57" t="n"/>
      <c r="N10" s="59" t="n"/>
      <c r="O10" s="33" t="inlineStr">
        <is>
          <t>Aluguel/Financiamento</t>
        </is>
      </c>
      <c r="P10" s="33" t="n"/>
      <c r="Q10" s="60" t="inlineStr">
        <is>
          <t>EXEMPLO</t>
        </is>
      </c>
      <c r="R10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10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10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10" s="8" t="n"/>
      <c r="V10" s="8" t="n"/>
    </row>
    <row r="11" ht="20" customHeight="1">
      <c r="A11" s="8" t="n"/>
      <c r="B11" s="57" t="n">
        <v>46122</v>
      </c>
      <c r="C11" s="33" t="inlineStr">
        <is>
          <t>Conta de energia</t>
        </is>
      </c>
      <c r="D11" s="48" t="n">
        <v>312.4</v>
      </c>
      <c r="E11" s="33" t="inlineStr">
        <is>
          <t>Despesa</t>
        </is>
      </c>
      <c r="F11" s="33" t="inlineStr">
        <is>
          <t>Contas da casa</t>
        </is>
      </c>
      <c r="G11" s="33" t="inlineStr">
        <is>
          <t>Pago</t>
        </is>
      </c>
      <c r="H11" s="33" t="inlineStr">
        <is>
          <t>Essenciais</t>
        </is>
      </c>
      <c r="I11" s="33" t="n"/>
      <c r="J11" s="33" t="inlineStr">
        <is>
          <t>Conta corrente Itaú</t>
        </is>
      </c>
      <c r="K11" s="33" t="inlineStr">
        <is>
          <t>Débito automático</t>
        </is>
      </c>
      <c r="L11" s="58" t="n"/>
      <c r="M11" s="57" t="n"/>
      <c r="N11" s="59" t="n"/>
      <c r="O11" s="33" t="inlineStr">
        <is>
          <t>Energia</t>
        </is>
      </c>
      <c r="P11" s="33" t="n"/>
      <c r="Q11" s="60" t="inlineStr">
        <is>
          <t>EXEMPLO</t>
        </is>
      </c>
      <c r="R11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11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11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11" s="8" t="n"/>
      <c r="V11" s="8" t="n"/>
    </row>
    <row r="12" ht="20" customHeight="1">
      <c r="A12" s="8" t="n"/>
      <c r="B12" s="57" t="n">
        <v>46124</v>
      </c>
      <c r="C12" s="33" t="inlineStr">
        <is>
          <t>Streaming + academia</t>
        </is>
      </c>
      <c r="D12" s="48" t="n">
        <v>174.8</v>
      </c>
      <c r="E12" s="33" t="inlineStr">
        <is>
          <t>Despesa</t>
        </is>
      </c>
      <c r="F12" s="33" t="inlineStr">
        <is>
          <t>Assinaturas</t>
        </is>
      </c>
      <c r="G12" s="33" t="inlineStr">
        <is>
          <t>Pago</t>
        </is>
      </c>
      <c r="H12" s="33" t="inlineStr">
        <is>
          <t>Essenciais</t>
        </is>
      </c>
      <c r="I12" s="33" t="n"/>
      <c r="J12" s="33" t="inlineStr">
        <is>
          <t>Cartão Nubank</t>
        </is>
      </c>
      <c r="K12" s="33" t="inlineStr">
        <is>
          <t>Cartão de crédito</t>
        </is>
      </c>
      <c r="L12" s="58" t="n"/>
      <c r="M12" s="57" t="n"/>
      <c r="N12" s="59" t="n"/>
      <c r="O12" s="33" t="inlineStr">
        <is>
          <t>Streaming</t>
        </is>
      </c>
      <c r="P12" s="33" t="n"/>
      <c r="Q12" s="60" t="inlineStr">
        <is>
          <t>EXEMPLO</t>
        </is>
      </c>
      <c r="R12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12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12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12" s="8" t="n"/>
      <c r="V12" s="8" t="n"/>
    </row>
    <row r="13" ht="20" customHeight="1">
      <c r="A13" s="8" t="n"/>
      <c r="B13" s="57" t="n">
        <v>46127</v>
      </c>
      <c r="C13" s="33" t="inlineStr">
        <is>
          <t>Combustível</t>
        </is>
      </c>
      <c r="D13" s="48" t="n">
        <v>310</v>
      </c>
      <c r="E13" s="33" t="inlineStr">
        <is>
          <t>Despesa</t>
        </is>
      </c>
      <c r="F13" s="33" t="inlineStr">
        <is>
          <t>Transporte</t>
        </is>
      </c>
      <c r="G13" s="33" t="inlineStr">
        <is>
          <t>Pago</t>
        </is>
      </c>
      <c r="H13" s="33" t="inlineStr">
        <is>
          <t>Essenciais</t>
        </is>
      </c>
      <c r="I13" s="33" t="n"/>
      <c r="J13" s="33" t="inlineStr">
        <is>
          <t>Cartão Itaú</t>
        </is>
      </c>
      <c r="K13" s="33" t="inlineStr">
        <is>
          <t>Cartão de crédito</t>
        </is>
      </c>
      <c r="L13" s="58" t="n"/>
      <c r="M13" s="57" t="n"/>
      <c r="N13" s="59" t="n"/>
      <c r="O13" s="33" t="inlineStr">
        <is>
          <t>Combustível</t>
        </is>
      </c>
      <c r="P13" s="33" t="n"/>
      <c r="Q13" s="60" t="inlineStr">
        <is>
          <t>EXEMPLO</t>
        </is>
      </c>
      <c r="R13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13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13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13" s="8" t="n"/>
      <c r="V13" s="8" t="n"/>
    </row>
    <row r="14" ht="20" customHeight="1">
      <c r="A14" s="8" t="n"/>
      <c r="B14" s="57" t="n">
        <v>46130</v>
      </c>
      <c r="C14" s="33" t="inlineStr">
        <is>
          <t>Farmácia</t>
        </is>
      </c>
      <c r="D14" s="48" t="n">
        <v>142.35</v>
      </c>
      <c r="E14" s="33" t="inlineStr">
        <is>
          <t>Despesa</t>
        </is>
      </c>
      <c r="F14" s="33" t="inlineStr">
        <is>
          <t>Saúde</t>
        </is>
      </c>
      <c r="G14" s="33" t="inlineStr">
        <is>
          <t>Pago</t>
        </is>
      </c>
      <c r="H14" s="33" t="inlineStr">
        <is>
          <t>Essenciais</t>
        </is>
      </c>
      <c r="I14" s="33" t="n"/>
      <c r="J14" s="33" t="inlineStr">
        <is>
          <t>Cartão Nubank</t>
        </is>
      </c>
      <c r="K14" s="33" t="inlineStr">
        <is>
          <t>Cartão de crédito</t>
        </is>
      </c>
      <c r="L14" s="58" t="n"/>
      <c r="M14" s="57" t="n"/>
      <c r="N14" s="59" t="n"/>
      <c r="O14" s="33" t="inlineStr">
        <is>
          <t>Farmácia</t>
        </is>
      </c>
      <c r="P14" s="33" t="n"/>
      <c r="Q14" s="60" t="inlineStr">
        <is>
          <t>EXEMPLO</t>
        </is>
      </c>
      <c r="R14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14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14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14" s="8" t="n"/>
      <c r="V14" s="8" t="n"/>
    </row>
    <row r="15" ht="20" customHeight="1">
      <c r="A15" s="8" t="n"/>
      <c r="B15" s="57" t="n">
        <v>46138</v>
      </c>
      <c r="C15" s="33" t="inlineStr">
        <is>
          <t>Pizza de sábado</t>
        </is>
      </c>
      <c r="D15" s="48" t="n">
        <v>118</v>
      </c>
      <c r="E15" s="33" t="inlineStr">
        <is>
          <t>Despesa</t>
        </is>
      </c>
      <c r="F15" s="33" t="inlineStr">
        <is>
          <t>Restaurantes e delivery</t>
        </is>
      </c>
      <c r="G15" s="33" t="inlineStr">
        <is>
          <t>Pago</t>
        </is>
      </c>
      <c r="H15" s="33" t="inlineStr">
        <is>
          <t>Lazer</t>
        </is>
      </c>
      <c r="I15" s="33" t="n"/>
      <c r="J15" s="33" t="inlineStr">
        <is>
          <t>Cartão Nubank</t>
        </is>
      </c>
      <c r="K15" s="33" t="inlineStr">
        <is>
          <t>Cartão de crédito</t>
        </is>
      </c>
      <c r="L15" s="58" t="n"/>
      <c r="M15" s="57" t="n"/>
      <c r="N15" s="59" t="n"/>
      <c r="O15" s="33" t="inlineStr">
        <is>
          <t>Delivery</t>
        </is>
      </c>
      <c r="P15" s="33" t="n"/>
      <c r="Q15" s="60" t="inlineStr">
        <is>
          <t>EXEMPLO</t>
        </is>
      </c>
      <c r="R15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15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15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15" s="8" t="n"/>
      <c r="V15" s="8" t="n"/>
    </row>
    <row r="16" ht="20" customHeight="1">
      <c r="A16" s="8" t="n"/>
      <c r="B16" s="57" t="n">
        <v>46139</v>
      </c>
      <c r="C16" s="33" t="inlineStr">
        <is>
          <t>Cinema / passeio</t>
        </is>
      </c>
      <c r="D16" s="48" t="n">
        <v>64</v>
      </c>
      <c r="E16" s="33" t="inlineStr">
        <is>
          <t>Despesa</t>
        </is>
      </c>
      <c r="F16" s="33" t="inlineStr">
        <is>
          <t>Lazer</t>
        </is>
      </c>
      <c r="G16" s="33" t="inlineStr">
        <is>
          <t>Pago</t>
        </is>
      </c>
      <c r="H16" s="33" t="inlineStr">
        <is>
          <t>Lazer</t>
        </is>
      </c>
      <c r="I16" s="33" t="n"/>
      <c r="J16" s="33" t="inlineStr">
        <is>
          <t>Conta Nubank</t>
        </is>
      </c>
      <c r="K16" s="33" t="inlineStr">
        <is>
          <t>PIX</t>
        </is>
      </c>
      <c r="L16" s="58" t="n"/>
      <c r="M16" s="57" t="n"/>
      <c r="N16" s="59" t="n"/>
      <c r="O16" s="33" t="inlineStr">
        <is>
          <t>Cinema</t>
        </is>
      </c>
      <c r="P16" s="33" t="n"/>
      <c r="Q16" s="60" t="inlineStr">
        <is>
          <t>EXEMPLO</t>
        </is>
      </c>
      <c r="R16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16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16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16" s="8" t="n"/>
      <c r="V16" s="8" t="n"/>
    </row>
    <row r="17" ht="20" customHeight="1">
      <c r="A17" s="8" t="n"/>
      <c r="B17" s="57" t="n">
        <v>46145</v>
      </c>
      <c r="C17" s="33" t="inlineStr">
        <is>
          <t>Plano de saúde familiar</t>
        </is>
      </c>
      <c r="D17" s="48" t="n">
        <v>890</v>
      </c>
      <c r="E17" s="33" t="inlineStr">
        <is>
          <t>Despesa</t>
        </is>
      </c>
      <c r="F17" s="33" t="inlineStr">
        <is>
          <t>Saúde</t>
        </is>
      </c>
      <c r="G17" s="33" t="inlineStr">
        <is>
          <t>Pago</t>
        </is>
      </c>
      <c r="H17" s="33" t="inlineStr">
        <is>
          <t>Essenciais</t>
        </is>
      </c>
      <c r="I17" s="33" t="n"/>
      <c r="J17" s="33" t="inlineStr">
        <is>
          <t>Conta corrente Itaú</t>
        </is>
      </c>
      <c r="K17" s="33" t="inlineStr">
        <is>
          <t>Débito automático</t>
        </is>
      </c>
      <c r="L17" s="58" t="n"/>
      <c r="M17" s="57" t="n"/>
      <c r="N17" s="59" t="n"/>
      <c r="O17" s="33" t="inlineStr">
        <is>
          <t>Plano de saúde</t>
        </is>
      </c>
      <c r="P17" s="33" t="n"/>
      <c r="Q17" s="60" t="inlineStr">
        <is>
          <t>EXEMPLO</t>
        </is>
      </c>
      <c r="R17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17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17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17" s="8" t="n"/>
      <c r="V17" s="8" t="n"/>
    </row>
    <row r="18" ht="20" customHeight="1">
      <c r="A18" s="8" t="n"/>
      <c r="B18" s="57" t="n">
        <v>46147</v>
      </c>
      <c r="C18" s="33" t="inlineStr">
        <is>
          <t>Salário — titular</t>
        </is>
      </c>
      <c r="D18" s="48" t="n">
        <v>7800</v>
      </c>
      <c r="E18" s="33" t="inlineStr">
        <is>
          <t>Receita</t>
        </is>
      </c>
      <c r="F18" s="33" t="inlineStr">
        <is>
          <t>Salário</t>
        </is>
      </c>
      <c r="G18" s="33" t="inlineStr">
        <is>
          <t>Recebido</t>
        </is>
      </c>
      <c r="H18" s="33" t="n"/>
      <c r="I18" s="33" t="n"/>
      <c r="J18" s="33" t="inlineStr">
        <is>
          <t>Conta corrente Itaú</t>
        </is>
      </c>
      <c r="K18" s="33" t="inlineStr">
        <is>
          <t>Transferência</t>
        </is>
      </c>
      <c r="L18" s="58" t="n"/>
      <c r="M18" s="57" t="n"/>
      <c r="N18" s="59" t="n"/>
      <c r="O18" s="33" t="inlineStr">
        <is>
          <t>Mensal</t>
        </is>
      </c>
      <c r="P18" s="33" t="n"/>
      <c r="Q18" s="60" t="inlineStr">
        <is>
          <t>EXEMPLO</t>
        </is>
      </c>
      <c r="R18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18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18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18" s="8" t="n"/>
      <c r="V18" s="8" t="n"/>
    </row>
    <row r="19" ht="20" customHeight="1">
      <c r="A19" s="8" t="n"/>
      <c r="B19" s="57" t="n">
        <v>46147</v>
      </c>
      <c r="C19" s="33" t="inlineStr">
        <is>
          <t>Salário — cônjuge</t>
        </is>
      </c>
      <c r="D19" s="48" t="n">
        <v>5200</v>
      </c>
      <c r="E19" s="33" t="inlineStr">
        <is>
          <t>Receita</t>
        </is>
      </c>
      <c r="F19" s="33" t="inlineStr">
        <is>
          <t>Salário</t>
        </is>
      </c>
      <c r="G19" s="33" t="inlineStr">
        <is>
          <t>Recebido</t>
        </is>
      </c>
      <c r="H19" s="33" t="n"/>
      <c r="I19" s="33" t="n"/>
      <c r="J19" s="33" t="inlineStr">
        <is>
          <t>Conta Nubank</t>
        </is>
      </c>
      <c r="K19" s="33" t="inlineStr">
        <is>
          <t>Transferência</t>
        </is>
      </c>
      <c r="L19" s="58" t="n"/>
      <c r="M19" s="57" t="n"/>
      <c r="N19" s="59" t="n"/>
      <c r="O19" s="33" t="inlineStr">
        <is>
          <t>Mensal</t>
        </is>
      </c>
      <c r="P19" s="33" t="n"/>
      <c r="Q19" s="60" t="inlineStr">
        <is>
          <t>EXEMPLO</t>
        </is>
      </c>
      <c r="R19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19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19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19" s="8" t="n"/>
      <c r="V19" s="8" t="n"/>
    </row>
    <row r="20" ht="20" customHeight="1">
      <c r="A20" s="8" t="n"/>
      <c r="B20" s="57" t="n">
        <v>46149</v>
      </c>
      <c r="C20" s="33" t="inlineStr">
        <is>
          <t>Mercado do mês</t>
        </is>
      </c>
      <c r="D20" s="48" t="n">
        <v>915.6</v>
      </c>
      <c r="E20" s="33" t="inlineStr">
        <is>
          <t>Despesa</t>
        </is>
      </c>
      <c r="F20" s="33" t="inlineStr">
        <is>
          <t>Alimentação</t>
        </is>
      </c>
      <c r="G20" s="33" t="inlineStr">
        <is>
          <t>Pago</t>
        </is>
      </c>
      <c r="H20" s="33" t="inlineStr">
        <is>
          <t>Essenciais</t>
        </is>
      </c>
      <c r="I20" s="33" t="n"/>
      <c r="J20" s="33" t="inlineStr">
        <is>
          <t>Cartão Nubank</t>
        </is>
      </c>
      <c r="K20" s="33" t="inlineStr">
        <is>
          <t>Cartão de crédito</t>
        </is>
      </c>
      <c r="L20" s="58" t="n"/>
      <c r="M20" s="57" t="n"/>
      <c r="N20" s="59" t="n"/>
      <c r="O20" s="33" t="inlineStr">
        <is>
          <t>Mercado</t>
        </is>
      </c>
      <c r="P20" s="33" t="n"/>
      <c r="Q20" s="60" t="inlineStr">
        <is>
          <t>EXEMPLO</t>
        </is>
      </c>
      <c r="R20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20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20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20" s="8" t="n"/>
      <c r="V20" s="8" t="n"/>
    </row>
    <row r="21" ht="20" customHeight="1">
      <c r="A21" s="8" t="n"/>
      <c r="B21" s="57" t="n">
        <v>46150</v>
      </c>
      <c r="C21" s="33" t="inlineStr">
        <is>
          <t>Mensalidade escolar</t>
        </is>
      </c>
      <c r="D21" s="48" t="n">
        <v>1450</v>
      </c>
      <c r="E21" s="33" t="inlineStr">
        <is>
          <t>Despesa</t>
        </is>
      </c>
      <c r="F21" s="33" t="inlineStr">
        <is>
          <t>Educação</t>
        </is>
      </c>
      <c r="G21" s="33" t="inlineStr">
        <is>
          <t>Pago</t>
        </is>
      </c>
      <c r="H21" s="33" t="inlineStr">
        <is>
          <t>Essenciais</t>
        </is>
      </c>
      <c r="I21" s="33" t="n"/>
      <c r="J21" s="33" t="inlineStr">
        <is>
          <t>Conta corrente Itaú</t>
        </is>
      </c>
      <c r="K21" s="33" t="inlineStr">
        <is>
          <t>Boleto</t>
        </is>
      </c>
      <c r="L21" s="58" t="n"/>
      <c r="M21" s="57" t="n"/>
      <c r="N21" s="59" t="n"/>
      <c r="O21" s="33" t="inlineStr">
        <is>
          <t>Escola</t>
        </is>
      </c>
      <c r="P21" s="33" t="n"/>
      <c r="Q21" s="60" t="inlineStr">
        <is>
          <t>EXEMPLO</t>
        </is>
      </c>
      <c r="R21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21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21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21" s="8" t="n"/>
      <c r="V21" s="8" t="n"/>
    </row>
    <row r="22" ht="20" customHeight="1">
      <c r="A22" s="8" t="n"/>
      <c r="B22" s="57" t="n">
        <v>46152</v>
      </c>
      <c r="C22" s="33" t="inlineStr">
        <is>
          <t>Aluguel do apartamento</t>
        </is>
      </c>
      <c r="D22" s="48" t="n">
        <v>2350</v>
      </c>
      <c r="E22" s="33" t="inlineStr">
        <is>
          <t>Despesa</t>
        </is>
      </c>
      <c r="F22" s="33" t="inlineStr">
        <is>
          <t>Moradia</t>
        </is>
      </c>
      <c r="G22" s="33" t="inlineStr">
        <is>
          <t>Pago</t>
        </is>
      </c>
      <c r="H22" s="33" t="inlineStr">
        <is>
          <t>Essenciais</t>
        </is>
      </c>
      <c r="I22" s="33" t="n"/>
      <c r="J22" s="33" t="inlineStr">
        <is>
          <t>Conta corrente Itaú</t>
        </is>
      </c>
      <c r="K22" s="33" t="inlineStr">
        <is>
          <t>Boleto</t>
        </is>
      </c>
      <c r="L22" s="58" t="n"/>
      <c r="M22" s="57" t="n"/>
      <c r="N22" s="59" t="n"/>
      <c r="O22" s="33" t="inlineStr">
        <is>
          <t>Aluguel/Financiamento</t>
        </is>
      </c>
      <c r="P22" s="33" t="n"/>
      <c r="Q22" s="60" t="inlineStr">
        <is>
          <t>EXEMPLO</t>
        </is>
      </c>
      <c r="R22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22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22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22" s="8" t="n"/>
      <c r="V22" s="8" t="n"/>
    </row>
    <row r="23" ht="20" customHeight="1">
      <c r="A23" s="8" t="n"/>
      <c r="B23" s="57" t="n">
        <v>46152</v>
      </c>
      <c r="C23" s="33" t="inlineStr">
        <is>
          <t>Conta de energia</t>
        </is>
      </c>
      <c r="D23" s="48" t="n">
        <v>286.15</v>
      </c>
      <c r="E23" s="33" t="inlineStr">
        <is>
          <t>Despesa</t>
        </is>
      </c>
      <c r="F23" s="33" t="inlineStr">
        <is>
          <t>Contas da casa</t>
        </is>
      </c>
      <c r="G23" s="33" t="inlineStr">
        <is>
          <t>Pago</t>
        </is>
      </c>
      <c r="H23" s="33" t="inlineStr">
        <is>
          <t>Essenciais</t>
        </is>
      </c>
      <c r="I23" s="33" t="n"/>
      <c r="J23" s="33" t="inlineStr">
        <is>
          <t>Conta corrente Itaú</t>
        </is>
      </c>
      <c r="K23" s="33" t="inlineStr">
        <is>
          <t>Débito automático</t>
        </is>
      </c>
      <c r="L23" s="58" t="n"/>
      <c r="M23" s="57" t="n"/>
      <c r="N23" s="59" t="n"/>
      <c r="O23" s="33" t="inlineStr">
        <is>
          <t>Energia</t>
        </is>
      </c>
      <c r="P23" s="33" t="n"/>
      <c r="Q23" s="60" t="inlineStr">
        <is>
          <t>EXEMPLO</t>
        </is>
      </c>
      <c r="R23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23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23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23" s="8" t="n"/>
      <c r="V23" s="8" t="n"/>
    </row>
    <row r="24" ht="20" customHeight="1">
      <c r="A24" s="8" t="n"/>
      <c r="B24" s="57" t="n">
        <v>46154</v>
      </c>
      <c r="C24" s="33" t="inlineStr">
        <is>
          <t>Streaming + academia</t>
        </is>
      </c>
      <c r="D24" s="48" t="n">
        <v>174.8</v>
      </c>
      <c r="E24" s="33" t="inlineStr">
        <is>
          <t>Despesa</t>
        </is>
      </c>
      <c r="F24" s="33" t="inlineStr">
        <is>
          <t>Assinaturas</t>
        </is>
      </c>
      <c r="G24" s="33" t="inlineStr">
        <is>
          <t>Pago</t>
        </is>
      </c>
      <c r="H24" s="33" t="inlineStr">
        <is>
          <t>Essenciais</t>
        </is>
      </c>
      <c r="I24" s="33" t="n"/>
      <c r="J24" s="33" t="inlineStr">
        <is>
          <t>Cartão Nubank</t>
        </is>
      </c>
      <c r="K24" s="33" t="inlineStr">
        <is>
          <t>Cartão de crédito</t>
        </is>
      </c>
      <c r="L24" s="58" t="n"/>
      <c r="M24" s="57" t="n"/>
      <c r="N24" s="59" t="n"/>
      <c r="O24" s="33" t="inlineStr">
        <is>
          <t>Streaming</t>
        </is>
      </c>
      <c r="P24" s="33" t="n"/>
      <c r="Q24" s="60" t="inlineStr">
        <is>
          <t>EXEMPLO</t>
        </is>
      </c>
      <c r="R24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24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24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24" s="8" t="n"/>
      <c r="V24" s="8" t="n"/>
    </row>
    <row r="25" ht="20" customHeight="1">
      <c r="A25" s="8" t="n"/>
      <c r="B25" s="57" t="n">
        <v>46154</v>
      </c>
      <c r="C25" s="33" t="inlineStr">
        <is>
          <t>Projeto freelance — site</t>
        </is>
      </c>
      <c r="D25" s="48" t="n">
        <v>1800</v>
      </c>
      <c r="E25" s="33" t="inlineStr">
        <is>
          <t>Receita</t>
        </is>
      </c>
      <c r="F25" s="33" t="inlineStr">
        <is>
          <t>Freelance / Extras</t>
        </is>
      </c>
      <c r="G25" s="33" t="inlineStr">
        <is>
          <t>Recebido</t>
        </is>
      </c>
      <c r="H25" s="33" t="n"/>
      <c r="I25" s="33" t="n"/>
      <c r="J25" s="33" t="inlineStr">
        <is>
          <t>Conta Nubank</t>
        </is>
      </c>
      <c r="K25" s="33" t="inlineStr">
        <is>
          <t>PIX</t>
        </is>
      </c>
      <c r="L25" s="58" t="n"/>
      <c r="M25" s="57" t="n"/>
      <c r="N25" s="59" t="n"/>
      <c r="O25" s="33" t="inlineStr">
        <is>
          <t>Projeto</t>
        </is>
      </c>
      <c r="P25" s="33" t="n"/>
      <c r="Q25" s="60" t="inlineStr">
        <is>
          <t>EXEMPLO</t>
        </is>
      </c>
      <c r="R25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25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25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25" s="8" t="n"/>
      <c r="V25" s="8" t="n"/>
    </row>
    <row r="26" ht="20" customHeight="1">
      <c r="A26" s="8" t="n"/>
      <c r="B26" s="57" t="n">
        <v>46157</v>
      </c>
      <c r="C26" s="33" t="inlineStr">
        <is>
          <t>Combustível</t>
        </is>
      </c>
      <c r="D26" s="48" t="n">
        <v>285.5</v>
      </c>
      <c r="E26" s="33" t="inlineStr">
        <is>
          <t>Despesa</t>
        </is>
      </c>
      <c r="F26" s="33" t="inlineStr">
        <is>
          <t>Transporte</t>
        </is>
      </c>
      <c r="G26" s="33" t="inlineStr">
        <is>
          <t>Pago</t>
        </is>
      </c>
      <c r="H26" s="33" t="inlineStr">
        <is>
          <t>Essenciais</t>
        </is>
      </c>
      <c r="I26" s="33" t="n"/>
      <c r="J26" s="33" t="inlineStr">
        <is>
          <t>Cartão Itaú</t>
        </is>
      </c>
      <c r="K26" s="33" t="inlineStr">
        <is>
          <t>Cartão de crédito</t>
        </is>
      </c>
      <c r="L26" s="58" t="n"/>
      <c r="M26" s="57" t="n"/>
      <c r="N26" s="59" t="n"/>
      <c r="O26" s="33" t="inlineStr">
        <is>
          <t>Combustível</t>
        </is>
      </c>
      <c r="P26" s="33" t="n"/>
      <c r="Q26" s="60" t="inlineStr">
        <is>
          <t>EXEMPLO</t>
        </is>
      </c>
      <c r="R26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26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26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26" s="8" t="n"/>
      <c r="V26" s="8" t="n"/>
    </row>
    <row r="27" ht="20" customHeight="1">
      <c r="A27" s="8" t="n"/>
      <c r="B27" s="57" t="n">
        <v>46166</v>
      </c>
      <c r="C27" s="33" t="inlineStr">
        <is>
          <t>Presente dia das mães</t>
        </is>
      </c>
      <c r="D27" s="48" t="n">
        <v>289.9</v>
      </c>
      <c r="E27" s="33" t="inlineStr">
        <is>
          <t>Despesa</t>
        </is>
      </c>
      <c r="F27" s="33" t="inlineStr">
        <is>
          <t>Compras</t>
        </is>
      </c>
      <c r="G27" s="33" t="inlineStr">
        <is>
          <t>Pago</t>
        </is>
      </c>
      <c r="H27" s="33" t="inlineStr">
        <is>
          <t>Essenciais</t>
        </is>
      </c>
      <c r="I27" s="33" t="n"/>
      <c r="J27" s="33" t="inlineStr">
        <is>
          <t>Cartão Itaú</t>
        </is>
      </c>
      <c r="K27" s="33" t="inlineStr">
        <is>
          <t>Cartão de crédito</t>
        </is>
      </c>
      <c r="L27" s="58" t="n"/>
      <c r="M27" s="57" t="n"/>
      <c r="N27" s="59" t="n"/>
      <c r="O27" s="33" t="inlineStr">
        <is>
          <t>Presentes</t>
        </is>
      </c>
      <c r="P27" s="33" t="n"/>
      <c r="Q27" s="60" t="inlineStr">
        <is>
          <t>EXEMPLO</t>
        </is>
      </c>
      <c r="R27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27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27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27" s="8" t="n"/>
      <c r="V27" s="8" t="n"/>
    </row>
    <row r="28" ht="20" customHeight="1">
      <c r="A28" s="8" t="n"/>
      <c r="B28" s="57" t="n">
        <v>46169</v>
      </c>
      <c r="C28" s="33" t="inlineStr">
        <is>
          <t>Cinema / passeio</t>
        </is>
      </c>
      <c r="D28" s="48" t="n">
        <v>180</v>
      </c>
      <c r="E28" s="33" t="inlineStr">
        <is>
          <t>Despesa</t>
        </is>
      </c>
      <c r="F28" s="33" t="inlineStr">
        <is>
          <t>Lazer</t>
        </is>
      </c>
      <c r="G28" s="33" t="inlineStr">
        <is>
          <t>Pago</t>
        </is>
      </c>
      <c r="H28" s="33" t="inlineStr">
        <is>
          <t>Lazer</t>
        </is>
      </c>
      <c r="I28" s="33" t="n"/>
      <c r="J28" s="33" t="inlineStr">
        <is>
          <t>Conta Nubank</t>
        </is>
      </c>
      <c r="K28" s="33" t="inlineStr">
        <is>
          <t>PIX</t>
        </is>
      </c>
      <c r="L28" s="58" t="n"/>
      <c r="M28" s="57" t="n"/>
      <c r="N28" s="59" t="n"/>
      <c r="O28" s="33" t="inlineStr">
        <is>
          <t>Cinema</t>
        </is>
      </c>
      <c r="P28" s="33" t="n"/>
      <c r="Q28" s="60" t="inlineStr">
        <is>
          <t>EXEMPLO</t>
        </is>
      </c>
      <c r="R28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28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28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28" s="8" t="n"/>
      <c r="V28" s="8" t="n"/>
    </row>
    <row r="29" ht="20" customHeight="1">
      <c r="A29" s="8" t="n"/>
      <c r="B29" s="57" t="n">
        <v>46176</v>
      </c>
      <c r="C29" s="33" t="inlineStr">
        <is>
          <t>Plano de saúde familiar</t>
        </is>
      </c>
      <c r="D29" s="48" t="n">
        <v>890</v>
      </c>
      <c r="E29" s="33" t="inlineStr">
        <is>
          <t>Despesa</t>
        </is>
      </c>
      <c r="F29" s="33" t="inlineStr">
        <is>
          <t>Saúde</t>
        </is>
      </c>
      <c r="G29" s="33" t="inlineStr">
        <is>
          <t>Pago</t>
        </is>
      </c>
      <c r="H29" s="33" t="inlineStr">
        <is>
          <t>Essenciais</t>
        </is>
      </c>
      <c r="I29" s="33" t="n"/>
      <c r="J29" s="33" t="inlineStr">
        <is>
          <t>Conta corrente Itaú</t>
        </is>
      </c>
      <c r="K29" s="33" t="inlineStr">
        <is>
          <t>Débito automático</t>
        </is>
      </c>
      <c r="L29" s="58" t="n"/>
      <c r="M29" s="57" t="n"/>
      <c r="N29" s="59" t="n"/>
      <c r="O29" s="33" t="inlineStr">
        <is>
          <t>Plano de saúde</t>
        </is>
      </c>
      <c r="P29" s="33" t="n"/>
      <c r="Q29" s="60" t="inlineStr">
        <is>
          <t>EXEMPLO</t>
        </is>
      </c>
      <c r="R29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29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29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29" s="8" t="n"/>
      <c r="V29" s="8" t="n"/>
    </row>
    <row r="30" ht="20" customHeight="1">
      <c r="A30" s="8" t="n"/>
      <c r="B30" s="57" t="n">
        <v>46178</v>
      </c>
      <c r="C30" s="33" t="inlineStr">
        <is>
          <t>Salário — titular</t>
        </is>
      </c>
      <c r="D30" s="48" t="n">
        <v>7800</v>
      </c>
      <c r="E30" s="33" t="inlineStr">
        <is>
          <t>Receita</t>
        </is>
      </c>
      <c r="F30" s="33" t="inlineStr">
        <is>
          <t>Salário</t>
        </is>
      </c>
      <c r="G30" s="33" t="inlineStr">
        <is>
          <t>Recebido</t>
        </is>
      </c>
      <c r="H30" s="33" t="n"/>
      <c r="I30" s="33" t="n"/>
      <c r="J30" s="33" t="inlineStr">
        <is>
          <t>Conta corrente Itaú</t>
        </is>
      </c>
      <c r="K30" s="33" t="inlineStr">
        <is>
          <t>Transferência</t>
        </is>
      </c>
      <c r="L30" s="58" t="n"/>
      <c r="M30" s="57" t="n"/>
      <c r="N30" s="59" t="n"/>
      <c r="O30" s="33" t="inlineStr">
        <is>
          <t>Mensal</t>
        </is>
      </c>
      <c r="P30" s="33" t="n"/>
      <c r="Q30" s="60" t="inlineStr">
        <is>
          <t>EXEMPLO</t>
        </is>
      </c>
      <c r="R30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30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30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30" s="8" t="n"/>
      <c r="V30" s="8" t="n"/>
    </row>
    <row r="31" ht="20" customHeight="1">
      <c r="A31" s="8" t="n"/>
      <c r="B31" s="57" t="n">
        <v>46178</v>
      </c>
      <c r="C31" s="33" t="inlineStr">
        <is>
          <t>Salário — cônjuge</t>
        </is>
      </c>
      <c r="D31" s="48" t="n">
        <v>5200</v>
      </c>
      <c r="E31" s="33" t="inlineStr">
        <is>
          <t>Receita</t>
        </is>
      </c>
      <c r="F31" s="33" t="inlineStr">
        <is>
          <t>Salário</t>
        </is>
      </c>
      <c r="G31" s="33" t="inlineStr">
        <is>
          <t>Recebido</t>
        </is>
      </c>
      <c r="H31" s="33" t="n"/>
      <c r="I31" s="33" t="n"/>
      <c r="J31" s="33" t="inlineStr">
        <is>
          <t>Conta Nubank</t>
        </is>
      </c>
      <c r="K31" s="33" t="inlineStr">
        <is>
          <t>Transferência</t>
        </is>
      </c>
      <c r="L31" s="58" t="n"/>
      <c r="M31" s="57" t="n"/>
      <c r="N31" s="59" t="n"/>
      <c r="O31" s="33" t="inlineStr">
        <is>
          <t>Mensal</t>
        </is>
      </c>
      <c r="P31" s="33" t="n"/>
      <c r="Q31" s="60" t="inlineStr">
        <is>
          <t>EXEMPLO</t>
        </is>
      </c>
      <c r="R31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31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31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31" s="8" t="n"/>
      <c r="V31" s="8" t="n"/>
    </row>
    <row r="32" ht="20" customHeight="1">
      <c r="A32" s="8" t="n"/>
      <c r="B32" s="57" t="n">
        <v>46180</v>
      </c>
      <c r="C32" s="33" t="inlineStr">
        <is>
          <t>Mercado do mês</t>
        </is>
      </c>
      <c r="D32" s="48" t="n">
        <v>788.45</v>
      </c>
      <c r="E32" s="33" t="inlineStr">
        <is>
          <t>Despesa</t>
        </is>
      </c>
      <c r="F32" s="33" t="inlineStr">
        <is>
          <t>Alimentação</t>
        </is>
      </c>
      <c r="G32" s="33" t="inlineStr">
        <is>
          <t>Pago</t>
        </is>
      </c>
      <c r="H32" s="33" t="inlineStr">
        <is>
          <t>Essenciais</t>
        </is>
      </c>
      <c r="I32" s="33" t="n"/>
      <c r="J32" s="33" t="inlineStr">
        <is>
          <t>Cartão Nubank</t>
        </is>
      </c>
      <c r="K32" s="33" t="inlineStr">
        <is>
          <t>Cartão de crédito</t>
        </is>
      </c>
      <c r="L32" s="58" t="n"/>
      <c r="M32" s="57" t="n"/>
      <c r="N32" s="59" t="n"/>
      <c r="O32" s="33" t="inlineStr">
        <is>
          <t>Mercado</t>
        </is>
      </c>
      <c r="P32" s="33" t="n"/>
      <c r="Q32" s="60" t="inlineStr">
        <is>
          <t>EXEMPLO</t>
        </is>
      </c>
      <c r="R32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32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32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32" s="8" t="n"/>
      <c r="V32" s="8" t="n"/>
    </row>
    <row r="33" ht="20" customHeight="1">
      <c r="A33" s="8" t="n"/>
      <c r="B33" s="57" t="n">
        <v>46181</v>
      </c>
      <c r="C33" s="33" t="inlineStr">
        <is>
          <t>Mensalidade escolar</t>
        </is>
      </c>
      <c r="D33" s="48" t="n">
        <v>1450</v>
      </c>
      <c r="E33" s="33" t="inlineStr">
        <is>
          <t>Despesa</t>
        </is>
      </c>
      <c r="F33" s="33" t="inlineStr">
        <is>
          <t>Educação</t>
        </is>
      </c>
      <c r="G33" s="33" t="inlineStr">
        <is>
          <t>Pago</t>
        </is>
      </c>
      <c r="H33" s="33" t="inlineStr">
        <is>
          <t>Essenciais</t>
        </is>
      </c>
      <c r="I33" s="33" t="n"/>
      <c r="J33" s="33" t="inlineStr">
        <is>
          <t>Conta corrente Itaú</t>
        </is>
      </c>
      <c r="K33" s="33" t="inlineStr">
        <is>
          <t>Boleto</t>
        </is>
      </c>
      <c r="L33" s="58" t="n"/>
      <c r="M33" s="57" t="n"/>
      <c r="N33" s="59" t="n"/>
      <c r="O33" s="33" t="inlineStr">
        <is>
          <t>Escola</t>
        </is>
      </c>
      <c r="P33" s="33" t="n"/>
      <c r="Q33" s="60" t="inlineStr">
        <is>
          <t>EXEMPLO</t>
        </is>
      </c>
      <c r="R33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33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33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33" s="8" t="n"/>
      <c r="V33" s="8" t="n"/>
    </row>
    <row r="34" ht="20" customHeight="1">
      <c r="A34" s="8" t="n"/>
      <c r="B34" s="57" t="n">
        <v>46183</v>
      </c>
      <c r="C34" s="33" t="inlineStr">
        <is>
          <t>Aluguel do apartamento</t>
        </is>
      </c>
      <c r="D34" s="48" t="n">
        <v>2350</v>
      </c>
      <c r="E34" s="33" t="inlineStr">
        <is>
          <t>Despesa</t>
        </is>
      </c>
      <c r="F34" s="33" t="inlineStr">
        <is>
          <t>Moradia</t>
        </is>
      </c>
      <c r="G34" s="33" t="inlineStr">
        <is>
          <t>Pago</t>
        </is>
      </c>
      <c r="H34" s="33" t="inlineStr">
        <is>
          <t>Essenciais</t>
        </is>
      </c>
      <c r="I34" s="33" t="n"/>
      <c r="J34" s="33" t="inlineStr">
        <is>
          <t>Conta corrente Itaú</t>
        </is>
      </c>
      <c r="K34" s="33" t="inlineStr">
        <is>
          <t>Boleto</t>
        </is>
      </c>
      <c r="L34" s="58" t="n"/>
      <c r="M34" s="57" t="n"/>
      <c r="N34" s="59" t="n"/>
      <c r="O34" s="33" t="inlineStr">
        <is>
          <t>Aluguel/Financiamento</t>
        </is>
      </c>
      <c r="P34" s="33" t="n"/>
      <c r="Q34" s="60" t="inlineStr">
        <is>
          <t>EXEMPLO</t>
        </is>
      </c>
      <c r="R34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34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34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34" s="8" t="n"/>
      <c r="V34" s="8" t="n"/>
    </row>
    <row r="35" ht="20" customHeight="1">
      <c r="A35" s="8" t="n"/>
      <c r="B35" s="57" t="n">
        <v>46183</v>
      </c>
      <c r="C35" s="33" t="inlineStr">
        <is>
          <t>Conta de energia</t>
        </is>
      </c>
      <c r="D35" s="48" t="n">
        <v>274.8</v>
      </c>
      <c r="E35" s="33" t="inlineStr">
        <is>
          <t>Despesa</t>
        </is>
      </c>
      <c r="F35" s="33" t="inlineStr">
        <is>
          <t>Contas da casa</t>
        </is>
      </c>
      <c r="G35" s="33" t="inlineStr">
        <is>
          <t>Pago</t>
        </is>
      </c>
      <c r="H35" s="33" t="inlineStr">
        <is>
          <t>Essenciais</t>
        </is>
      </c>
      <c r="I35" s="33" t="n"/>
      <c r="J35" s="33" t="inlineStr">
        <is>
          <t>Conta corrente Itaú</t>
        </is>
      </c>
      <c r="K35" s="33" t="inlineStr">
        <is>
          <t>Débito automático</t>
        </is>
      </c>
      <c r="L35" s="58" t="n"/>
      <c r="M35" s="57" t="n"/>
      <c r="N35" s="59" t="n"/>
      <c r="O35" s="33" t="inlineStr">
        <is>
          <t>Energia</t>
        </is>
      </c>
      <c r="P35" s="33" t="n"/>
      <c r="Q35" s="60" t="inlineStr">
        <is>
          <t>EXEMPLO</t>
        </is>
      </c>
      <c r="R35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35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35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35" s="8" t="n"/>
      <c r="V35" s="8" t="n"/>
    </row>
    <row r="36" ht="20" customHeight="1">
      <c r="A36" s="8" t="n"/>
      <c r="B36" s="57" t="n">
        <v>46185</v>
      </c>
      <c r="C36" s="33" t="inlineStr">
        <is>
          <t>Streaming + academia</t>
        </is>
      </c>
      <c r="D36" s="48" t="n">
        <v>174.8</v>
      </c>
      <c r="E36" s="33" t="inlineStr">
        <is>
          <t>Despesa</t>
        </is>
      </c>
      <c r="F36" s="33" t="inlineStr">
        <is>
          <t>Assinaturas</t>
        </is>
      </c>
      <c r="G36" s="33" t="inlineStr">
        <is>
          <t>Pago</t>
        </is>
      </c>
      <c r="H36" s="33" t="inlineStr">
        <is>
          <t>Essenciais</t>
        </is>
      </c>
      <c r="I36" s="33" t="n"/>
      <c r="J36" s="33" t="inlineStr">
        <is>
          <t>Cartão Nubank</t>
        </is>
      </c>
      <c r="K36" s="33" t="inlineStr">
        <is>
          <t>Cartão de crédito</t>
        </is>
      </c>
      <c r="L36" s="58" t="n"/>
      <c r="M36" s="57" t="n"/>
      <c r="N36" s="59" t="n"/>
      <c r="O36" s="33" t="inlineStr">
        <is>
          <t>Streaming</t>
        </is>
      </c>
      <c r="P36" s="33" t="n"/>
      <c r="Q36" s="60" t="inlineStr">
        <is>
          <t>EXEMPLO</t>
        </is>
      </c>
      <c r="R36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36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36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36" s="8" t="n"/>
      <c r="V36" s="8" t="n"/>
    </row>
    <row r="37" ht="20" customHeight="1">
      <c r="A37" s="8" t="n"/>
      <c r="B37" s="57" t="n">
        <v>46187</v>
      </c>
      <c r="C37" s="33" t="inlineStr">
        <is>
          <t>Festa junina da escola</t>
        </is>
      </c>
      <c r="D37" s="48" t="n">
        <v>95</v>
      </c>
      <c r="E37" s="33" t="inlineStr">
        <is>
          <t>Despesa</t>
        </is>
      </c>
      <c r="F37" s="33" t="inlineStr">
        <is>
          <t>Lazer</t>
        </is>
      </c>
      <c r="G37" s="33" t="inlineStr">
        <is>
          <t>Pago</t>
        </is>
      </c>
      <c r="H37" s="33" t="inlineStr">
        <is>
          <t>Lazer</t>
        </is>
      </c>
      <c r="I37" s="33" t="n"/>
      <c r="J37" s="33" t="inlineStr">
        <is>
          <t>Carteira</t>
        </is>
      </c>
      <c r="K37" s="33" t="inlineStr">
        <is>
          <t>Dinheiro</t>
        </is>
      </c>
      <c r="L37" s="58" t="n"/>
      <c r="M37" s="57" t="n"/>
      <c r="N37" s="59" t="n"/>
      <c r="O37" s="33" t="inlineStr">
        <is>
          <t>Passeios</t>
        </is>
      </c>
      <c r="P37" s="33" t="n"/>
      <c r="Q37" s="60" t="inlineStr">
        <is>
          <t>EXEMPLO</t>
        </is>
      </c>
      <c r="R37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37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37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37" s="8" t="n"/>
      <c r="V37" s="8" t="n"/>
    </row>
    <row r="38" ht="20" customHeight="1">
      <c r="A38" s="8" t="n"/>
      <c r="B38" s="57" t="n">
        <v>46188</v>
      </c>
      <c r="C38" s="33" t="inlineStr">
        <is>
          <t>Combustível</t>
        </is>
      </c>
      <c r="D38" s="48" t="n">
        <v>342.1</v>
      </c>
      <c r="E38" s="33" t="inlineStr">
        <is>
          <t>Despesa</t>
        </is>
      </c>
      <c r="F38" s="33" t="inlineStr">
        <is>
          <t>Transporte</t>
        </is>
      </c>
      <c r="G38" s="33" t="inlineStr">
        <is>
          <t>Pago</t>
        </is>
      </c>
      <c r="H38" s="33" t="inlineStr">
        <is>
          <t>Essenciais</t>
        </is>
      </c>
      <c r="I38" s="33" t="n"/>
      <c r="J38" s="33" t="inlineStr">
        <is>
          <t>Cartão Itaú</t>
        </is>
      </c>
      <c r="K38" s="33" t="inlineStr">
        <is>
          <t>Cartão de crédito</t>
        </is>
      </c>
      <c r="L38" s="58" t="n"/>
      <c r="M38" s="57" t="n"/>
      <c r="N38" s="59" t="n"/>
      <c r="O38" s="33" t="inlineStr">
        <is>
          <t>Combustível</t>
        </is>
      </c>
      <c r="P38" s="33" t="n"/>
      <c r="Q38" s="60" t="inlineStr">
        <is>
          <t>EXEMPLO</t>
        </is>
      </c>
      <c r="R38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38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38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38" s="8" t="n"/>
      <c r="V38" s="8" t="n"/>
    </row>
    <row r="39" ht="20" customHeight="1">
      <c r="A39" s="8" t="n"/>
      <c r="B39" s="57" t="n">
        <v>46194</v>
      </c>
      <c r="C39" s="33" t="inlineStr">
        <is>
          <t>Revisão do carro</t>
        </is>
      </c>
      <c r="D39" s="48" t="n">
        <v>780</v>
      </c>
      <c r="E39" s="33" t="inlineStr">
        <is>
          <t>Despesa</t>
        </is>
      </c>
      <c r="F39" s="33" t="inlineStr">
        <is>
          <t>Transporte</t>
        </is>
      </c>
      <c r="G39" s="33" t="inlineStr">
        <is>
          <t>Pago</t>
        </is>
      </c>
      <c r="H39" s="33" t="inlineStr">
        <is>
          <t>Essenciais</t>
        </is>
      </c>
      <c r="I39" s="33" t="n"/>
      <c r="J39" s="33" t="inlineStr">
        <is>
          <t>Cartão Itaú</t>
        </is>
      </c>
      <c r="K39" s="33" t="inlineStr">
        <is>
          <t>Cartão de crédito</t>
        </is>
      </c>
      <c r="L39" s="58" t="n"/>
      <c r="M39" s="57" t="n"/>
      <c r="N39" s="59" t="n"/>
      <c r="O39" s="33" t="inlineStr">
        <is>
          <t>Manutenção do carro</t>
        </is>
      </c>
      <c r="P39" s="33" t="n"/>
      <c r="Q39" s="60" t="inlineStr">
        <is>
          <t>EXEMPLO</t>
        </is>
      </c>
      <c r="R39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39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39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39" s="8" t="n"/>
      <c r="V39" s="8" t="n"/>
    </row>
    <row r="40" ht="20" customHeight="1">
      <c r="A40" s="8" t="n"/>
      <c r="B40" s="57" t="n">
        <v>46200</v>
      </c>
      <c r="C40" s="33" t="inlineStr">
        <is>
          <t>Cinema / passeio</t>
        </is>
      </c>
      <c r="D40" s="48" t="n">
        <v>72.5</v>
      </c>
      <c r="E40" s="33" t="inlineStr">
        <is>
          <t>Despesa</t>
        </is>
      </c>
      <c r="F40" s="33" t="inlineStr">
        <is>
          <t>Lazer</t>
        </is>
      </c>
      <c r="G40" s="33" t="inlineStr">
        <is>
          <t>Pago</t>
        </is>
      </c>
      <c r="H40" s="33" t="inlineStr">
        <is>
          <t>Lazer</t>
        </is>
      </c>
      <c r="I40" s="33" t="n"/>
      <c r="J40" s="33" t="inlineStr">
        <is>
          <t>Conta Nubank</t>
        </is>
      </c>
      <c r="K40" s="33" t="inlineStr">
        <is>
          <t>PIX</t>
        </is>
      </c>
      <c r="L40" s="58" t="n"/>
      <c r="M40" s="57" t="n"/>
      <c r="N40" s="59" t="n"/>
      <c r="O40" s="33" t="inlineStr">
        <is>
          <t>Cinema</t>
        </is>
      </c>
      <c r="P40" s="33" t="n"/>
      <c r="Q40" s="60" t="inlineStr">
        <is>
          <t>EXEMPLO</t>
        </is>
      </c>
      <c r="R40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40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40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40" s="8" t="n"/>
      <c r="V40" s="8" t="n"/>
    </row>
    <row r="41" ht="20" customHeight="1">
      <c r="A41" s="8" t="n"/>
      <c r="B41" s="57" t="n">
        <v>46206</v>
      </c>
      <c r="C41" s="33" t="inlineStr">
        <is>
          <t>Plano de saúde familiar</t>
        </is>
      </c>
      <c r="D41" s="48" t="n">
        <v>890</v>
      </c>
      <c r="E41" s="33" t="inlineStr">
        <is>
          <t>Despesa</t>
        </is>
      </c>
      <c r="F41" s="33" t="inlineStr">
        <is>
          <t>Saúde</t>
        </is>
      </c>
      <c r="G41" s="33" t="inlineStr">
        <is>
          <t>Pago</t>
        </is>
      </c>
      <c r="H41" s="33" t="inlineStr">
        <is>
          <t>Essenciais</t>
        </is>
      </c>
      <c r="I41" s="33" t="n"/>
      <c r="J41" s="33" t="inlineStr">
        <is>
          <t>Conta corrente Itaú</t>
        </is>
      </c>
      <c r="K41" s="33" t="inlineStr">
        <is>
          <t>Débito automático</t>
        </is>
      </c>
      <c r="L41" s="58" t="n"/>
      <c r="M41" s="57" t="n"/>
      <c r="N41" s="59" t="n"/>
      <c r="O41" s="33" t="inlineStr">
        <is>
          <t>Plano de saúde</t>
        </is>
      </c>
      <c r="P41" s="33" t="n"/>
      <c r="Q41" s="60" t="inlineStr">
        <is>
          <t>EXEMPLO</t>
        </is>
      </c>
      <c r="R41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41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41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41" s="8" t="n"/>
      <c r="V41" s="8" t="n"/>
    </row>
    <row r="42" ht="20" customHeight="1">
      <c r="A42" s="8" t="n"/>
      <c r="B42" s="57" t="n">
        <v>46208</v>
      </c>
      <c r="C42" s="33" t="inlineStr">
        <is>
          <t>Salário — titular</t>
        </is>
      </c>
      <c r="D42" s="48" t="n">
        <v>7800</v>
      </c>
      <c r="E42" s="33" t="inlineStr">
        <is>
          <t>Receita</t>
        </is>
      </c>
      <c r="F42" s="33" t="inlineStr">
        <is>
          <t>Salário</t>
        </is>
      </c>
      <c r="G42" s="33" t="inlineStr">
        <is>
          <t>Recebido</t>
        </is>
      </c>
      <c r="H42" s="33" t="n"/>
      <c r="I42" s="33" t="n"/>
      <c r="J42" s="33" t="inlineStr">
        <is>
          <t>Conta corrente Itaú</t>
        </is>
      </c>
      <c r="K42" s="33" t="inlineStr">
        <is>
          <t>Transferência</t>
        </is>
      </c>
      <c r="L42" s="58" t="n"/>
      <c r="M42" s="57" t="n"/>
      <c r="N42" s="59" t="n"/>
      <c r="O42" s="33" t="inlineStr">
        <is>
          <t>Mensal</t>
        </is>
      </c>
      <c r="P42" s="33" t="n"/>
      <c r="Q42" s="60" t="inlineStr">
        <is>
          <t>EXEMPLO</t>
        </is>
      </c>
      <c r="R42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42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42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42" s="8" t="n"/>
      <c r="V42" s="8" t="n"/>
    </row>
    <row r="43" ht="20" customHeight="1">
      <c r="A43" s="8" t="n"/>
      <c r="B43" s="57" t="n">
        <v>46208</v>
      </c>
      <c r="C43" s="33" t="inlineStr">
        <is>
          <t>Salário — cônjuge</t>
        </is>
      </c>
      <c r="D43" s="48" t="n">
        <v>5200</v>
      </c>
      <c r="E43" s="33" t="inlineStr">
        <is>
          <t>Receita</t>
        </is>
      </c>
      <c r="F43" s="33" t="inlineStr">
        <is>
          <t>Salário</t>
        </is>
      </c>
      <c r="G43" s="33" t="inlineStr">
        <is>
          <t>Recebido</t>
        </is>
      </c>
      <c r="H43" s="33" t="n"/>
      <c r="I43" s="33" t="n"/>
      <c r="J43" s="33" t="inlineStr">
        <is>
          <t>Conta Nubank</t>
        </is>
      </c>
      <c r="K43" s="33" t="inlineStr">
        <is>
          <t>Transferência</t>
        </is>
      </c>
      <c r="L43" s="58" t="n"/>
      <c r="M43" s="57" t="n"/>
      <c r="N43" s="59" t="n"/>
      <c r="O43" s="33" t="inlineStr">
        <is>
          <t>Mensal</t>
        </is>
      </c>
      <c r="P43" s="33" t="n"/>
      <c r="Q43" s="60" t="inlineStr">
        <is>
          <t>EXEMPLO</t>
        </is>
      </c>
      <c r="R43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43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43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43" s="8" t="n"/>
      <c r="V43" s="8" t="n"/>
    </row>
    <row r="44" ht="20" customHeight="1">
      <c r="A44" s="8" t="n"/>
      <c r="B44" s="57" t="n">
        <v>46210</v>
      </c>
      <c r="C44" s="33" t="inlineStr">
        <is>
          <t>Mercado do mês</t>
        </is>
      </c>
      <c r="D44" s="48" t="n">
        <v>1012.3</v>
      </c>
      <c r="E44" s="33" t="inlineStr">
        <is>
          <t>Despesa</t>
        </is>
      </c>
      <c r="F44" s="33" t="inlineStr">
        <is>
          <t>Alimentação</t>
        </is>
      </c>
      <c r="G44" s="33" t="inlineStr">
        <is>
          <t>Pago</t>
        </is>
      </c>
      <c r="H44" s="33" t="inlineStr">
        <is>
          <t>Essenciais</t>
        </is>
      </c>
      <c r="I44" s="33" t="n"/>
      <c r="J44" s="33" t="inlineStr">
        <is>
          <t>Cartão Nubank</t>
        </is>
      </c>
      <c r="K44" s="33" t="inlineStr">
        <is>
          <t>Cartão de crédito</t>
        </is>
      </c>
      <c r="L44" s="58" t="n"/>
      <c r="M44" s="57" t="n"/>
      <c r="N44" s="59" t="n"/>
      <c r="O44" s="33" t="inlineStr">
        <is>
          <t>Mercado</t>
        </is>
      </c>
      <c r="P44" s="33" t="n"/>
      <c r="Q44" s="60" t="inlineStr">
        <is>
          <t>EXEMPLO</t>
        </is>
      </c>
      <c r="R44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44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44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44" s="8" t="n"/>
      <c r="V44" s="8" t="n"/>
    </row>
    <row r="45" ht="20" customHeight="1">
      <c r="A45" s="8" t="n"/>
      <c r="B45" s="57" t="n">
        <v>46211</v>
      </c>
      <c r="C45" s="33" t="inlineStr">
        <is>
          <t>Mensalidade escolar</t>
        </is>
      </c>
      <c r="D45" s="48" t="n">
        <v>1450</v>
      </c>
      <c r="E45" s="33" t="inlineStr">
        <is>
          <t>Despesa</t>
        </is>
      </c>
      <c r="F45" s="33" t="inlineStr">
        <is>
          <t>Educação</t>
        </is>
      </c>
      <c r="G45" s="33" t="inlineStr">
        <is>
          <t>Pago</t>
        </is>
      </c>
      <c r="H45" s="33" t="inlineStr">
        <is>
          <t>Essenciais</t>
        </is>
      </c>
      <c r="I45" s="33" t="n"/>
      <c r="J45" s="33" t="inlineStr">
        <is>
          <t>Conta corrente Itaú</t>
        </is>
      </c>
      <c r="K45" s="33" t="inlineStr">
        <is>
          <t>Boleto</t>
        </is>
      </c>
      <c r="L45" s="58" t="n"/>
      <c r="M45" s="57" t="n"/>
      <c r="N45" s="59" t="n"/>
      <c r="O45" s="33" t="inlineStr">
        <is>
          <t>Escola</t>
        </is>
      </c>
      <c r="P45" s="33" t="n"/>
      <c r="Q45" s="60" t="inlineStr">
        <is>
          <t>EXEMPLO</t>
        </is>
      </c>
      <c r="R45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45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45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45" s="8" t="n"/>
      <c r="V45" s="8" t="n"/>
    </row>
    <row r="46" ht="20" customHeight="1">
      <c r="A46" s="8" t="n"/>
      <c r="B46" s="57" t="n">
        <v>46211</v>
      </c>
      <c r="C46" s="33" t="inlineStr">
        <is>
          <t>Viagem de férias — hotel</t>
        </is>
      </c>
      <c r="D46" s="48" t="n">
        <v>1650</v>
      </c>
      <c r="E46" s="33" t="inlineStr">
        <is>
          <t>Despesa</t>
        </is>
      </c>
      <c r="F46" s="33" t="inlineStr">
        <is>
          <t>Lazer</t>
        </is>
      </c>
      <c r="G46" s="33" t="inlineStr">
        <is>
          <t>Pago</t>
        </is>
      </c>
      <c r="H46" s="33" t="inlineStr">
        <is>
          <t>Lazer</t>
        </is>
      </c>
      <c r="I46" s="33" t="n"/>
      <c r="J46" s="33" t="inlineStr">
        <is>
          <t>Cartão Itaú</t>
        </is>
      </c>
      <c r="K46" s="33" t="inlineStr">
        <is>
          <t>Cartão de crédito</t>
        </is>
      </c>
      <c r="L46" s="58" t="n"/>
      <c r="M46" s="57" t="n"/>
      <c r="N46" s="59" t="n"/>
      <c r="O46" s="33" t="inlineStr">
        <is>
          <t>Viagens</t>
        </is>
      </c>
      <c r="P46" s="33" t="n"/>
      <c r="Q46" s="60" t="inlineStr">
        <is>
          <t>EXEMPLO</t>
        </is>
      </c>
      <c r="R46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46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46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46" s="8" t="n"/>
      <c r="V46" s="8" t="n"/>
    </row>
    <row r="47" ht="20" customHeight="1">
      <c r="A47" s="8" t="n"/>
      <c r="B47" s="57" t="n">
        <v>46213</v>
      </c>
      <c r="C47" s="33" t="inlineStr">
        <is>
          <t>Aluguel do apartamento</t>
        </is>
      </c>
      <c r="D47" s="48" t="n">
        <v>2350</v>
      </c>
      <c r="E47" s="33" t="inlineStr">
        <is>
          <t>Despesa</t>
        </is>
      </c>
      <c r="F47" s="33" t="inlineStr">
        <is>
          <t>Moradia</t>
        </is>
      </c>
      <c r="G47" s="33" t="inlineStr">
        <is>
          <t>Pago</t>
        </is>
      </c>
      <c r="H47" s="33" t="inlineStr">
        <is>
          <t>Essenciais</t>
        </is>
      </c>
      <c r="I47" s="33" t="n"/>
      <c r="J47" s="33" t="inlineStr">
        <is>
          <t>Conta corrente Itaú</t>
        </is>
      </c>
      <c r="K47" s="33" t="inlineStr">
        <is>
          <t>Boleto</t>
        </is>
      </c>
      <c r="L47" s="58" t="n"/>
      <c r="M47" s="57" t="n"/>
      <c r="N47" s="59" t="n"/>
      <c r="O47" s="33" t="inlineStr">
        <is>
          <t>Aluguel/Financiamento</t>
        </is>
      </c>
      <c r="P47" s="33" t="n"/>
      <c r="Q47" s="60" t="inlineStr">
        <is>
          <t>EXEMPLO</t>
        </is>
      </c>
      <c r="R47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47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47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47" s="8" t="n"/>
      <c r="V47" s="8" t="n"/>
    </row>
    <row r="48" ht="20" customHeight="1">
      <c r="A48" s="8" t="n"/>
      <c r="B48" s="57" t="n">
        <v>46213</v>
      </c>
      <c r="C48" s="33" t="inlineStr">
        <is>
          <t>Conta de energia</t>
        </is>
      </c>
      <c r="D48" s="48" t="n">
        <v>301.22</v>
      </c>
      <c r="E48" s="33" t="inlineStr">
        <is>
          <t>Despesa</t>
        </is>
      </c>
      <c r="F48" s="33" t="inlineStr">
        <is>
          <t>Contas da casa</t>
        </is>
      </c>
      <c r="G48" s="33" t="inlineStr">
        <is>
          <t>Pago</t>
        </is>
      </c>
      <c r="H48" s="33" t="inlineStr">
        <is>
          <t>Essenciais</t>
        </is>
      </c>
      <c r="I48" s="33" t="n"/>
      <c r="J48" s="33" t="inlineStr">
        <is>
          <t>Conta corrente Itaú</t>
        </is>
      </c>
      <c r="K48" s="33" t="inlineStr">
        <is>
          <t>Débito automático</t>
        </is>
      </c>
      <c r="L48" s="58" t="n"/>
      <c r="M48" s="57" t="n"/>
      <c r="N48" s="59" t="n"/>
      <c r="O48" s="33" t="inlineStr">
        <is>
          <t>Energia</t>
        </is>
      </c>
      <c r="P48" s="33" t="n"/>
      <c r="Q48" s="60" t="inlineStr">
        <is>
          <t>EXEMPLO</t>
        </is>
      </c>
      <c r="R48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48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48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48" s="8" t="n"/>
      <c r="V48" s="8" t="n"/>
    </row>
    <row r="49" ht="20" customHeight="1">
      <c r="A49" s="8" t="n"/>
      <c r="B49" s="57" t="n">
        <v>46215</v>
      </c>
      <c r="C49" s="33" t="inlineStr">
        <is>
          <t>Streaming + academia</t>
        </is>
      </c>
      <c r="D49" s="48" t="n">
        <v>174.8</v>
      </c>
      <c r="E49" s="33" t="inlineStr">
        <is>
          <t>Despesa</t>
        </is>
      </c>
      <c r="F49" s="33" t="inlineStr">
        <is>
          <t>Assinaturas</t>
        </is>
      </c>
      <c r="G49" s="33" t="inlineStr">
        <is>
          <t>Pago</t>
        </is>
      </c>
      <c r="H49" s="33" t="inlineStr">
        <is>
          <t>Essenciais</t>
        </is>
      </c>
      <c r="I49" s="33" t="n"/>
      <c r="J49" s="33" t="inlineStr">
        <is>
          <t>Cartão Nubank</t>
        </is>
      </c>
      <c r="K49" s="33" t="inlineStr">
        <is>
          <t>Cartão de crédito</t>
        </is>
      </c>
      <c r="L49" s="58" t="n"/>
      <c r="M49" s="57" t="n"/>
      <c r="N49" s="59" t="n"/>
      <c r="O49" s="33" t="inlineStr">
        <is>
          <t>Streaming</t>
        </is>
      </c>
      <c r="P49" s="33" t="n"/>
      <c r="Q49" s="60" t="inlineStr">
        <is>
          <t>EXEMPLO</t>
        </is>
      </c>
      <c r="R49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49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49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49" s="8" t="n"/>
      <c r="V49" s="8" t="n"/>
    </row>
    <row r="50" ht="20" customHeight="1">
      <c r="A50" s="8" t="n"/>
      <c r="B50" s="57" t="n">
        <v>46218</v>
      </c>
      <c r="C50" s="33" t="inlineStr">
        <is>
          <t>Combustível</t>
        </is>
      </c>
      <c r="D50" s="48" t="n">
        <v>398</v>
      </c>
      <c r="E50" s="33" t="inlineStr">
        <is>
          <t>Despesa</t>
        </is>
      </c>
      <c r="F50" s="33" t="inlineStr">
        <is>
          <t>Transporte</t>
        </is>
      </c>
      <c r="G50" s="33" t="inlineStr">
        <is>
          <t>Pago</t>
        </is>
      </c>
      <c r="H50" s="33" t="inlineStr">
        <is>
          <t>Essenciais</t>
        </is>
      </c>
      <c r="I50" s="33" t="n"/>
      <c r="J50" s="33" t="inlineStr">
        <is>
          <t>Cartão Itaú</t>
        </is>
      </c>
      <c r="K50" s="33" t="inlineStr">
        <is>
          <t>Cartão de crédito</t>
        </is>
      </c>
      <c r="L50" s="58" t="n"/>
      <c r="M50" s="57" t="n"/>
      <c r="N50" s="59" t="n"/>
      <c r="O50" s="33" t="inlineStr">
        <is>
          <t>Combustível</t>
        </is>
      </c>
      <c r="P50" s="33" t="n"/>
      <c r="Q50" s="60" t="inlineStr">
        <is>
          <t>EXEMPLO</t>
        </is>
      </c>
      <c r="R50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50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50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50" s="8" t="n"/>
      <c r="V50" s="8" t="n"/>
    </row>
    <row r="51" ht="20" customHeight="1">
      <c r="A51" s="8" t="n"/>
      <c r="B51" s="57" t="n">
        <v>46222</v>
      </c>
      <c r="C51" s="33" t="inlineStr">
        <is>
          <t>Reembolso plano de saúde</t>
        </is>
      </c>
      <c r="D51" s="48" t="n">
        <v>320</v>
      </c>
      <c r="E51" s="33" t="inlineStr">
        <is>
          <t>Receita</t>
        </is>
      </c>
      <c r="F51" s="33" t="inlineStr">
        <is>
          <t>Reembolsos</t>
        </is>
      </c>
      <c r="G51" s="33" t="inlineStr">
        <is>
          <t>Recebido</t>
        </is>
      </c>
      <c r="H51" s="33" t="n"/>
      <c r="I51" s="33" t="n"/>
      <c r="J51" s="33" t="inlineStr">
        <is>
          <t>Conta corrente Itaú</t>
        </is>
      </c>
      <c r="K51" s="33" t="inlineStr">
        <is>
          <t>Transferência</t>
        </is>
      </c>
      <c r="L51" s="58" t="n"/>
      <c r="M51" s="57" t="n"/>
      <c r="N51" s="59" t="n"/>
      <c r="O51" s="33" t="inlineStr">
        <is>
          <t>Consulta</t>
        </is>
      </c>
      <c r="P51" s="33" t="n"/>
      <c r="Q51" s="60" t="inlineStr">
        <is>
          <t>EXEMPLO</t>
        </is>
      </c>
      <c r="R51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51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51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51" s="8" t="n"/>
      <c r="V51" s="8" t="n"/>
    </row>
    <row r="52" ht="20" customHeight="1">
      <c r="A52" s="8" t="n"/>
      <c r="B52" s="57" t="n">
        <v>46230</v>
      </c>
      <c r="C52" s="33" t="inlineStr">
        <is>
          <t>Cinema / passeio</t>
        </is>
      </c>
      <c r="D52" s="48" t="n">
        <v>145</v>
      </c>
      <c r="E52" s="33" t="inlineStr">
        <is>
          <t>Despesa</t>
        </is>
      </c>
      <c r="F52" s="33" t="inlineStr">
        <is>
          <t>Lazer</t>
        </is>
      </c>
      <c r="G52" s="33" t="inlineStr">
        <is>
          <t>Pago</t>
        </is>
      </c>
      <c r="H52" s="33" t="inlineStr">
        <is>
          <t>Lazer</t>
        </is>
      </c>
      <c r="I52" s="33" t="n"/>
      <c r="J52" s="33" t="inlineStr">
        <is>
          <t>Conta Nubank</t>
        </is>
      </c>
      <c r="K52" s="33" t="inlineStr">
        <is>
          <t>PIX</t>
        </is>
      </c>
      <c r="L52" s="58" t="n"/>
      <c r="M52" s="57" t="n"/>
      <c r="N52" s="59" t="n"/>
      <c r="O52" s="33" t="inlineStr">
        <is>
          <t>Cinema</t>
        </is>
      </c>
      <c r="P52" s="33" t="n"/>
      <c r="Q52" s="60" t="inlineStr">
        <is>
          <t>EXEMPLO</t>
        </is>
      </c>
      <c r="R52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52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52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52" s="8" t="n"/>
      <c r="V52" s="8" t="n"/>
    </row>
    <row r="53" ht="20" customHeight="1">
      <c r="A53" s="8" t="n"/>
      <c r="B53" s="57" t="n">
        <v>46237</v>
      </c>
      <c r="C53" s="33" t="inlineStr">
        <is>
          <t>Plano de saúde familiar</t>
        </is>
      </c>
      <c r="D53" s="48" t="n">
        <v>890</v>
      </c>
      <c r="E53" s="33" t="inlineStr">
        <is>
          <t>Despesa</t>
        </is>
      </c>
      <c r="F53" s="33" t="inlineStr">
        <is>
          <t>Saúde</t>
        </is>
      </c>
      <c r="G53" s="33" t="inlineStr">
        <is>
          <t>Pago</t>
        </is>
      </c>
      <c r="H53" s="33" t="inlineStr">
        <is>
          <t>Essenciais</t>
        </is>
      </c>
      <c r="I53" s="33" t="n"/>
      <c r="J53" s="33" t="inlineStr">
        <is>
          <t>Conta corrente Itaú</t>
        </is>
      </c>
      <c r="K53" s="33" t="inlineStr">
        <is>
          <t>Débito automático</t>
        </is>
      </c>
      <c r="L53" s="58" t="n"/>
      <c r="M53" s="57" t="n"/>
      <c r="N53" s="59" t="n"/>
      <c r="O53" s="33" t="inlineStr">
        <is>
          <t>Plano de saúde</t>
        </is>
      </c>
      <c r="P53" s="33" t="n"/>
      <c r="Q53" s="60" t="inlineStr">
        <is>
          <t>EXEMPLO</t>
        </is>
      </c>
      <c r="R53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53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53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53" s="8" t="n"/>
      <c r="V53" s="8" t="n"/>
    </row>
    <row r="54" ht="20" customHeight="1">
      <c r="A54" s="8" t="n"/>
      <c r="B54" s="57" t="n">
        <v>46239</v>
      </c>
      <c r="C54" s="33" t="inlineStr">
        <is>
          <t>Salário — titular</t>
        </is>
      </c>
      <c r="D54" s="48" t="n">
        <v>7800</v>
      </c>
      <c r="E54" s="33" t="inlineStr">
        <is>
          <t>Receita</t>
        </is>
      </c>
      <c r="F54" s="33" t="inlineStr">
        <is>
          <t>Salário</t>
        </is>
      </c>
      <c r="G54" s="33" t="inlineStr">
        <is>
          <t>Recebido</t>
        </is>
      </c>
      <c r="H54" s="33" t="n"/>
      <c r="I54" s="33" t="n"/>
      <c r="J54" s="33" t="inlineStr">
        <is>
          <t>Conta corrente Itaú</t>
        </is>
      </c>
      <c r="K54" s="33" t="inlineStr">
        <is>
          <t>Transferência</t>
        </is>
      </c>
      <c r="L54" s="58" t="n"/>
      <c r="M54" s="57" t="n"/>
      <c r="N54" s="59" t="n"/>
      <c r="O54" s="33" t="inlineStr">
        <is>
          <t>Mensal</t>
        </is>
      </c>
      <c r="P54" s="33" t="n"/>
      <c r="Q54" s="60" t="inlineStr">
        <is>
          <t>EXEMPLO</t>
        </is>
      </c>
      <c r="R54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54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54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54" s="8" t="n"/>
      <c r="V54" s="8" t="n"/>
    </row>
    <row r="55" ht="20" customHeight="1">
      <c r="A55" s="8" t="n"/>
      <c r="B55" s="57" t="n">
        <v>46239</v>
      </c>
      <c r="C55" s="33" t="inlineStr">
        <is>
          <t>Salário — cônjuge</t>
        </is>
      </c>
      <c r="D55" s="48" t="n">
        <v>5200</v>
      </c>
      <c r="E55" s="33" t="inlineStr">
        <is>
          <t>Receita</t>
        </is>
      </c>
      <c r="F55" s="33" t="inlineStr">
        <is>
          <t>Salário</t>
        </is>
      </c>
      <c r="G55" s="33" t="inlineStr">
        <is>
          <t>Recebido</t>
        </is>
      </c>
      <c r="H55" s="33" t="n"/>
      <c r="I55" s="33" t="n"/>
      <c r="J55" s="33" t="inlineStr">
        <is>
          <t>Conta Nubank</t>
        </is>
      </c>
      <c r="K55" s="33" t="inlineStr">
        <is>
          <t>Transferência</t>
        </is>
      </c>
      <c r="L55" s="58" t="n"/>
      <c r="M55" s="57" t="n"/>
      <c r="N55" s="59" t="n"/>
      <c r="O55" s="33" t="inlineStr">
        <is>
          <t>Mensal</t>
        </is>
      </c>
      <c r="P55" s="33" t="n"/>
      <c r="Q55" s="60" t="inlineStr">
        <is>
          <t>EXEMPLO</t>
        </is>
      </c>
      <c r="R55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55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55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55" s="8" t="n"/>
      <c r="V55" s="8" t="n"/>
    </row>
    <row r="56" ht="20" customHeight="1">
      <c r="A56" s="8" t="n"/>
      <c r="B56" s="57" t="n">
        <v>46241</v>
      </c>
      <c r="C56" s="33" t="inlineStr">
        <is>
          <t>Mercado do mês</t>
        </is>
      </c>
      <c r="D56" s="48" t="n">
        <v>876.9</v>
      </c>
      <c r="E56" s="33" t="inlineStr">
        <is>
          <t>Despesa</t>
        </is>
      </c>
      <c r="F56" s="33" t="inlineStr">
        <is>
          <t>Alimentação</t>
        </is>
      </c>
      <c r="G56" s="33" t="inlineStr">
        <is>
          <t>Pago</t>
        </is>
      </c>
      <c r="H56" s="33" t="inlineStr">
        <is>
          <t>Essenciais</t>
        </is>
      </c>
      <c r="I56" s="33" t="n"/>
      <c r="J56" s="33" t="inlineStr">
        <is>
          <t>Cartão Nubank</t>
        </is>
      </c>
      <c r="K56" s="33" t="inlineStr">
        <is>
          <t>Cartão de crédito</t>
        </is>
      </c>
      <c r="L56" s="58" t="n"/>
      <c r="M56" s="57" t="n"/>
      <c r="N56" s="59" t="n"/>
      <c r="O56" s="33" t="inlineStr">
        <is>
          <t>Mercado</t>
        </is>
      </c>
      <c r="P56" s="33" t="n"/>
      <c r="Q56" s="60" t="inlineStr">
        <is>
          <t>EXEMPLO</t>
        </is>
      </c>
      <c r="R56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56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56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56" s="8" t="n"/>
      <c r="V56" s="8" t="n"/>
    </row>
    <row r="57" ht="20" customHeight="1">
      <c r="A57" s="8" t="n"/>
      <c r="B57" s="57" t="n">
        <v>46242</v>
      </c>
      <c r="C57" s="33" t="inlineStr">
        <is>
          <t>Mensalidade escolar</t>
        </is>
      </c>
      <c r="D57" s="48" t="n">
        <v>1450</v>
      </c>
      <c r="E57" s="33" t="inlineStr">
        <is>
          <t>Despesa</t>
        </is>
      </c>
      <c r="F57" s="33" t="inlineStr">
        <is>
          <t>Educação</t>
        </is>
      </c>
      <c r="G57" s="33" t="inlineStr">
        <is>
          <t>Pago</t>
        </is>
      </c>
      <c r="H57" s="33" t="inlineStr">
        <is>
          <t>Essenciais</t>
        </is>
      </c>
      <c r="I57" s="33" t="n"/>
      <c r="J57" s="33" t="inlineStr">
        <is>
          <t>Conta corrente Itaú</t>
        </is>
      </c>
      <c r="K57" s="33" t="inlineStr">
        <is>
          <t>Boleto</t>
        </is>
      </c>
      <c r="L57" s="58" t="n"/>
      <c r="M57" s="57" t="n"/>
      <c r="N57" s="59" t="n"/>
      <c r="O57" s="33" t="inlineStr">
        <is>
          <t>Escola</t>
        </is>
      </c>
      <c r="P57" s="33" t="n"/>
      <c r="Q57" s="60" t="inlineStr">
        <is>
          <t>EXEMPLO</t>
        </is>
      </c>
      <c r="R57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57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57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57" s="8" t="n"/>
      <c r="V57" s="8" t="n"/>
    </row>
    <row r="58" ht="20" customHeight="1">
      <c r="A58" s="8" t="n"/>
      <c r="B58" s="57" t="n">
        <v>46243</v>
      </c>
      <c r="C58" s="33" t="inlineStr">
        <is>
          <t>Projeto freelance — logo</t>
        </is>
      </c>
      <c r="D58" s="48" t="n">
        <v>2400</v>
      </c>
      <c r="E58" s="33" t="inlineStr">
        <is>
          <t>Receita</t>
        </is>
      </c>
      <c r="F58" s="33" t="inlineStr">
        <is>
          <t>Freelance / Extras</t>
        </is>
      </c>
      <c r="G58" s="33" t="inlineStr">
        <is>
          <t>Recebido</t>
        </is>
      </c>
      <c r="H58" s="33" t="n"/>
      <c r="I58" s="33" t="n"/>
      <c r="J58" s="33" t="inlineStr">
        <is>
          <t>Conta Nubank</t>
        </is>
      </c>
      <c r="K58" s="33" t="inlineStr">
        <is>
          <t>PIX</t>
        </is>
      </c>
      <c r="L58" s="58" t="n"/>
      <c r="M58" s="57" t="n"/>
      <c r="N58" s="59" t="n"/>
      <c r="O58" s="33" t="inlineStr">
        <is>
          <t>Projeto</t>
        </is>
      </c>
      <c r="P58" s="33" t="n"/>
      <c r="Q58" s="60" t="inlineStr">
        <is>
          <t>EXEMPLO</t>
        </is>
      </c>
      <c r="R58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58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58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58" s="8" t="n"/>
      <c r="V58" s="8" t="n"/>
    </row>
    <row r="59" ht="20" customHeight="1">
      <c r="A59" s="8" t="n"/>
      <c r="B59" s="57" t="n">
        <v>46244</v>
      </c>
      <c r="C59" s="33" t="inlineStr">
        <is>
          <t>Aluguel do apartamento</t>
        </is>
      </c>
      <c r="D59" s="48" t="n">
        <v>2350</v>
      </c>
      <c r="E59" s="33" t="inlineStr">
        <is>
          <t>Despesa</t>
        </is>
      </c>
      <c r="F59" s="33" t="inlineStr">
        <is>
          <t>Moradia</t>
        </is>
      </c>
      <c r="G59" s="33" t="inlineStr">
        <is>
          <t>Pago</t>
        </is>
      </c>
      <c r="H59" s="33" t="inlineStr">
        <is>
          <t>Essenciais</t>
        </is>
      </c>
      <c r="I59" s="33" t="n"/>
      <c r="J59" s="33" t="inlineStr">
        <is>
          <t>Conta corrente Itaú</t>
        </is>
      </c>
      <c r="K59" s="33" t="inlineStr">
        <is>
          <t>Boleto</t>
        </is>
      </c>
      <c r="L59" s="58" t="n"/>
      <c r="M59" s="57" t="n"/>
      <c r="N59" s="59" t="n"/>
      <c r="O59" s="33" t="inlineStr">
        <is>
          <t>Aluguel/Financiamento</t>
        </is>
      </c>
      <c r="P59" s="33" t="n"/>
      <c r="Q59" s="60" t="inlineStr">
        <is>
          <t>EXEMPLO</t>
        </is>
      </c>
      <c r="R59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59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59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59" s="8" t="n"/>
      <c r="V59" s="8" t="n"/>
    </row>
    <row r="60" ht="20" customHeight="1">
      <c r="A60" s="8" t="n"/>
      <c r="B60" s="57" t="n">
        <v>46244</v>
      </c>
      <c r="C60" s="33" t="inlineStr">
        <is>
          <t>Conta de energia</t>
        </is>
      </c>
      <c r="D60" s="48" t="n">
        <v>329.64</v>
      </c>
      <c r="E60" s="33" t="inlineStr">
        <is>
          <t>Despesa</t>
        </is>
      </c>
      <c r="F60" s="33" t="inlineStr">
        <is>
          <t>Contas da casa</t>
        </is>
      </c>
      <c r="G60" s="33" t="inlineStr">
        <is>
          <t>Pago</t>
        </is>
      </c>
      <c r="H60" s="33" t="inlineStr">
        <is>
          <t>Essenciais</t>
        </is>
      </c>
      <c r="I60" s="33" t="n"/>
      <c r="J60" s="33" t="inlineStr">
        <is>
          <t>Conta corrente Itaú</t>
        </is>
      </c>
      <c r="K60" s="33" t="inlineStr">
        <is>
          <t>Débito automático</t>
        </is>
      </c>
      <c r="L60" s="58" t="n"/>
      <c r="M60" s="57" t="n"/>
      <c r="N60" s="59" t="n"/>
      <c r="O60" s="33" t="inlineStr">
        <is>
          <t>Energia</t>
        </is>
      </c>
      <c r="P60" s="33" t="n"/>
      <c r="Q60" s="60" t="inlineStr">
        <is>
          <t>EXEMPLO</t>
        </is>
      </c>
      <c r="R60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60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60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60" s="8" t="n"/>
      <c r="V60" s="8" t="n"/>
    </row>
    <row r="61" ht="20" customHeight="1">
      <c r="A61" s="8" t="n"/>
      <c r="B61" s="57" t="n">
        <v>46246</v>
      </c>
      <c r="C61" s="33" t="inlineStr">
        <is>
          <t>Streaming + academia</t>
        </is>
      </c>
      <c r="D61" s="48" t="n">
        <v>174.8</v>
      </c>
      <c r="E61" s="33" t="inlineStr">
        <is>
          <t>Despesa</t>
        </is>
      </c>
      <c r="F61" s="33" t="inlineStr">
        <is>
          <t>Assinaturas</t>
        </is>
      </c>
      <c r="G61" s="33" t="inlineStr">
        <is>
          <t>Pago</t>
        </is>
      </c>
      <c r="H61" s="33" t="inlineStr">
        <is>
          <t>Essenciais</t>
        </is>
      </c>
      <c r="I61" s="33" t="n"/>
      <c r="J61" s="33" t="inlineStr">
        <is>
          <t>Cartão Nubank</t>
        </is>
      </c>
      <c r="K61" s="33" t="inlineStr">
        <is>
          <t>Cartão de crédito</t>
        </is>
      </c>
      <c r="L61" s="58" t="n"/>
      <c r="M61" s="57" t="n"/>
      <c r="N61" s="59" t="n"/>
      <c r="O61" s="33" t="inlineStr">
        <is>
          <t>Streaming</t>
        </is>
      </c>
      <c r="P61" s="33" t="n"/>
      <c r="Q61" s="60" t="inlineStr">
        <is>
          <t>EXEMPLO</t>
        </is>
      </c>
      <c r="R61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61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61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61" s="8" t="n"/>
      <c r="V61" s="8" t="n"/>
    </row>
    <row r="62" ht="20" customHeight="1">
      <c r="A62" s="8" t="n"/>
      <c r="B62" s="57" t="n">
        <v>46249</v>
      </c>
      <c r="C62" s="33" t="inlineStr">
        <is>
          <t>Combustível</t>
        </is>
      </c>
      <c r="D62" s="48" t="n">
        <v>305.4</v>
      </c>
      <c r="E62" s="33" t="inlineStr">
        <is>
          <t>Despesa</t>
        </is>
      </c>
      <c r="F62" s="33" t="inlineStr">
        <is>
          <t>Transporte</t>
        </is>
      </c>
      <c r="G62" s="33" t="inlineStr">
        <is>
          <t>Pago</t>
        </is>
      </c>
      <c r="H62" s="33" t="inlineStr">
        <is>
          <t>Essenciais</t>
        </is>
      </c>
      <c r="I62" s="33" t="n"/>
      <c r="J62" s="33" t="inlineStr">
        <is>
          <t>Cartão Itaú</t>
        </is>
      </c>
      <c r="K62" s="33" t="inlineStr">
        <is>
          <t>Cartão de crédito</t>
        </is>
      </c>
      <c r="L62" s="58" t="n"/>
      <c r="M62" s="57" t="n"/>
      <c r="N62" s="59" t="n"/>
      <c r="O62" s="33" t="inlineStr">
        <is>
          <t>Combustível</t>
        </is>
      </c>
      <c r="P62" s="33" t="n"/>
      <c r="Q62" s="60" t="inlineStr">
        <is>
          <t>EXEMPLO</t>
        </is>
      </c>
      <c r="R62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62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62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62" s="8" t="n"/>
      <c r="V62" s="8" t="n"/>
    </row>
    <row r="63" ht="20" customHeight="1">
      <c r="A63" s="8" t="n"/>
      <c r="B63" s="57" t="n">
        <v>46256</v>
      </c>
      <c r="C63" s="33" t="inlineStr">
        <is>
          <t>Material escolar 2º semestre</t>
        </is>
      </c>
      <c r="D63" s="48" t="n">
        <v>356.7</v>
      </c>
      <c r="E63" s="33" t="inlineStr">
        <is>
          <t>Despesa</t>
        </is>
      </c>
      <c r="F63" s="33" t="inlineStr">
        <is>
          <t>Educação</t>
        </is>
      </c>
      <c r="G63" s="33" t="inlineStr">
        <is>
          <t>Pago</t>
        </is>
      </c>
      <c r="H63" s="33" t="inlineStr">
        <is>
          <t>Essenciais</t>
        </is>
      </c>
      <c r="I63" s="33" t="n"/>
      <c r="J63" s="33" t="inlineStr">
        <is>
          <t>Cartão Nubank</t>
        </is>
      </c>
      <c r="K63" s="33" t="inlineStr">
        <is>
          <t>Cartão de crédito</t>
        </is>
      </c>
      <c r="L63" s="58" t="n"/>
      <c r="M63" s="57" t="n"/>
      <c r="N63" s="59" t="n"/>
      <c r="O63" s="33" t="inlineStr">
        <is>
          <t>Material escolar</t>
        </is>
      </c>
      <c r="P63" s="33" t="n"/>
      <c r="Q63" s="60" t="inlineStr">
        <is>
          <t>EXEMPLO</t>
        </is>
      </c>
      <c r="R63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63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63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63" s="8" t="n"/>
      <c r="V63" s="8" t="n"/>
    </row>
    <row r="64" ht="20" customHeight="1">
      <c r="A64" s="8" t="n"/>
      <c r="B64" s="57" t="n">
        <v>46261</v>
      </c>
      <c r="C64" s="33" t="inlineStr">
        <is>
          <t>Cinema / passeio</t>
        </is>
      </c>
      <c r="D64" s="48" t="n">
        <v>96</v>
      </c>
      <c r="E64" s="33" t="inlineStr">
        <is>
          <t>Despesa</t>
        </is>
      </c>
      <c r="F64" s="33" t="inlineStr">
        <is>
          <t>Lazer</t>
        </is>
      </c>
      <c r="G64" s="33" t="inlineStr">
        <is>
          <t>Pago</t>
        </is>
      </c>
      <c r="H64" s="33" t="inlineStr">
        <is>
          <t>Lazer</t>
        </is>
      </c>
      <c r="I64" s="33" t="n"/>
      <c r="J64" s="33" t="inlineStr">
        <is>
          <t>Conta Nubank</t>
        </is>
      </c>
      <c r="K64" s="33" t="inlineStr">
        <is>
          <t>PIX</t>
        </is>
      </c>
      <c r="L64" s="58" t="n"/>
      <c r="M64" s="57" t="n"/>
      <c r="N64" s="59" t="n"/>
      <c r="O64" s="33" t="inlineStr">
        <is>
          <t>Cinema</t>
        </is>
      </c>
      <c r="P64" s="33" t="n"/>
      <c r="Q64" s="60" t="inlineStr">
        <is>
          <t>EXEMPLO</t>
        </is>
      </c>
      <c r="R64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64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64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64" s="8" t="n"/>
      <c r="V64" s="8" t="n"/>
    </row>
    <row r="65" ht="20" customHeight="1">
      <c r="A65" s="8" t="n"/>
      <c r="B65" s="57" t="n">
        <v>46268</v>
      </c>
      <c r="C65" s="33" t="inlineStr">
        <is>
          <t>Plano de saúde familiar</t>
        </is>
      </c>
      <c r="D65" s="48" t="n">
        <v>890</v>
      </c>
      <c r="E65" s="33" t="inlineStr">
        <is>
          <t>Despesa</t>
        </is>
      </c>
      <c r="F65" s="33" t="inlineStr">
        <is>
          <t>Saúde</t>
        </is>
      </c>
      <c r="G65" s="33" t="inlineStr">
        <is>
          <t>Pago</t>
        </is>
      </c>
      <c r="H65" s="33" t="inlineStr">
        <is>
          <t>Essenciais</t>
        </is>
      </c>
      <c r="I65" s="33" t="n"/>
      <c r="J65" s="33" t="inlineStr">
        <is>
          <t>Conta corrente Itaú</t>
        </is>
      </c>
      <c r="K65" s="33" t="inlineStr">
        <is>
          <t>Débito automático</t>
        </is>
      </c>
      <c r="L65" s="58" t="n"/>
      <c r="M65" s="57" t="n"/>
      <c r="N65" s="59" t="n"/>
      <c r="O65" s="33" t="inlineStr">
        <is>
          <t>Plano de saúde</t>
        </is>
      </c>
      <c r="P65" s="33" t="n"/>
      <c r="Q65" s="60" t="inlineStr">
        <is>
          <t>EXEMPLO</t>
        </is>
      </c>
      <c r="R65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65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65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65" s="8" t="n"/>
      <c r="V65" s="8" t="n"/>
    </row>
    <row r="66" ht="20" customHeight="1">
      <c r="A66" s="8" t="n"/>
      <c r="B66" s="57" t="n">
        <v>46270</v>
      </c>
      <c r="C66" s="33" t="inlineStr">
        <is>
          <t>Salário — titular</t>
        </is>
      </c>
      <c r="D66" s="48" t="n">
        <v>7800</v>
      </c>
      <c r="E66" s="33" t="inlineStr">
        <is>
          <t>Receita</t>
        </is>
      </c>
      <c r="F66" s="33" t="inlineStr">
        <is>
          <t>Salário</t>
        </is>
      </c>
      <c r="G66" s="33" t="inlineStr">
        <is>
          <t>Recebido</t>
        </is>
      </c>
      <c r="H66" s="33" t="n"/>
      <c r="I66" s="33" t="n"/>
      <c r="J66" s="33" t="inlineStr">
        <is>
          <t>Conta corrente Itaú</t>
        </is>
      </c>
      <c r="K66" s="33" t="inlineStr">
        <is>
          <t>Transferência</t>
        </is>
      </c>
      <c r="L66" s="58" t="n"/>
      <c r="M66" s="57" t="n"/>
      <c r="N66" s="59" t="n"/>
      <c r="O66" s="33" t="inlineStr">
        <is>
          <t>Mensal</t>
        </is>
      </c>
      <c r="P66" s="33" t="n"/>
      <c r="Q66" s="60" t="inlineStr">
        <is>
          <t>EXEMPLO</t>
        </is>
      </c>
      <c r="R66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66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66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66" s="8" t="n"/>
      <c r="V66" s="8" t="n"/>
    </row>
    <row r="67" ht="20" customHeight="1">
      <c r="A67" s="8" t="n"/>
      <c r="B67" s="57" t="n">
        <v>46270</v>
      </c>
      <c r="C67" s="33" t="inlineStr">
        <is>
          <t>Salário — cônjuge</t>
        </is>
      </c>
      <c r="D67" s="48" t="n">
        <v>5200</v>
      </c>
      <c r="E67" s="33" t="inlineStr">
        <is>
          <t>Receita</t>
        </is>
      </c>
      <c r="F67" s="33" t="inlineStr">
        <is>
          <t>Salário</t>
        </is>
      </c>
      <c r="G67" s="33" t="inlineStr">
        <is>
          <t>Recebido</t>
        </is>
      </c>
      <c r="H67" s="33" t="n"/>
      <c r="I67" s="33" t="n"/>
      <c r="J67" s="33" t="inlineStr">
        <is>
          <t>Conta Nubank</t>
        </is>
      </c>
      <c r="K67" s="33" t="inlineStr">
        <is>
          <t>Transferência</t>
        </is>
      </c>
      <c r="L67" s="58" t="n"/>
      <c r="M67" s="57" t="n"/>
      <c r="N67" s="59" t="n"/>
      <c r="O67" s="33" t="inlineStr">
        <is>
          <t>Mensal</t>
        </is>
      </c>
      <c r="P67" s="33" t="n"/>
      <c r="Q67" s="60" t="inlineStr">
        <is>
          <t>EXEMPLO</t>
        </is>
      </c>
      <c r="R67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67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67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67" s="8" t="n"/>
      <c r="V67" s="8" t="n"/>
    </row>
    <row r="68" ht="20" customHeight="1">
      <c r="A68" s="8" t="n"/>
      <c r="B68" s="57" t="n">
        <v>46272</v>
      </c>
      <c r="C68" s="33" t="inlineStr">
        <is>
          <t>Mercado do mês</t>
        </is>
      </c>
      <c r="D68" s="48" t="n">
        <v>934.1799999999999</v>
      </c>
      <c r="E68" s="33" t="inlineStr">
        <is>
          <t>Despesa</t>
        </is>
      </c>
      <c r="F68" s="33" t="inlineStr">
        <is>
          <t>Alimentação</t>
        </is>
      </c>
      <c r="G68" s="33" t="inlineStr">
        <is>
          <t>Pago</t>
        </is>
      </c>
      <c r="H68" s="33" t="inlineStr">
        <is>
          <t>Essenciais</t>
        </is>
      </c>
      <c r="I68" s="33" t="n"/>
      <c r="J68" s="33" t="inlineStr">
        <is>
          <t>Cartão Nubank</t>
        </is>
      </c>
      <c r="K68" s="33" t="inlineStr">
        <is>
          <t>Cartão de crédito</t>
        </is>
      </c>
      <c r="L68" s="58" t="n"/>
      <c r="M68" s="57" t="n"/>
      <c r="N68" s="59" t="n"/>
      <c r="O68" s="33" t="inlineStr">
        <is>
          <t>Mercado</t>
        </is>
      </c>
      <c r="P68" s="33" t="n"/>
      <c r="Q68" s="60" t="inlineStr">
        <is>
          <t>EXEMPLO</t>
        </is>
      </c>
      <c r="R68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68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68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68" s="8" t="n"/>
      <c r="V68" s="8" t="n"/>
    </row>
    <row r="69" ht="20" customHeight="1">
      <c r="A69" s="8" t="n"/>
      <c r="B69" s="57" t="n">
        <v>46273</v>
      </c>
      <c r="C69" s="33" t="inlineStr">
        <is>
          <t>Mensalidade escolar</t>
        </is>
      </c>
      <c r="D69" s="48" t="n">
        <v>1450</v>
      </c>
      <c r="E69" s="33" t="inlineStr">
        <is>
          <t>Despesa</t>
        </is>
      </c>
      <c r="F69" s="33" t="inlineStr">
        <is>
          <t>Educação</t>
        </is>
      </c>
      <c r="G69" s="33" t="inlineStr">
        <is>
          <t>Pago</t>
        </is>
      </c>
      <c r="H69" s="33" t="inlineStr">
        <is>
          <t>Essenciais</t>
        </is>
      </c>
      <c r="I69" s="33" t="n"/>
      <c r="J69" s="33" t="inlineStr">
        <is>
          <t>Conta corrente Itaú</t>
        </is>
      </c>
      <c r="K69" s="33" t="inlineStr">
        <is>
          <t>Boleto</t>
        </is>
      </c>
      <c r="L69" s="58" t="n"/>
      <c r="M69" s="57" t="n"/>
      <c r="N69" s="59" t="n"/>
      <c r="O69" s="33" t="inlineStr">
        <is>
          <t>Escola</t>
        </is>
      </c>
      <c r="P69" s="33" t="n"/>
      <c r="Q69" s="60" t="inlineStr">
        <is>
          <t>EXEMPLO</t>
        </is>
      </c>
      <c r="R69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69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69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69" s="8" t="n"/>
      <c r="V69" s="8" t="n"/>
    </row>
    <row r="70" ht="20" customHeight="1">
      <c r="A70" s="8" t="n"/>
      <c r="B70" s="57" t="n">
        <v>46275</v>
      </c>
      <c r="C70" s="33" t="inlineStr">
        <is>
          <t>Aluguel do apartamento</t>
        </is>
      </c>
      <c r="D70" s="48" t="n">
        <v>2350</v>
      </c>
      <c r="E70" s="33" t="inlineStr">
        <is>
          <t>Despesa</t>
        </is>
      </c>
      <c r="F70" s="33" t="inlineStr">
        <is>
          <t>Moradia</t>
        </is>
      </c>
      <c r="G70" s="33" t="inlineStr">
        <is>
          <t>Pago</t>
        </is>
      </c>
      <c r="H70" s="33" t="inlineStr">
        <is>
          <t>Essenciais</t>
        </is>
      </c>
      <c r="I70" s="33" t="n"/>
      <c r="J70" s="33" t="inlineStr">
        <is>
          <t>Conta corrente Itaú</t>
        </is>
      </c>
      <c r="K70" s="33" t="inlineStr">
        <is>
          <t>Boleto</t>
        </is>
      </c>
      <c r="L70" s="58" t="n"/>
      <c r="M70" s="57" t="n"/>
      <c r="N70" s="59" t="n"/>
      <c r="O70" s="33" t="inlineStr">
        <is>
          <t>Aluguel/Financiamento</t>
        </is>
      </c>
      <c r="P70" s="33" t="n"/>
      <c r="Q70" s="60" t="inlineStr">
        <is>
          <t>EXEMPLO</t>
        </is>
      </c>
      <c r="R70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70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70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70" s="8" t="n"/>
      <c r="V70" s="8" t="n"/>
    </row>
    <row r="71" ht="20" customHeight="1">
      <c r="A71" s="8" t="n"/>
      <c r="B71" s="57" t="n">
        <v>46275</v>
      </c>
      <c r="C71" s="33" t="inlineStr">
        <is>
          <t>Conta de energia</t>
        </is>
      </c>
      <c r="D71" s="48" t="n">
        <v>347.1</v>
      </c>
      <c r="E71" s="33" t="inlineStr">
        <is>
          <t>Despesa</t>
        </is>
      </c>
      <c r="F71" s="33" t="inlineStr">
        <is>
          <t>Contas da casa</t>
        </is>
      </c>
      <c r="G71" s="33" t="inlineStr">
        <is>
          <t>Pago</t>
        </is>
      </c>
      <c r="H71" s="33" t="inlineStr">
        <is>
          <t>Essenciais</t>
        </is>
      </c>
      <c r="I71" s="33" t="n"/>
      <c r="J71" s="33" t="inlineStr">
        <is>
          <t>Conta corrente Itaú</t>
        </is>
      </c>
      <c r="K71" s="33" t="inlineStr">
        <is>
          <t>Débito automático</t>
        </is>
      </c>
      <c r="L71" s="58" t="n"/>
      <c r="M71" s="57" t="n"/>
      <c r="N71" s="59" t="n"/>
      <c r="O71" s="33" t="inlineStr">
        <is>
          <t>Energia</t>
        </is>
      </c>
      <c r="P71" s="33" t="n"/>
      <c r="Q71" s="60" t="inlineStr">
        <is>
          <t>EXEMPLO</t>
        </is>
      </c>
      <c r="R71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71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71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71" s="8" t="n"/>
      <c r="V71" s="8" t="n"/>
    </row>
    <row r="72" ht="20" customHeight="1">
      <c r="A72" s="8" t="n"/>
      <c r="B72" s="57" t="n">
        <v>46277</v>
      </c>
      <c r="C72" s="33" t="inlineStr">
        <is>
          <t>Streaming + academia</t>
        </is>
      </c>
      <c r="D72" s="48" t="n">
        <v>174.8</v>
      </c>
      <c r="E72" s="33" t="inlineStr">
        <is>
          <t>Despesa</t>
        </is>
      </c>
      <c r="F72" s="33" t="inlineStr">
        <is>
          <t>Assinaturas</t>
        </is>
      </c>
      <c r="G72" s="33" t="inlineStr">
        <is>
          <t>Pago</t>
        </is>
      </c>
      <c r="H72" s="33" t="inlineStr">
        <is>
          <t>Essenciais</t>
        </is>
      </c>
      <c r="I72" s="33" t="n"/>
      <c r="J72" s="33" t="inlineStr">
        <is>
          <t>Cartão Nubank</t>
        </is>
      </c>
      <c r="K72" s="33" t="inlineStr">
        <is>
          <t>Cartão de crédito</t>
        </is>
      </c>
      <c r="L72" s="58" t="n"/>
      <c r="M72" s="57" t="n"/>
      <c r="N72" s="59" t="n"/>
      <c r="O72" s="33" t="inlineStr">
        <is>
          <t>Streaming</t>
        </is>
      </c>
      <c r="P72" s="33" t="n"/>
      <c r="Q72" s="60" t="inlineStr">
        <is>
          <t>EXEMPLO</t>
        </is>
      </c>
      <c r="R72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72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72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72" s="8" t="n"/>
      <c r="V72" s="8" t="n"/>
    </row>
    <row r="73" ht="20" customHeight="1">
      <c r="A73" s="8" t="n"/>
      <c r="B73" s="57" t="n">
        <v>46278</v>
      </c>
      <c r="C73" s="33" t="inlineStr">
        <is>
          <t>Aniversário — restaurante</t>
        </is>
      </c>
      <c r="D73" s="48" t="n">
        <v>412</v>
      </c>
      <c r="E73" s="33" t="inlineStr">
        <is>
          <t>Despesa</t>
        </is>
      </c>
      <c r="F73" s="33" t="inlineStr">
        <is>
          <t>Restaurantes e delivery</t>
        </is>
      </c>
      <c r="G73" s="33" t="inlineStr">
        <is>
          <t>Pago</t>
        </is>
      </c>
      <c r="H73" s="33" t="inlineStr">
        <is>
          <t>Lazer</t>
        </is>
      </c>
      <c r="I73" s="33" t="n"/>
      <c r="J73" s="33" t="inlineStr">
        <is>
          <t>Cartão Itaú</t>
        </is>
      </c>
      <c r="K73" s="33" t="inlineStr">
        <is>
          <t>Cartão de crédito</t>
        </is>
      </c>
      <c r="L73" s="58" t="n"/>
      <c r="M73" s="57" t="n"/>
      <c r="N73" s="59" t="n"/>
      <c r="O73" s="33" t="inlineStr">
        <is>
          <t>Restaurante</t>
        </is>
      </c>
      <c r="P73" s="33" t="n"/>
      <c r="Q73" s="60" t="inlineStr">
        <is>
          <t>EXEMPLO</t>
        </is>
      </c>
      <c r="R73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73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73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73" s="8" t="n"/>
      <c r="V73" s="8" t="n"/>
    </row>
    <row r="74" ht="20" customHeight="1">
      <c r="A74" s="8" t="n"/>
      <c r="B74" s="57" t="n">
        <v>46280</v>
      </c>
      <c r="C74" s="33" t="inlineStr">
        <is>
          <t>Combustível</t>
        </is>
      </c>
      <c r="D74" s="48" t="n">
        <v>362.8</v>
      </c>
      <c r="E74" s="33" t="inlineStr">
        <is>
          <t>Despesa</t>
        </is>
      </c>
      <c r="F74" s="33" t="inlineStr">
        <is>
          <t>Transporte</t>
        </is>
      </c>
      <c r="G74" s="33" t="inlineStr">
        <is>
          <t>Pago</t>
        </is>
      </c>
      <c r="H74" s="33" t="inlineStr">
        <is>
          <t>Essenciais</t>
        </is>
      </c>
      <c r="I74" s="33" t="n"/>
      <c r="J74" s="33" t="inlineStr">
        <is>
          <t>Cartão Itaú</t>
        </is>
      </c>
      <c r="K74" s="33" t="inlineStr">
        <is>
          <t>Cartão de crédito</t>
        </is>
      </c>
      <c r="L74" s="58" t="n"/>
      <c r="M74" s="57" t="n"/>
      <c r="N74" s="59" t="n"/>
      <c r="O74" s="33" t="inlineStr">
        <is>
          <t>Combustível</t>
        </is>
      </c>
      <c r="P74" s="33" t="n"/>
      <c r="Q74" s="60" t="inlineStr">
        <is>
          <t>EXEMPLO</t>
        </is>
      </c>
      <c r="R74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74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74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74" s="8" t="n"/>
      <c r="V74" s="8" t="n"/>
    </row>
    <row r="75" ht="20" customHeight="1">
      <c r="A75" s="8" t="n"/>
      <c r="B75" s="57" t="n">
        <v>46285</v>
      </c>
      <c r="C75" s="33" t="inlineStr">
        <is>
          <t>Show no fim de semana</t>
        </is>
      </c>
      <c r="D75" s="48" t="n">
        <v>540</v>
      </c>
      <c r="E75" s="33" t="inlineStr">
        <is>
          <t>Despesa</t>
        </is>
      </c>
      <c r="F75" s="33" t="inlineStr">
        <is>
          <t>Lazer</t>
        </is>
      </c>
      <c r="G75" s="33" t="inlineStr">
        <is>
          <t>Pago</t>
        </is>
      </c>
      <c r="H75" s="33" t="inlineStr">
        <is>
          <t>Lazer</t>
        </is>
      </c>
      <c r="I75" s="33" t="n"/>
      <c r="J75" s="33" t="inlineStr">
        <is>
          <t>Cartão Nubank</t>
        </is>
      </c>
      <c r="K75" s="33" t="inlineStr">
        <is>
          <t>Cartão de crédito</t>
        </is>
      </c>
      <c r="L75" s="58" t="n"/>
      <c r="M75" s="57" t="n"/>
      <c r="N75" s="59" t="n"/>
      <c r="O75" s="33" t="inlineStr">
        <is>
          <t>Hobbies</t>
        </is>
      </c>
      <c r="P75" s="33" t="n"/>
      <c r="Q75" s="60" t="inlineStr">
        <is>
          <t>EXEMPLO</t>
        </is>
      </c>
      <c r="R75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75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75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75" s="8" t="n"/>
      <c r="V75" s="8" t="n"/>
    </row>
    <row r="76" ht="20" customHeight="1">
      <c r="A76" s="8" t="n"/>
      <c r="B76" s="57" t="n">
        <v>46292</v>
      </c>
      <c r="C76" s="33" t="inlineStr">
        <is>
          <t>Cinema / passeio</t>
        </is>
      </c>
      <c r="D76" s="48" t="n">
        <v>188</v>
      </c>
      <c r="E76" s="33" t="inlineStr">
        <is>
          <t>Despesa</t>
        </is>
      </c>
      <c r="F76" s="33" t="inlineStr">
        <is>
          <t>Lazer</t>
        </is>
      </c>
      <c r="G76" s="33" t="inlineStr">
        <is>
          <t>Pago</t>
        </is>
      </c>
      <c r="H76" s="33" t="inlineStr">
        <is>
          <t>Lazer</t>
        </is>
      </c>
      <c r="I76" s="33" t="n"/>
      <c r="J76" s="33" t="inlineStr">
        <is>
          <t>Conta Nubank</t>
        </is>
      </c>
      <c r="K76" s="33" t="inlineStr">
        <is>
          <t>PIX</t>
        </is>
      </c>
      <c r="L76" s="58" t="n"/>
      <c r="M76" s="57" t="n"/>
      <c r="N76" s="59" t="n"/>
      <c r="O76" s="33" t="inlineStr">
        <is>
          <t>Cinema</t>
        </is>
      </c>
      <c r="P76" s="33" t="n"/>
      <c r="Q76" s="60" t="inlineStr">
        <is>
          <t>EXEMPLO</t>
        </is>
      </c>
      <c r="R76" s="58">
        <f>IF(AND(tbLancamentos[[#This Row],[Data]]="",tbLancamentos[[#This Row],[Competência]]=""),"",MONTH(IF(tbLancamentos[[#This Row],[Competência]]&lt;&gt;"",tbLancamentos[[#This Row],[Competência]],tbLancamentos[[#This Row],[Data]])))</f>
        <v/>
      </c>
      <c r="S76" s="58">
        <f>IF(AND(tbLancamentos[[#This Row],[Data]]="",tbLancamentos[[#This Row],[Competência]]=""),"",YEAR(IF(tbLancamentos[[#This Row],[Competência]]&lt;&gt;"",tbLancamentos[[#This Row],[Competência]],tbLancamentos[[#This Row],[Data]])))</f>
        <v/>
      </c>
      <c r="T76" s="58">
        <f>IF(tbLancamentos[[#This Row],[Valor]]="","",IF(AND(tbLancamentos[[#This Row],[Tipo]]&lt;&gt;"Investimento",OR(tbLancamentos[[#This Row],[Situação]]="",tbLancamentos[[#This Row],[Situação]]="Pago",tbLancamentos[[#This Row],[Situação]]="Recebido",tbLancamentos[[#This Row],[Situação]]="Descontar Depois")),"sim","não"))</f>
        <v/>
      </c>
      <c r="U76" s="8" t="n"/>
      <c r="V76" s="8" t="n"/>
    </row>
    <row r="77">
      <c r="A77" s="8" t="n"/>
      <c r="B77" s="61" t="n"/>
      <c r="C77" s="8" t="n"/>
      <c r="D77" s="62" t="n"/>
      <c r="E77" s="8" t="n"/>
      <c r="F77" s="8" t="n"/>
      <c r="G77" s="8" t="n"/>
      <c r="H77" s="8" t="n"/>
      <c r="I77" s="8" t="n"/>
      <c r="J77" s="8" t="n"/>
      <c r="K77" s="8" t="n"/>
      <c r="L77" s="8" t="n"/>
      <c r="M77" s="61" t="n"/>
      <c r="N77" s="63" t="n"/>
      <c r="O77" s="8" t="n"/>
      <c r="P77" s="8" t="n"/>
      <c r="Q77" s="8" t="n"/>
      <c r="R77" s="8" t="n"/>
      <c r="S77" s="8" t="n"/>
      <c r="T77" s="8" t="n"/>
      <c r="U77" s="8" t="n"/>
      <c r="V77" s="8" t="n"/>
    </row>
    <row r="78">
      <c r="A78" s="8" t="n"/>
      <c r="B78" s="61" t="n"/>
      <c r="C78" s="8" t="n"/>
      <c r="D78" s="62" t="n"/>
      <c r="E78" s="8" t="n"/>
      <c r="F78" s="8" t="n"/>
      <c r="G78" s="8" t="n"/>
      <c r="H78" s="8" t="n"/>
      <c r="I78" s="8" t="n"/>
      <c r="J78" s="8" t="n"/>
      <c r="K78" s="8" t="n"/>
      <c r="L78" s="8" t="n"/>
      <c r="M78" s="61" t="n"/>
      <c r="N78" s="63" t="n"/>
      <c r="O78" s="8" t="n"/>
      <c r="P78" s="8" t="n"/>
      <c r="Q78" s="8" t="n"/>
      <c r="R78" s="8" t="n"/>
      <c r="S78" s="8" t="n"/>
      <c r="T78" s="8" t="n"/>
      <c r="U78" s="8" t="n"/>
      <c r="V78" s="8" t="n"/>
    </row>
    <row r="79">
      <c r="A79" s="8" t="n"/>
      <c r="B79" s="61" t="n"/>
      <c r="C79" s="8" t="n"/>
      <c r="D79" s="62" t="n"/>
      <c r="E79" s="8" t="n"/>
      <c r="F79" s="8" t="n"/>
      <c r="G79" s="8" t="n"/>
      <c r="H79" s="8" t="n"/>
      <c r="I79" s="8" t="n"/>
      <c r="J79" s="8" t="n"/>
      <c r="K79" s="8" t="n"/>
      <c r="L79" s="8" t="n"/>
      <c r="M79" s="61" t="n"/>
      <c r="N79" s="63" t="n"/>
      <c r="O79" s="8" t="n"/>
      <c r="P79" s="8" t="n"/>
      <c r="Q79" s="8" t="n"/>
      <c r="R79" s="8" t="n"/>
      <c r="S79" s="8" t="n"/>
      <c r="T79" s="8" t="n"/>
      <c r="U79" s="8" t="n"/>
      <c r="V79" s="8" t="n"/>
    </row>
    <row r="80">
      <c r="A80" s="8" t="n"/>
      <c r="B80" s="61" t="n"/>
      <c r="C80" s="8" t="n"/>
      <c r="D80" s="62" t="n"/>
      <c r="E80" s="8" t="n"/>
      <c r="F80" s="8" t="n"/>
      <c r="G80" s="8" t="n"/>
      <c r="H80" s="8" t="n"/>
      <c r="I80" s="8" t="n"/>
      <c r="J80" s="8" t="n"/>
      <c r="K80" s="8" t="n"/>
      <c r="L80" s="8" t="n"/>
      <c r="M80" s="61" t="n"/>
      <c r="N80" s="63" t="n"/>
      <c r="O80" s="8" t="n"/>
      <c r="P80" s="8" t="n"/>
      <c r="Q80" s="8" t="n"/>
      <c r="R80" s="8" t="n"/>
      <c r="S80" s="8" t="n"/>
      <c r="T80" s="8" t="n"/>
      <c r="U80" s="8" t="n"/>
      <c r="V80" s="8" t="n"/>
    </row>
    <row r="81">
      <c r="A81" s="8" t="n"/>
      <c r="B81" s="61" t="n"/>
      <c r="C81" s="8" t="n"/>
      <c r="D81" s="62" t="n"/>
      <c r="E81" s="8" t="n"/>
      <c r="F81" s="8" t="n"/>
      <c r="G81" s="8" t="n"/>
      <c r="H81" s="8" t="n"/>
      <c r="I81" s="8" t="n"/>
      <c r="J81" s="8" t="n"/>
      <c r="K81" s="8" t="n"/>
      <c r="L81" s="8" t="n"/>
      <c r="M81" s="61" t="n"/>
      <c r="N81" s="63" t="n"/>
      <c r="O81" s="8" t="n"/>
      <c r="P81" s="8" t="n"/>
      <c r="Q81" s="8" t="n"/>
      <c r="R81" s="8" t="n"/>
      <c r="S81" s="8" t="n"/>
      <c r="T81" s="8" t="n"/>
      <c r="U81" s="8" t="n"/>
      <c r="V81" s="8" t="n"/>
    </row>
    <row r="82">
      <c r="A82" s="8" t="n"/>
      <c r="B82" s="61" t="n"/>
      <c r="C82" s="8" t="n"/>
      <c r="D82" s="62" t="n"/>
      <c r="E82" s="8" t="n"/>
      <c r="F82" s="8" t="n"/>
      <c r="G82" s="8" t="n"/>
      <c r="H82" s="8" t="n"/>
      <c r="I82" s="8" t="n"/>
      <c r="J82" s="8" t="n"/>
      <c r="K82" s="8" t="n"/>
      <c r="L82" s="8" t="n"/>
      <c r="M82" s="61" t="n"/>
      <c r="N82" s="63" t="n"/>
      <c r="O82" s="8" t="n"/>
      <c r="P82" s="8" t="n"/>
      <c r="Q82" s="8" t="n"/>
      <c r="R82" s="8" t="n"/>
      <c r="S82" s="8" t="n"/>
      <c r="T82" s="8" t="n"/>
      <c r="U82" s="8" t="n"/>
      <c r="V82" s="8" t="n"/>
    </row>
    <row r="83">
      <c r="A83" s="8" t="n"/>
      <c r="B83" s="61" t="n"/>
      <c r="C83" s="8" t="n"/>
      <c r="D83" s="62" t="n"/>
      <c r="E83" s="8" t="n"/>
      <c r="F83" s="8" t="n"/>
      <c r="G83" s="8" t="n"/>
      <c r="H83" s="8" t="n"/>
      <c r="I83" s="8" t="n"/>
      <c r="J83" s="8" t="n"/>
      <c r="K83" s="8" t="n"/>
      <c r="L83" s="8" t="n"/>
      <c r="M83" s="61" t="n"/>
      <c r="N83" s="63" t="n"/>
      <c r="O83" s="8" t="n"/>
      <c r="P83" s="8" t="n"/>
      <c r="Q83" s="8" t="n"/>
      <c r="R83" s="8" t="n"/>
      <c r="S83" s="8" t="n"/>
      <c r="T83" s="8" t="n"/>
      <c r="U83" s="8" t="n"/>
      <c r="V83" s="8" t="n"/>
    </row>
    <row r="84">
      <c r="A84" s="8" t="n"/>
      <c r="B84" s="61" t="n"/>
      <c r="C84" s="8" t="n"/>
      <c r="D84" s="62" t="n"/>
      <c r="E84" s="8" t="n"/>
      <c r="F84" s="8" t="n"/>
      <c r="G84" s="8" t="n"/>
      <c r="H84" s="8" t="n"/>
      <c r="I84" s="8" t="n"/>
      <c r="J84" s="8" t="n"/>
      <c r="K84" s="8" t="n"/>
      <c r="L84" s="8" t="n"/>
      <c r="M84" s="61" t="n"/>
      <c r="N84" s="63" t="n"/>
      <c r="O84" s="8" t="n"/>
      <c r="P84" s="8" t="n"/>
      <c r="Q84" s="8" t="n"/>
      <c r="R84" s="8" t="n"/>
      <c r="S84" s="8" t="n"/>
      <c r="T84" s="8" t="n"/>
      <c r="U84" s="8" t="n"/>
      <c r="V84" s="8" t="n"/>
    </row>
    <row r="85">
      <c r="A85" s="8" t="n"/>
      <c r="B85" s="61" t="n"/>
      <c r="C85" s="8" t="n"/>
      <c r="D85" s="62" t="n"/>
      <c r="E85" s="8" t="n"/>
      <c r="F85" s="8" t="n"/>
      <c r="G85" s="8" t="n"/>
      <c r="H85" s="8" t="n"/>
      <c r="I85" s="8" t="n"/>
      <c r="J85" s="8" t="n"/>
      <c r="K85" s="8" t="n"/>
      <c r="L85" s="8" t="n"/>
      <c r="M85" s="61" t="n"/>
      <c r="N85" s="63" t="n"/>
      <c r="O85" s="8" t="n"/>
      <c r="P85" s="8" t="n"/>
      <c r="Q85" s="8" t="n"/>
      <c r="R85" s="8" t="n"/>
      <c r="S85" s="8" t="n"/>
      <c r="T85" s="8" t="n"/>
      <c r="U85" s="8" t="n"/>
      <c r="V85" s="8" t="n"/>
    </row>
    <row r="86">
      <c r="A86" s="8" t="n"/>
      <c r="B86" s="61" t="n"/>
      <c r="C86" s="8" t="n"/>
      <c r="D86" s="62" t="n"/>
      <c r="E86" s="8" t="n"/>
      <c r="F86" s="8" t="n"/>
      <c r="G86" s="8" t="n"/>
      <c r="H86" s="8" t="n"/>
      <c r="I86" s="8" t="n"/>
      <c r="J86" s="8" t="n"/>
      <c r="K86" s="8" t="n"/>
      <c r="L86" s="8" t="n"/>
      <c r="M86" s="61" t="n"/>
      <c r="N86" s="63" t="n"/>
      <c r="O86" s="8" t="n"/>
      <c r="P86" s="8" t="n"/>
      <c r="Q86" s="8" t="n"/>
      <c r="R86" s="8" t="n"/>
      <c r="S86" s="8" t="n"/>
      <c r="T86" s="8" t="n"/>
      <c r="U86" s="8" t="n"/>
      <c r="V86" s="8" t="n"/>
    </row>
    <row r="87">
      <c r="A87" s="8" t="n"/>
      <c r="B87" s="61" t="n"/>
      <c r="C87" s="8" t="n"/>
      <c r="D87" s="62" t="n"/>
      <c r="E87" s="8" t="n"/>
      <c r="F87" s="8" t="n"/>
      <c r="G87" s="8" t="n"/>
      <c r="H87" s="8" t="n"/>
      <c r="I87" s="8" t="n"/>
      <c r="J87" s="8" t="n"/>
      <c r="K87" s="8" t="n"/>
      <c r="L87" s="8" t="n"/>
      <c r="M87" s="61" t="n"/>
      <c r="N87" s="63" t="n"/>
      <c r="O87" s="8" t="n"/>
      <c r="P87" s="8" t="n"/>
      <c r="Q87" s="8" t="n"/>
      <c r="R87" s="8" t="n"/>
      <c r="S87" s="8" t="n"/>
      <c r="T87" s="8" t="n"/>
      <c r="U87" s="8" t="n"/>
      <c r="V87" s="8" t="n"/>
    </row>
    <row r="88">
      <c r="A88" s="8" t="n"/>
      <c r="B88" s="61" t="n"/>
      <c r="C88" s="8" t="n"/>
      <c r="D88" s="62" t="n"/>
      <c r="E88" s="8" t="n"/>
      <c r="F88" s="8" t="n"/>
      <c r="G88" s="8" t="n"/>
      <c r="H88" s="8" t="n"/>
      <c r="I88" s="8" t="n"/>
      <c r="J88" s="8" t="n"/>
      <c r="K88" s="8" t="n"/>
      <c r="L88" s="8" t="n"/>
      <c r="M88" s="61" t="n"/>
      <c r="N88" s="63" t="n"/>
      <c r="O88" s="8" t="n"/>
      <c r="P88" s="8" t="n"/>
      <c r="Q88" s="8" t="n"/>
      <c r="R88" s="8" t="n"/>
      <c r="S88" s="8" t="n"/>
      <c r="T88" s="8" t="n"/>
      <c r="U88" s="8" t="n"/>
      <c r="V88" s="8" t="n"/>
    </row>
    <row r="89">
      <c r="A89" s="8" t="n"/>
      <c r="B89" s="61" t="n"/>
      <c r="C89" s="8" t="n"/>
      <c r="D89" s="62" t="n"/>
      <c r="E89" s="8" t="n"/>
      <c r="F89" s="8" t="n"/>
      <c r="G89" s="8" t="n"/>
      <c r="H89" s="8" t="n"/>
      <c r="I89" s="8" t="n"/>
      <c r="J89" s="8" t="n"/>
      <c r="K89" s="8" t="n"/>
      <c r="L89" s="8" t="n"/>
      <c r="M89" s="61" t="n"/>
      <c r="N89" s="63" t="n"/>
      <c r="O89" s="8" t="n"/>
      <c r="P89" s="8" t="n"/>
      <c r="Q89" s="8" t="n"/>
      <c r="R89" s="8" t="n"/>
      <c r="S89" s="8" t="n"/>
      <c r="T89" s="8" t="n"/>
      <c r="U89" s="8" t="n"/>
      <c r="V89" s="8" t="n"/>
    </row>
    <row r="90">
      <c r="A90" s="8" t="n"/>
      <c r="B90" s="61" t="n"/>
      <c r="C90" s="8" t="n"/>
      <c r="D90" s="62" t="n"/>
      <c r="E90" s="8" t="n"/>
      <c r="F90" s="8" t="n"/>
      <c r="G90" s="8" t="n"/>
      <c r="H90" s="8" t="n"/>
      <c r="I90" s="8" t="n"/>
      <c r="J90" s="8" t="n"/>
      <c r="K90" s="8" t="n"/>
      <c r="L90" s="8" t="n"/>
      <c r="M90" s="61" t="n"/>
      <c r="N90" s="63" t="n"/>
      <c r="O90" s="8" t="n"/>
      <c r="P90" s="8" t="n"/>
      <c r="Q90" s="8" t="n"/>
      <c r="R90" s="8" t="n"/>
      <c r="S90" s="8" t="n"/>
      <c r="T90" s="8" t="n"/>
      <c r="U90" s="8" t="n"/>
      <c r="V90" s="8" t="n"/>
    </row>
    <row r="91">
      <c r="A91" s="8" t="n"/>
      <c r="B91" s="61" t="n"/>
      <c r="C91" s="8" t="n"/>
      <c r="D91" s="62" t="n"/>
      <c r="E91" s="8" t="n"/>
      <c r="F91" s="8" t="n"/>
      <c r="G91" s="8" t="n"/>
      <c r="H91" s="8" t="n"/>
      <c r="I91" s="8" t="n"/>
      <c r="J91" s="8" t="n"/>
      <c r="K91" s="8" t="n"/>
      <c r="L91" s="8" t="n"/>
      <c r="M91" s="61" t="n"/>
      <c r="N91" s="63" t="n"/>
      <c r="O91" s="8" t="n"/>
      <c r="P91" s="8" t="n"/>
      <c r="Q91" s="8" t="n"/>
      <c r="R91" s="8" t="n"/>
      <c r="S91" s="8" t="n"/>
      <c r="T91" s="8" t="n"/>
      <c r="U91" s="8" t="n"/>
      <c r="V91" s="8" t="n"/>
    </row>
    <row r="92">
      <c r="A92" s="8" t="n"/>
      <c r="B92" s="61" t="n"/>
      <c r="C92" s="8" t="n"/>
      <c r="D92" s="62" t="n"/>
      <c r="E92" s="8" t="n"/>
      <c r="F92" s="8" t="n"/>
      <c r="G92" s="8" t="n"/>
      <c r="H92" s="8" t="n"/>
      <c r="I92" s="8" t="n"/>
      <c r="J92" s="8" t="n"/>
      <c r="K92" s="8" t="n"/>
      <c r="L92" s="8" t="n"/>
      <c r="M92" s="61" t="n"/>
      <c r="N92" s="63" t="n"/>
      <c r="O92" s="8" t="n"/>
      <c r="P92" s="8" t="n"/>
      <c r="Q92" s="8" t="n"/>
      <c r="R92" s="8" t="n"/>
      <c r="S92" s="8" t="n"/>
      <c r="T92" s="8" t="n"/>
      <c r="U92" s="8" t="n"/>
      <c r="V92" s="8" t="n"/>
    </row>
    <row r="93">
      <c r="A93" s="8" t="n"/>
      <c r="B93" s="61" t="n"/>
      <c r="C93" s="8" t="n"/>
      <c r="D93" s="62" t="n"/>
      <c r="E93" s="8" t="n"/>
      <c r="F93" s="8" t="n"/>
      <c r="G93" s="8" t="n"/>
      <c r="H93" s="8" t="n"/>
      <c r="I93" s="8" t="n"/>
      <c r="J93" s="8" t="n"/>
      <c r="K93" s="8" t="n"/>
      <c r="L93" s="8" t="n"/>
      <c r="M93" s="61" t="n"/>
      <c r="N93" s="63" t="n"/>
      <c r="O93" s="8" t="n"/>
      <c r="P93" s="8" t="n"/>
      <c r="Q93" s="8" t="n"/>
      <c r="R93" s="8" t="n"/>
      <c r="S93" s="8" t="n"/>
      <c r="T93" s="8" t="n"/>
      <c r="U93" s="8" t="n"/>
      <c r="V93" s="8" t="n"/>
    </row>
    <row r="94">
      <c r="A94" s="8" t="n"/>
      <c r="B94" s="61" t="n"/>
      <c r="C94" s="8" t="n"/>
      <c r="D94" s="62" t="n"/>
      <c r="E94" s="8" t="n"/>
      <c r="F94" s="8" t="n"/>
      <c r="G94" s="8" t="n"/>
      <c r="H94" s="8" t="n"/>
      <c r="I94" s="8" t="n"/>
      <c r="J94" s="8" t="n"/>
      <c r="K94" s="8" t="n"/>
      <c r="L94" s="8" t="n"/>
      <c r="M94" s="61" t="n"/>
      <c r="N94" s="63" t="n"/>
      <c r="O94" s="8" t="n"/>
      <c r="P94" s="8" t="n"/>
      <c r="Q94" s="8" t="n"/>
      <c r="R94" s="8" t="n"/>
      <c r="S94" s="8" t="n"/>
      <c r="T94" s="8" t="n"/>
      <c r="U94" s="8" t="n"/>
      <c r="V94" s="8" t="n"/>
    </row>
    <row r="95">
      <c r="A95" s="8" t="n"/>
      <c r="B95" s="61" t="n"/>
      <c r="C95" s="8" t="n"/>
      <c r="D95" s="62" t="n"/>
      <c r="E95" s="8" t="n"/>
      <c r="F95" s="8" t="n"/>
      <c r="G95" s="8" t="n"/>
      <c r="H95" s="8" t="n"/>
      <c r="I95" s="8" t="n"/>
      <c r="J95" s="8" t="n"/>
      <c r="K95" s="8" t="n"/>
      <c r="L95" s="8" t="n"/>
      <c r="M95" s="61" t="n"/>
      <c r="N95" s="63" t="n"/>
      <c r="O95" s="8" t="n"/>
      <c r="P95" s="8" t="n"/>
      <c r="Q95" s="8" t="n"/>
      <c r="R95" s="8" t="n"/>
      <c r="S95" s="8" t="n"/>
      <c r="T95" s="8" t="n"/>
      <c r="U95" s="8" t="n"/>
      <c r="V95" s="8" t="n"/>
    </row>
    <row r="96">
      <c r="A96" s="8" t="n"/>
      <c r="B96" s="61" t="n"/>
      <c r="C96" s="8" t="n"/>
      <c r="D96" s="62" t="n"/>
      <c r="E96" s="8" t="n"/>
      <c r="F96" s="8" t="n"/>
      <c r="G96" s="8" t="n"/>
      <c r="H96" s="8" t="n"/>
      <c r="I96" s="8" t="n"/>
      <c r="J96" s="8" t="n"/>
      <c r="K96" s="8" t="n"/>
      <c r="L96" s="8" t="n"/>
      <c r="M96" s="61" t="n"/>
      <c r="N96" s="63" t="n"/>
      <c r="O96" s="8" t="n"/>
      <c r="P96" s="8" t="n"/>
      <c r="Q96" s="8" t="n"/>
      <c r="R96" s="8" t="n"/>
      <c r="S96" s="8" t="n"/>
      <c r="T96" s="8" t="n"/>
      <c r="U96" s="8" t="n"/>
      <c r="V96" s="8" t="n"/>
    </row>
    <row r="97">
      <c r="A97" s="8" t="n"/>
      <c r="B97" s="61" t="n"/>
      <c r="C97" s="8" t="n"/>
      <c r="D97" s="62" t="n"/>
      <c r="E97" s="8" t="n"/>
      <c r="F97" s="8" t="n"/>
      <c r="G97" s="8" t="n"/>
      <c r="H97" s="8" t="n"/>
      <c r="I97" s="8" t="n"/>
      <c r="J97" s="8" t="n"/>
      <c r="K97" s="8" t="n"/>
      <c r="L97" s="8" t="n"/>
      <c r="M97" s="61" t="n"/>
      <c r="N97" s="63" t="n"/>
      <c r="O97" s="8" t="n"/>
      <c r="P97" s="8" t="n"/>
      <c r="Q97" s="8" t="n"/>
      <c r="R97" s="8" t="n"/>
      <c r="S97" s="8" t="n"/>
      <c r="T97" s="8" t="n"/>
      <c r="U97" s="8" t="n"/>
      <c r="V97" s="8" t="n"/>
    </row>
    <row r="98">
      <c r="A98" s="8" t="n"/>
      <c r="B98" s="61" t="n"/>
      <c r="C98" s="8" t="n"/>
      <c r="D98" s="62" t="n"/>
      <c r="E98" s="8" t="n"/>
      <c r="F98" s="8" t="n"/>
      <c r="G98" s="8" t="n"/>
      <c r="H98" s="8" t="n"/>
      <c r="I98" s="8" t="n"/>
      <c r="J98" s="8" t="n"/>
      <c r="K98" s="8" t="n"/>
      <c r="L98" s="8" t="n"/>
      <c r="M98" s="61" t="n"/>
      <c r="N98" s="63" t="n"/>
      <c r="O98" s="8" t="n"/>
      <c r="P98" s="8" t="n"/>
      <c r="Q98" s="8" t="n"/>
      <c r="R98" s="8" t="n"/>
      <c r="S98" s="8" t="n"/>
      <c r="T98" s="8" t="n"/>
      <c r="U98" s="8" t="n"/>
      <c r="V98" s="8" t="n"/>
    </row>
    <row r="99">
      <c r="A99" s="8" t="n"/>
      <c r="B99" s="61" t="n"/>
      <c r="C99" s="8" t="n"/>
      <c r="D99" s="62" t="n"/>
      <c r="E99" s="8" t="n"/>
      <c r="F99" s="8" t="n"/>
      <c r="G99" s="8" t="n"/>
      <c r="H99" s="8" t="n"/>
      <c r="I99" s="8" t="n"/>
      <c r="J99" s="8" t="n"/>
      <c r="K99" s="8" t="n"/>
      <c r="L99" s="8" t="n"/>
      <c r="M99" s="61" t="n"/>
      <c r="N99" s="63" t="n"/>
      <c r="O99" s="8" t="n"/>
      <c r="P99" s="8" t="n"/>
      <c r="Q99" s="8" t="n"/>
      <c r="R99" s="8" t="n"/>
      <c r="S99" s="8" t="n"/>
      <c r="T99" s="8" t="n"/>
      <c r="U99" s="8" t="n"/>
      <c r="V99" s="8" t="n"/>
    </row>
    <row r="100">
      <c r="A100" s="8" t="n"/>
      <c r="B100" s="61" t="n"/>
      <c r="C100" s="8" t="n"/>
      <c r="D100" s="62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61" t="n"/>
      <c r="N100" s="63" t="n"/>
      <c r="O100" s="8" t="n"/>
      <c r="P100" s="8" t="n"/>
      <c r="Q100" s="8" t="n"/>
      <c r="R100" s="8" t="n"/>
      <c r="S100" s="8" t="n"/>
      <c r="T100" s="8" t="n"/>
      <c r="U100" s="8" t="n"/>
      <c r="V100" s="8" t="n"/>
    </row>
    <row r="101">
      <c r="A101" s="8" t="n"/>
      <c r="B101" s="61" t="n"/>
      <c r="C101" s="8" t="n"/>
      <c r="D101" s="62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61" t="n"/>
      <c r="N101" s="63" t="n"/>
      <c r="O101" s="8" t="n"/>
      <c r="P101" s="8" t="n"/>
      <c r="Q101" s="8" t="n"/>
      <c r="R101" s="8" t="n"/>
      <c r="S101" s="8" t="n"/>
      <c r="T101" s="8" t="n"/>
      <c r="U101" s="8" t="n"/>
      <c r="V101" s="8" t="n"/>
    </row>
    <row r="102">
      <c r="A102" s="8" t="n"/>
      <c r="B102" s="61" t="n"/>
      <c r="C102" s="8" t="n"/>
      <c r="D102" s="62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61" t="n"/>
      <c r="N102" s="63" t="n"/>
      <c r="O102" s="8" t="n"/>
      <c r="P102" s="8" t="n"/>
      <c r="Q102" s="8" t="n"/>
      <c r="R102" s="8" t="n"/>
      <c r="S102" s="8" t="n"/>
      <c r="T102" s="8" t="n"/>
      <c r="U102" s="8" t="n"/>
      <c r="V102" s="8" t="n"/>
    </row>
    <row r="103">
      <c r="A103" s="8" t="n"/>
      <c r="B103" s="61" t="n"/>
      <c r="C103" s="8" t="n"/>
      <c r="D103" s="62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61" t="n"/>
      <c r="N103" s="63" t="n"/>
      <c r="O103" s="8" t="n"/>
      <c r="P103" s="8" t="n"/>
      <c r="Q103" s="8" t="n"/>
      <c r="R103" s="8" t="n"/>
      <c r="S103" s="8" t="n"/>
      <c r="T103" s="8" t="n"/>
      <c r="U103" s="8" t="n"/>
      <c r="V103" s="8" t="n"/>
    </row>
    <row r="104">
      <c r="A104" s="8" t="n"/>
      <c r="B104" s="61" t="n"/>
      <c r="C104" s="8" t="n"/>
      <c r="D104" s="62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61" t="n"/>
      <c r="N104" s="63" t="n"/>
      <c r="O104" s="8" t="n"/>
      <c r="P104" s="8" t="n"/>
      <c r="Q104" s="8" t="n"/>
      <c r="R104" s="8" t="n"/>
      <c r="S104" s="8" t="n"/>
      <c r="T104" s="8" t="n"/>
      <c r="U104" s="8" t="n"/>
      <c r="V104" s="8" t="n"/>
    </row>
    <row r="105">
      <c r="A105" s="8" t="n"/>
      <c r="B105" s="61" t="n"/>
      <c r="C105" s="8" t="n"/>
      <c r="D105" s="62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61" t="n"/>
      <c r="N105" s="63" t="n"/>
      <c r="O105" s="8" t="n"/>
      <c r="P105" s="8" t="n"/>
      <c r="Q105" s="8" t="n"/>
      <c r="R105" s="8" t="n"/>
      <c r="S105" s="8" t="n"/>
      <c r="T105" s="8" t="n"/>
      <c r="U105" s="8" t="n"/>
      <c r="V105" s="8" t="n"/>
    </row>
    <row r="106">
      <c r="A106" s="8" t="n"/>
      <c r="B106" s="61" t="n"/>
      <c r="C106" s="8" t="n"/>
      <c r="D106" s="62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61" t="n"/>
      <c r="N106" s="63" t="n"/>
      <c r="O106" s="8" t="n"/>
      <c r="P106" s="8" t="n"/>
      <c r="Q106" s="8" t="n"/>
      <c r="R106" s="8" t="n"/>
      <c r="S106" s="8" t="n"/>
      <c r="T106" s="8" t="n"/>
      <c r="U106" s="8" t="n"/>
      <c r="V106" s="8" t="n"/>
    </row>
    <row r="107">
      <c r="A107" s="8" t="n"/>
      <c r="B107" s="61" t="n"/>
      <c r="C107" s="8" t="n"/>
      <c r="D107" s="62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61" t="n"/>
      <c r="N107" s="63" t="n"/>
      <c r="O107" s="8" t="n"/>
      <c r="P107" s="8" t="n"/>
      <c r="Q107" s="8" t="n"/>
      <c r="R107" s="8" t="n"/>
      <c r="S107" s="8" t="n"/>
      <c r="T107" s="8" t="n"/>
      <c r="U107" s="8" t="n"/>
      <c r="V107" s="8" t="n"/>
    </row>
    <row r="108">
      <c r="A108" s="8" t="n"/>
      <c r="B108" s="61" t="n"/>
      <c r="C108" s="8" t="n"/>
      <c r="D108" s="62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61" t="n"/>
      <c r="N108" s="63" t="n"/>
      <c r="O108" s="8" t="n"/>
      <c r="P108" s="8" t="n"/>
      <c r="Q108" s="8" t="n"/>
      <c r="R108" s="8" t="n"/>
      <c r="S108" s="8" t="n"/>
      <c r="T108" s="8" t="n"/>
      <c r="U108" s="8" t="n"/>
      <c r="V108" s="8" t="n"/>
    </row>
    <row r="109">
      <c r="A109" s="8" t="n"/>
      <c r="B109" s="61" t="n"/>
      <c r="C109" s="8" t="n"/>
      <c r="D109" s="62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61" t="n"/>
      <c r="N109" s="63" t="n"/>
      <c r="O109" s="8" t="n"/>
      <c r="P109" s="8" t="n"/>
      <c r="Q109" s="8" t="n"/>
      <c r="R109" s="8" t="n"/>
      <c r="S109" s="8" t="n"/>
      <c r="T109" s="8" t="n"/>
      <c r="U109" s="8" t="n"/>
      <c r="V109" s="8" t="n"/>
    </row>
    <row r="110">
      <c r="A110" s="8" t="n"/>
      <c r="B110" s="61" t="n"/>
      <c r="C110" s="8" t="n"/>
      <c r="D110" s="62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61" t="n"/>
      <c r="N110" s="63" t="n"/>
      <c r="O110" s="8" t="n"/>
      <c r="P110" s="8" t="n"/>
      <c r="Q110" s="8" t="n"/>
      <c r="R110" s="8" t="n"/>
      <c r="S110" s="8" t="n"/>
      <c r="T110" s="8" t="n"/>
      <c r="U110" s="8" t="n"/>
      <c r="V110" s="8" t="n"/>
    </row>
    <row r="111">
      <c r="A111" s="8" t="n"/>
      <c r="B111" s="61" t="n"/>
      <c r="C111" s="8" t="n"/>
      <c r="D111" s="62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61" t="n"/>
      <c r="N111" s="63" t="n"/>
      <c r="O111" s="8" t="n"/>
      <c r="P111" s="8" t="n"/>
      <c r="Q111" s="8" t="n"/>
      <c r="R111" s="8" t="n"/>
      <c r="S111" s="8" t="n"/>
      <c r="T111" s="8" t="n"/>
      <c r="U111" s="8" t="n"/>
      <c r="V111" s="8" t="n"/>
    </row>
    <row r="112">
      <c r="A112" s="8" t="n"/>
      <c r="B112" s="61" t="n"/>
      <c r="C112" s="8" t="n"/>
      <c r="D112" s="62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61" t="n"/>
      <c r="N112" s="63" t="n"/>
      <c r="O112" s="8" t="n"/>
      <c r="P112" s="8" t="n"/>
      <c r="Q112" s="8" t="n"/>
      <c r="R112" s="8" t="n"/>
      <c r="S112" s="8" t="n"/>
      <c r="T112" s="8" t="n"/>
      <c r="U112" s="8" t="n"/>
      <c r="V112" s="8" t="n"/>
    </row>
    <row r="113">
      <c r="A113" s="8" t="n"/>
      <c r="B113" s="61" t="n"/>
      <c r="C113" s="8" t="n"/>
      <c r="D113" s="62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61" t="n"/>
      <c r="N113" s="63" t="n"/>
      <c r="O113" s="8" t="n"/>
      <c r="P113" s="8" t="n"/>
      <c r="Q113" s="8" t="n"/>
      <c r="R113" s="8" t="n"/>
      <c r="S113" s="8" t="n"/>
      <c r="T113" s="8" t="n"/>
      <c r="U113" s="8" t="n"/>
      <c r="V113" s="8" t="n"/>
    </row>
    <row r="114">
      <c r="A114" s="8" t="n"/>
      <c r="B114" s="61" t="n"/>
      <c r="C114" s="8" t="n"/>
      <c r="D114" s="62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61" t="n"/>
      <c r="N114" s="63" t="n"/>
      <c r="O114" s="8" t="n"/>
      <c r="P114" s="8" t="n"/>
      <c r="Q114" s="8" t="n"/>
      <c r="R114" s="8" t="n"/>
      <c r="S114" s="8" t="n"/>
      <c r="T114" s="8" t="n"/>
      <c r="U114" s="8" t="n"/>
      <c r="V114" s="8" t="n"/>
    </row>
    <row r="115">
      <c r="A115" s="8" t="n"/>
      <c r="B115" s="61" t="n"/>
      <c r="C115" s="8" t="n"/>
      <c r="D115" s="62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61" t="n"/>
      <c r="N115" s="63" t="n"/>
      <c r="O115" s="8" t="n"/>
      <c r="P115" s="8" t="n"/>
      <c r="Q115" s="8" t="n"/>
      <c r="R115" s="8" t="n"/>
      <c r="S115" s="8" t="n"/>
      <c r="T115" s="8" t="n"/>
      <c r="U115" s="8" t="n"/>
      <c r="V115" s="8" t="n"/>
    </row>
    <row r="116">
      <c r="A116" s="8" t="n"/>
      <c r="B116" s="61" t="n"/>
      <c r="C116" s="8" t="n"/>
      <c r="D116" s="62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61" t="n"/>
      <c r="N116" s="63" t="n"/>
      <c r="O116" s="8" t="n"/>
      <c r="P116" s="8" t="n"/>
      <c r="Q116" s="8" t="n"/>
      <c r="R116" s="8" t="n"/>
      <c r="S116" s="8" t="n"/>
      <c r="T116" s="8" t="n"/>
      <c r="U116" s="8" t="n"/>
      <c r="V116" s="8" t="n"/>
    </row>
    <row r="117">
      <c r="A117" s="8" t="n"/>
      <c r="B117" s="61" t="n"/>
      <c r="C117" s="8" t="n"/>
      <c r="D117" s="62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61" t="n"/>
      <c r="N117" s="63" t="n"/>
      <c r="O117" s="8" t="n"/>
      <c r="P117" s="8" t="n"/>
      <c r="Q117" s="8" t="n"/>
      <c r="R117" s="8" t="n"/>
      <c r="S117" s="8" t="n"/>
      <c r="T117" s="8" t="n"/>
      <c r="U117" s="8" t="n"/>
      <c r="V117" s="8" t="n"/>
    </row>
    <row r="118">
      <c r="A118" s="8" t="n"/>
      <c r="B118" s="61" t="n"/>
      <c r="C118" s="8" t="n"/>
      <c r="D118" s="62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61" t="n"/>
      <c r="N118" s="63" t="n"/>
      <c r="O118" s="8" t="n"/>
      <c r="P118" s="8" t="n"/>
      <c r="Q118" s="8" t="n"/>
      <c r="R118" s="8" t="n"/>
      <c r="S118" s="8" t="n"/>
      <c r="T118" s="8" t="n"/>
      <c r="U118" s="8" t="n"/>
      <c r="V118" s="8" t="n"/>
    </row>
    <row r="119">
      <c r="A119" s="8" t="n"/>
      <c r="B119" s="61" t="n"/>
      <c r="C119" s="8" t="n"/>
      <c r="D119" s="62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61" t="n"/>
      <c r="N119" s="63" t="n"/>
      <c r="O119" s="8" t="n"/>
      <c r="P119" s="8" t="n"/>
      <c r="Q119" s="8" t="n"/>
      <c r="R119" s="8" t="n"/>
      <c r="S119" s="8" t="n"/>
      <c r="T119" s="8" t="n"/>
      <c r="U119" s="8" t="n"/>
      <c r="V119" s="8" t="n"/>
    </row>
    <row r="120">
      <c r="A120" s="8" t="n"/>
      <c r="B120" s="61" t="n"/>
      <c r="C120" s="8" t="n"/>
      <c r="D120" s="62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61" t="n"/>
      <c r="N120" s="63" t="n"/>
      <c r="O120" s="8" t="n"/>
      <c r="P120" s="8" t="n"/>
      <c r="Q120" s="8" t="n"/>
      <c r="R120" s="8" t="n"/>
      <c r="S120" s="8" t="n"/>
      <c r="T120" s="8" t="n"/>
      <c r="U120" s="8" t="n"/>
      <c r="V120" s="8" t="n"/>
    </row>
    <row r="121">
      <c r="A121" s="8" t="n"/>
      <c r="B121" s="61" t="n"/>
      <c r="C121" s="8" t="n"/>
      <c r="D121" s="62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61" t="n"/>
      <c r="N121" s="63" t="n"/>
      <c r="O121" s="8" t="n"/>
      <c r="P121" s="8" t="n"/>
      <c r="Q121" s="8" t="n"/>
      <c r="R121" s="8" t="n"/>
      <c r="S121" s="8" t="n"/>
      <c r="T121" s="8" t="n"/>
      <c r="U121" s="8" t="n"/>
      <c r="V121" s="8" t="n"/>
    </row>
    <row r="122">
      <c r="A122" s="8" t="n"/>
      <c r="B122" s="61" t="n"/>
      <c r="C122" s="8" t="n"/>
      <c r="D122" s="62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61" t="n"/>
      <c r="N122" s="63" t="n"/>
      <c r="O122" s="8" t="n"/>
      <c r="P122" s="8" t="n"/>
      <c r="Q122" s="8" t="n"/>
      <c r="R122" s="8" t="n"/>
      <c r="S122" s="8" t="n"/>
      <c r="T122" s="8" t="n"/>
      <c r="U122" s="8" t="n"/>
      <c r="V122" s="8" t="n"/>
    </row>
    <row r="123">
      <c r="A123" s="8" t="n"/>
      <c r="B123" s="61" t="n"/>
      <c r="C123" s="8" t="n"/>
      <c r="D123" s="62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61" t="n"/>
      <c r="N123" s="63" t="n"/>
      <c r="O123" s="8" t="n"/>
      <c r="P123" s="8" t="n"/>
      <c r="Q123" s="8" t="n"/>
      <c r="R123" s="8" t="n"/>
      <c r="S123" s="8" t="n"/>
      <c r="T123" s="8" t="n"/>
      <c r="U123" s="8" t="n"/>
      <c r="V123" s="8" t="n"/>
    </row>
    <row r="124">
      <c r="A124" s="8" t="n"/>
      <c r="B124" s="61" t="n"/>
      <c r="C124" s="8" t="n"/>
      <c r="D124" s="62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61" t="n"/>
      <c r="N124" s="63" t="n"/>
      <c r="O124" s="8" t="n"/>
      <c r="P124" s="8" t="n"/>
      <c r="Q124" s="8" t="n"/>
      <c r="R124" s="8" t="n"/>
      <c r="S124" s="8" t="n"/>
      <c r="T124" s="8" t="n"/>
      <c r="U124" s="8" t="n"/>
      <c r="V124" s="8" t="n"/>
    </row>
    <row r="125">
      <c r="A125" s="8" t="n"/>
      <c r="B125" s="61" t="n"/>
      <c r="C125" s="8" t="n"/>
      <c r="D125" s="62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61" t="n"/>
      <c r="N125" s="63" t="n"/>
      <c r="O125" s="8" t="n"/>
      <c r="P125" s="8" t="n"/>
      <c r="Q125" s="8" t="n"/>
      <c r="R125" s="8" t="n"/>
      <c r="S125" s="8" t="n"/>
      <c r="T125" s="8" t="n"/>
      <c r="U125" s="8" t="n"/>
      <c r="V125" s="8" t="n"/>
    </row>
    <row r="126">
      <c r="A126" s="8" t="n"/>
      <c r="B126" s="61" t="n"/>
      <c r="C126" s="8" t="n"/>
      <c r="D126" s="62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61" t="n"/>
      <c r="N126" s="63" t="n"/>
      <c r="O126" s="8" t="n"/>
      <c r="P126" s="8" t="n"/>
      <c r="Q126" s="8" t="n"/>
      <c r="R126" s="8" t="n"/>
      <c r="S126" s="8" t="n"/>
      <c r="T126" s="8" t="n"/>
      <c r="U126" s="8" t="n"/>
      <c r="V126" s="8" t="n"/>
    </row>
    <row r="127">
      <c r="A127" s="8" t="n"/>
      <c r="B127" s="61" t="n"/>
      <c r="C127" s="8" t="n"/>
      <c r="D127" s="62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61" t="n"/>
      <c r="N127" s="63" t="n"/>
      <c r="O127" s="8" t="n"/>
      <c r="P127" s="8" t="n"/>
      <c r="Q127" s="8" t="n"/>
      <c r="R127" s="8" t="n"/>
      <c r="S127" s="8" t="n"/>
      <c r="T127" s="8" t="n"/>
      <c r="U127" s="8" t="n"/>
      <c r="V127" s="8" t="n"/>
    </row>
    <row r="128">
      <c r="A128" s="8" t="n"/>
      <c r="B128" s="61" t="n"/>
      <c r="C128" s="8" t="n"/>
      <c r="D128" s="62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61" t="n"/>
      <c r="N128" s="63" t="n"/>
      <c r="O128" s="8" t="n"/>
      <c r="P128" s="8" t="n"/>
      <c r="Q128" s="8" t="n"/>
      <c r="R128" s="8" t="n"/>
      <c r="S128" s="8" t="n"/>
      <c r="T128" s="8" t="n"/>
      <c r="U128" s="8" t="n"/>
      <c r="V128" s="8" t="n"/>
    </row>
    <row r="129">
      <c r="A129" s="8" t="n"/>
      <c r="B129" s="61" t="n"/>
      <c r="C129" s="8" t="n"/>
      <c r="D129" s="62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61" t="n"/>
      <c r="N129" s="63" t="n"/>
      <c r="O129" s="8" t="n"/>
      <c r="P129" s="8" t="n"/>
      <c r="Q129" s="8" t="n"/>
      <c r="R129" s="8" t="n"/>
      <c r="S129" s="8" t="n"/>
      <c r="T129" s="8" t="n"/>
      <c r="U129" s="8" t="n"/>
      <c r="V129" s="8" t="n"/>
    </row>
    <row r="130">
      <c r="A130" s="8" t="n"/>
      <c r="B130" s="61" t="n"/>
      <c r="C130" s="8" t="n"/>
      <c r="D130" s="62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61" t="n"/>
      <c r="N130" s="63" t="n"/>
      <c r="O130" s="8" t="n"/>
      <c r="P130" s="8" t="n"/>
      <c r="Q130" s="8" t="n"/>
      <c r="R130" s="8" t="n"/>
      <c r="S130" s="8" t="n"/>
      <c r="T130" s="8" t="n"/>
      <c r="U130" s="8" t="n"/>
      <c r="V130" s="8" t="n"/>
    </row>
    <row r="131">
      <c r="A131" s="8" t="n"/>
      <c r="B131" s="61" t="n"/>
      <c r="C131" s="8" t="n"/>
      <c r="D131" s="62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61" t="n"/>
      <c r="N131" s="63" t="n"/>
      <c r="O131" s="8" t="n"/>
      <c r="P131" s="8" t="n"/>
      <c r="Q131" s="8" t="n"/>
      <c r="R131" s="8" t="n"/>
      <c r="S131" s="8" t="n"/>
      <c r="T131" s="8" t="n"/>
      <c r="U131" s="8" t="n"/>
      <c r="V131" s="8" t="n"/>
    </row>
    <row r="132">
      <c r="A132" s="8" t="n"/>
      <c r="B132" s="61" t="n"/>
      <c r="C132" s="8" t="n"/>
      <c r="D132" s="62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61" t="n"/>
      <c r="N132" s="63" t="n"/>
      <c r="O132" s="8" t="n"/>
      <c r="P132" s="8" t="n"/>
      <c r="Q132" s="8" t="n"/>
      <c r="R132" s="8" t="n"/>
      <c r="S132" s="8" t="n"/>
      <c r="T132" s="8" t="n"/>
      <c r="U132" s="8" t="n"/>
      <c r="V132" s="8" t="n"/>
    </row>
    <row r="133">
      <c r="A133" s="8" t="n"/>
      <c r="B133" s="61" t="n"/>
      <c r="C133" s="8" t="n"/>
      <c r="D133" s="62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61" t="n"/>
      <c r="N133" s="63" t="n"/>
      <c r="O133" s="8" t="n"/>
      <c r="P133" s="8" t="n"/>
      <c r="Q133" s="8" t="n"/>
      <c r="R133" s="8" t="n"/>
      <c r="S133" s="8" t="n"/>
      <c r="T133" s="8" t="n"/>
      <c r="U133" s="8" t="n"/>
      <c r="V133" s="8" t="n"/>
    </row>
    <row r="134">
      <c r="A134" s="8" t="n"/>
      <c r="B134" s="61" t="n"/>
      <c r="C134" s="8" t="n"/>
      <c r="D134" s="62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61" t="n"/>
      <c r="N134" s="63" t="n"/>
      <c r="O134" s="8" t="n"/>
      <c r="P134" s="8" t="n"/>
      <c r="Q134" s="8" t="n"/>
      <c r="R134" s="8" t="n"/>
      <c r="S134" s="8" t="n"/>
      <c r="T134" s="8" t="n"/>
      <c r="U134" s="8" t="n"/>
      <c r="V134" s="8" t="n"/>
    </row>
    <row r="135">
      <c r="A135" s="8" t="n"/>
      <c r="B135" s="61" t="n"/>
      <c r="C135" s="8" t="n"/>
      <c r="D135" s="62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61" t="n"/>
      <c r="N135" s="63" t="n"/>
      <c r="O135" s="8" t="n"/>
      <c r="P135" s="8" t="n"/>
      <c r="Q135" s="8" t="n"/>
      <c r="R135" s="8" t="n"/>
      <c r="S135" s="8" t="n"/>
      <c r="T135" s="8" t="n"/>
      <c r="U135" s="8" t="n"/>
      <c r="V135" s="8" t="n"/>
    </row>
    <row r="136">
      <c r="A136" s="8" t="n"/>
      <c r="B136" s="61" t="n"/>
      <c r="C136" s="8" t="n"/>
      <c r="D136" s="62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61" t="n"/>
      <c r="N136" s="63" t="n"/>
      <c r="O136" s="8" t="n"/>
      <c r="P136" s="8" t="n"/>
      <c r="Q136" s="8" t="n"/>
      <c r="R136" s="8" t="n"/>
      <c r="S136" s="8" t="n"/>
      <c r="T136" s="8" t="n"/>
      <c r="U136" s="8" t="n"/>
      <c r="V136" s="8" t="n"/>
    </row>
    <row r="137">
      <c r="A137" s="8" t="n"/>
      <c r="B137" s="61" t="n"/>
      <c r="C137" s="8" t="n"/>
      <c r="D137" s="62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61" t="n"/>
      <c r="N137" s="63" t="n"/>
      <c r="O137" s="8" t="n"/>
      <c r="P137" s="8" t="n"/>
      <c r="Q137" s="8" t="n"/>
      <c r="R137" s="8" t="n"/>
      <c r="S137" s="8" t="n"/>
      <c r="T137" s="8" t="n"/>
      <c r="U137" s="8" t="n"/>
      <c r="V137" s="8" t="n"/>
    </row>
    <row r="138">
      <c r="A138" s="8" t="n"/>
      <c r="B138" s="61" t="n"/>
      <c r="C138" s="8" t="n"/>
      <c r="D138" s="62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61" t="n"/>
      <c r="N138" s="63" t="n"/>
      <c r="O138" s="8" t="n"/>
      <c r="P138" s="8" t="n"/>
      <c r="Q138" s="8" t="n"/>
      <c r="R138" s="8" t="n"/>
      <c r="S138" s="8" t="n"/>
      <c r="T138" s="8" t="n"/>
      <c r="U138" s="8" t="n"/>
      <c r="V138" s="8" t="n"/>
    </row>
    <row r="139">
      <c r="A139" s="8" t="n"/>
      <c r="B139" s="61" t="n"/>
      <c r="C139" s="8" t="n"/>
      <c r="D139" s="62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61" t="n"/>
      <c r="N139" s="63" t="n"/>
      <c r="O139" s="8" t="n"/>
      <c r="P139" s="8" t="n"/>
      <c r="Q139" s="8" t="n"/>
      <c r="R139" s="8" t="n"/>
      <c r="S139" s="8" t="n"/>
      <c r="T139" s="8" t="n"/>
      <c r="U139" s="8" t="n"/>
      <c r="V139" s="8" t="n"/>
    </row>
    <row r="140">
      <c r="A140" s="8" t="n"/>
      <c r="B140" s="61" t="n"/>
      <c r="C140" s="8" t="n"/>
      <c r="D140" s="62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61" t="n"/>
      <c r="N140" s="63" t="n"/>
      <c r="O140" s="8" t="n"/>
      <c r="P140" s="8" t="n"/>
      <c r="Q140" s="8" t="n"/>
      <c r="R140" s="8" t="n"/>
      <c r="S140" s="8" t="n"/>
      <c r="T140" s="8" t="n"/>
      <c r="U140" s="8" t="n"/>
      <c r="V140" s="8" t="n"/>
    </row>
    <row r="141">
      <c r="A141" s="8" t="n"/>
      <c r="B141" s="61" t="n"/>
      <c r="C141" s="8" t="n"/>
      <c r="D141" s="62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61" t="n"/>
      <c r="N141" s="63" t="n"/>
      <c r="O141" s="8" t="n"/>
      <c r="P141" s="8" t="n"/>
      <c r="Q141" s="8" t="n"/>
      <c r="R141" s="8" t="n"/>
      <c r="S141" s="8" t="n"/>
      <c r="T141" s="8" t="n"/>
      <c r="U141" s="8" t="n"/>
      <c r="V141" s="8" t="n"/>
    </row>
    <row r="142">
      <c r="A142" s="8" t="n"/>
      <c r="B142" s="61" t="n"/>
      <c r="C142" s="8" t="n"/>
      <c r="D142" s="62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61" t="n"/>
      <c r="N142" s="63" t="n"/>
      <c r="O142" s="8" t="n"/>
      <c r="P142" s="8" t="n"/>
      <c r="Q142" s="8" t="n"/>
      <c r="R142" s="8" t="n"/>
      <c r="S142" s="8" t="n"/>
      <c r="T142" s="8" t="n"/>
      <c r="U142" s="8" t="n"/>
      <c r="V142" s="8" t="n"/>
    </row>
    <row r="143">
      <c r="A143" s="8" t="n"/>
      <c r="B143" s="61" t="n"/>
      <c r="C143" s="8" t="n"/>
      <c r="D143" s="62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61" t="n"/>
      <c r="N143" s="63" t="n"/>
      <c r="O143" s="8" t="n"/>
      <c r="P143" s="8" t="n"/>
      <c r="Q143" s="8" t="n"/>
      <c r="R143" s="8" t="n"/>
      <c r="S143" s="8" t="n"/>
      <c r="T143" s="8" t="n"/>
      <c r="U143" s="8" t="n"/>
      <c r="V143" s="8" t="n"/>
    </row>
    <row r="144">
      <c r="A144" s="8" t="n"/>
      <c r="B144" s="61" t="n"/>
      <c r="C144" s="8" t="n"/>
      <c r="D144" s="62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61" t="n"/>
      <c r="N144" s="63" t="n"/>
      <c r="O144" s="8" t="n"/>
      <c r="P144" s="8" t="n"/>
      <c r="Q144" s="8" t="n"/>
      <c r="R144" s="8" t="n"/>
      <c r="S144" s="8" t="n"/>
      <c r="T144" s="8" t="n"/>
      <c r="U144" s="8" t="n"/>
      <c r="V144" s="8" t="n"/>
    </row>
    <row r="145">
      <c r="A145" s="8" t="n"/>
      <c r="B145" s="61" t="n"/>
      <c r="C145" s="8" t="n"/>
      <c r="D145" s="62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61" t="n"/>
      <c r="N145" s="63" t="n"/>
      <c r="O145" s="8" t="n"/>
      <c r="P145" s="8" t="n"/>
      <c r="Q145" s="8" t="n"/>
      <c r="R145" s="8" t="n"/>
      <c r="S145" s="8" t="n"/>
      <c r="T145" s="8" t="n"/>
      <c r="U145" s="8" t="n"/>
      <c r="V145" s="8" t="n"/>
    </row>
    <row r="146">
      <c r="A146" s="8" t="n"/>
      <c r="B146" s="61" t="n"/>
      <c r="C146" s="8" t="n"/>
      <c r="D146" s="62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61" t="n"/>
      <c r="N146" s="63" t="n"/>
      <c r="O146" s="8" t="n"/>
      <c r="P146" s="8" t="n"/>
      <c r="Q146" s="8" t="n"/>
      <c r="R146" s="8" t="n"/>
      <c r="S146" s="8" t="n"/>
      <c r="T146" s="8" t="n"/>
      <c r="U146" s="8" t="n"/>
      <c r="V146" s="8" t="n"/>
    </row>
    <row r="147">
      <c r="A147" s="8" t="n"/>
      <c r="B147" s="61" t="n"/>
      <c r="C147" s="8" t="n"/>
      <c r="D147" s="62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61" t="n"/>
      <c r="N147" s="63" t="n"/>
      <c r="O147" s="8" t="n"/>
      <c r="P147" s="8" t="n"/>
      <c r="Q147" s="8" t="n"/>
      <c r="R147" s="8" t="n"/>
      <c r="S147" s="8" t="n"/>
      <c r="T147" s="8" t="n"/>
      <c r="U147" s="8" t="n"/>
      <c r="V147" s="8" t="n"/>
    </row>
    <row r="148">
      <c r="A148" s="8" t="n"/>
      <c r="B148" s="61" t="n"/>
      <c r="C148" s="8" t="n"/>
      <c r="D148" s="62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61" t="n"/>
      <c r="N148" s="63" t="n"/>
      <c r="O148" s="8" t="n"/>
      <c r="P148" s="8" t="n"/>
      <c r="Q148" s="8" t="n"/>
      <c r="R148" s="8" t="n"/>
      <c r="S148" s="8" t="n"/>
      <c r="T148" s="8" t="n"/>
      <c r="U148" s="8" t="n"/>
      <c r="V148" s="8" t="n"/>
    </row>
    <row r="149">
      <c r="A149" s="8" t="n"/>
      <c r="B149" s="61" t="n"/>
      <c r="C149" s="8" t="n"/>
      <c r="D149" s="62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61" t="n"/>
      <c r="N149" s="63" t="n"/>
      <c r="O149" s="8" t="n"/>
      <c r="P149" s="8" t="n"/>
      <c r="Q149" s="8" t="n"/>
      <c r="R149" s="8" t="n"/>
      <c r="S149" s="8" t="n"/>
      <c r="T149" s="8" t="n"/>
      <c r="U149" s="8" t="n"/>
      <c r="V149" s="8" t="n"/>
    </row>
    <row r="150">
      <c r="A150" s="8" t="n"/>
      <c r="B150" s="61" t="n"/>
      <c r="C150" s="8" t="n"/>
      <c r="D150" s="62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61" t="n"/>
      <c r="N150" s="63" t="n"/>
      <c r="O150" s="8" t="n"/>
      <c r="P150" s="8" t="n"/>
      <c r="Q150" s="8" t="n"/>
      <c r="R150" s="8" t="n"/>
      <c r="S150" s="8" t="n"/>
      <c r="T150" s="8" t="n"/>
      <c r="U150" s="8" t="n"/>
      <c r="V150" s="8" t="n"/>
    </row>
    <row r="151">
      <c r="A151" s="8" t="n"/>
      <c r="B151" s="61" t="n"/>
      <c r="C151" s="8" t="n"/>
      <c r="D151" s="62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61" t="n"/>
      <c r="N151" s="63" t="n"/>
      <c r="O151" s="8" t="n"/>
      <c r="P151" s="8" t="n"/>
      <c r="Q151" s="8" t="n"/>
      <c r="R151" s="8" t="n"/>
      <c r="S151" s="8" t="n"/>
      <c r="T151" s="8" t="n"/>
      <c r="U151" s="8" t="n"/>
      <c r="V151" s="8" t="n"/>
    </row>
    <row r="152">
      <c r="A152" s="8" t="n"/>
      <c r="B152" s="61" t="n"/>
      <c r="C152" s="8" t="n"/>
      <c r="D152" s="62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61" t="n"/>
      <c r="N152" s="63" t="n"/>
      <c r="O152" s="8" t="n"/>
      <c r="P152" s="8" t="n"/>
      <c r="Q152" s="8" t="n"/>
      <c r="R152" s="8" t="n"/>
      <c r="S152" s="8" t="n"/>
      <c r="T152" s="8" t="n"/>
      <c r="U152" s="8" t="n"/>
      <c r="V152" s="8" t="n"/>
    </row>
    <row r="153">
      <c r="A153" s="8" t="n"/>
      <c r="B153" s="61" t="n"/>
      <c r="C153" s="8" t="n"/>
      <c r="D153" s="62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61" t="n"/>
      <c r="N153" s="63" t="n"/>
      <c r="O153" s="8" t="n"/>
      <c r="P153" s="8" t="n"/>
      <c r="Q153" s="8" t="n"/>
      <c r="R153" s="8" t="n"/>
      <c r="S153" s="8" t="n"/>
      <c r="T153" s="8" t="n"/>
      <c r="U153" s="8" t="n"/>
      <c r="V153" s="8" t="n"/>
    </row>
    <row r="154">
      <c r="A154" s="8" t="n"/>
      <c r="B154" s="61" t="n"/>
      <c r="C154" s="8" t="n"/>
      <c r="D154" s="62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61" t="n"/>
      <c r="N154" s="63" t="n"/>
      <c r="O154" s="8" t="n"/>
      <c r="P154" s="8" t="n"/>
      <c r="Q154" s="8" t="n"/>
      <c r="R154" s="8" t="n"/>
      <c r="S154" s="8" t="n"/>
      <c r="T154" s="8" t="n"/>
      <c r="U154" s="8" t="n"/>
      <c r="V154" s="8" t="n"/>
    </row>
    <row r="155">
      <c r="A155" s="8" t="n"/>
      <c r="B155" s="61" t="n"/>
      <c r="C155" s="8" t="n"/>
      <c r="D155" s="62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61" t="n"/>
      <c r="N155" s="63" t="n"/>
      <c r="O155" s="8" t="n"/>
      <c r="P155" s="8" t="n"/>
      <c r="Q155" s="8" t="n"/>
      <c r="R155" s="8" t="n"/>
      <c r="S155" s="8" t="n"/>
      <c r="T155" s="8" t="n"/>
      <c r="U155" s="8" t="n"/>
      <c r="V155" s="8" t="n"/>
    </row>
    <row r="156">
      <c r="A156" s="8" t="n"/>
      <c r="B156" s="61" t="n"/>
      <c r="C156" s="8" t="n"/>
      <c r="D156" s="62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61" t="n"/>
      <c r="N156" s="63" t="n"/>
      <c r="O156" s="8" t="n"/>
      <c r="P156" s="8" t="n"/>
      <c r="Q156" s="8" t="n"/>
      <c r="R156" s="8" t="n"/>
      <c r="S156" s="8" t="n"/>
      <c r="T156" s="8" t="n"/>
      <c r="U156" s="8" t="n"/>
      <c r="V156" s="8" t="n"/>
    </row>
    <row r="157">
      <c r="A157" s="8" t="n"/>
      <c r="B157" s="61" t="n"/>
      <c r="C157" s="8" t="n"/>
      <c r="D157" s="62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61" t="n"/>
      <c r="N157" s="63" t="n"/>
      <c r="O157" s="8" t="n"/>
      <c r="P157" s="8" t="n"/>
      <c r="Q157" s="8" t="n"/>
      <c r="R157" s="8" t="n"/>
      <c r="S157" s="8" t="n"/>
      <c r="T157" s="8" t="n"/>
      <c r="U157" s="8" t="n"/>
      <c r="V157" s="8" t="n"/>
    </row>
    <row r="158">
      <c r="A158" s="8" t="n"/>
      <c r="B158" s="61" t="n"/>
      <c r="C158" s="8" t="n"/>
      <c r="D158" s="62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61" t="n"/>
      <c r="N158" s="63" t="n"/>
      <c r="O158" s="8" t="n"/>
      <c r="P158" s="8" t="n"/>
      <c r="Q158" s="8" t="n"/>
      <c r="R158" s="8" t="n"/>
      <c r="S158" s="8" t="n"/>
      <c r="T158" s="8" t="n"/>
      <c r="U158" s="8" t="n"/>
      <c r="V158" s="8" t="n"/>
    </row>
    <row r="159">
      <c r="A159" s="8" t="n"/>
      <c r="B159" s="61" t="n"/>
      <c r="C159" s="8" t="n"/>
      <c r="D159" s="62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61" t="n"/>
      <c r="N159" s="63" t="n"/>
      <c r="O159" s="8" t="n"/>
      <c r="P159" s="8" t="n"/>
      <c r="Q159" s="8" t="n"/>
      <c r="R159" s="8" t="n"/>
      <c r="S159" s="8" t="n"/>
      <c r="T159" s="8" t="n"/>
      <c r="U159" s="8" t="n"/>
      <c r="V159" s="8" t="n"/>
    </row>
    <row r="160">
      <c r="A160" s="8" t="n"/>
      <c r="B160" s="61" t="n"/>
      <c r="C160" s="8" t="n"/>
      <c r="D160" s="62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61" t="n"/>
      <c r="N160" s="63" t="n"/>
      <c r="O160" s="8" t="n"/>
      <c r="P160" s="8" t="n"/>
      <c r="Q160" s="8" t="n"/>
      <c r="R160" s="8" t="n"/>
      <c r="S160" s="8" t="n"/>
      <c r="T160" s="8" t="n"/>
      <c r="U160" s="8" t="n"/>
      <c r="V160" s="8" t="n"/>
    </row>
    <row r="161">
      <c r="A161" s="8" t="n"/>
      <c r="B161" s="61" t="n"/>
      <c r="C161" s="8" t="n"/>
      <c r="D161" s="62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61" t="n"/>
      <c r="N161" s="63" t="n"/>
      <c r="O161" s="8" t="n"/>
      <c r="P161" s="8" t="n"/>
      <c r="Q161" s="8" t="n"/>
      <c r="R161" s="8" t="n"/>
      <c r="S161" s="8" t="n"/>
      <c r="T161" s="8" t="n"/>
      <c r="U161" s="8" t="n"/>
      <c r="V161" s="8" t="n"/>
    </row>
    <row r="162">
      <c r="A162" s="8" t="n"/>
      <c r="B162" s="61" t="n"/>
      <c r="C162" s="8" t="n"/>
      <c r="D162" s="62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61" t="n"/>
      <c r="N162" s="63" t="n"/>
      <c r="O162" s="8" t="n"/>
      <c r="P162" s="8" t="n"/>
      <c r="Q162" s="8" t="n"/>
      <c r="R162" s="8" t="n"/>
      <c r="S162" s="8" t="n"/>
      <c r="T162" s="8" t="n"/>
      <c r="U162" s="8" t="n"/>
      <c r="V162" s="8" t="n"/>
    </row>
    <row r="163">
      <c r="A163" s="8" t="n"/>
      <c r="B163" s="61" t="n"/>
      <c r="C163" s="8" t="n"/>
      <c r="D163" s="62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61" t="n"/>
      <c r="N163" s="63" t="n"/>
      <c r="O163" s="8" t="n"/>
      <c r="P163" s="8" t="n"/>
      <c r="Q163" s="8" t="n"/>
      <c r="R163" s="8" t="n"/>
      <c r="S163" s="8" t="n"/>
      <c r="T163" s="8" t="n"/>
      <c r="U163" s="8" t="n"/>
      <c r="V163" s="8" t="n"/>
    </row>
    <row r="164">
      <c r="A164" s="8" t="n"/>
      <c r="B164" s="61" t="n"/>
      <c r="C164" s="8" t="n"/>
      <c r="D164" s="62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61" t="n"/>
      <c r="N164" s="63" t="n"/>
      <c r="O164" s="8" t="n"/>
      <c r="P164" s="8" t="n"/>
      <c r="Q164" s="8" t="n"/>
      <c r="R164" s="8" t="n"/>
      <c r="S164" s="8" t="n"/>
      <c r="T164" s="8" t="n"/>
      <c r="U164" s="8" t="n"/>
      <c r="V164" s="8" t="n"/>
    </row>
    <row r="165">
      <c r="A165" s="8" t="n"/>
      <c r="B165" s="61" t="n"/>
      <c r="C165" s="8" t="n"/>
      <c r="D165" s="62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61" t="n"/>
      <c r="N165" s="63" t="n"/>
      <c r="O165" s="8" t="n"/>
      <c r="P165" s="8" t="n"/>
      <c r="Q165" s="8" t="n"/>
      <c r="R165" s="8" t="n"/>
      <c r="S165" s="8" t="n"/>
      <c r="T165" s="8" t="n"/>
      <c r="U165" s="8" t="n"/>
      <c r="V165" s="8" t="n"/>
    </row>
    <row r="166">
      <c r="A166" s="8" t="n"/>
      <c r="B166" s="61" t="n"/>
      <c r="C166" s="8" t="n"/>
      <c r="D166" s="62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61" t="n"/>
      <c r="N166" s="63" t="n"/>
      <c r="O166" s="8" t="n"/>
      <c r="P166" s="8" t="n"/>
      <c r="Q166" s="8" t="n"/>
      <c r="R166" s="8" t="n"/>
      <c r="S166" s="8" t="n"/>
      <c r="T166" s="8" t="n"/>
      <c r="U166" s="8" t="n"/>
      <c r="V166" s="8" t="n"/>
    </row>
    <row r="167">
      <c r="A167" s="8" t="n"/>
      <c r="B167" s="61" t="n"/>
      <c r="C167" s="8" t="n"/>
      <c r="D167" s="62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61" t="n"/>
      <c r="N167" s="63" t="n"/>
      <c r="O167" s="8" t="n"/>
      <c r="P167" s="8" t="n"/>
      <c r="Q167" s="8" t="n"/>
      <c r="R167" s="8" t="n"/>
      <c r="S167" s="8" t="n"/>
      <c r="T167" s="8" t="n"/>
      <c r="U167" s="8" t="n"/>
      <c r="V167" s="8" t="n"/>
    </row>
    <row r="168">
      <c r="A168" s="8" t="n"/>
      <c r="B168" s="61" t="n"/>
      <c r="C168" s="8" t="n"/>
      <c r="D168" s="62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61" t="n"/>
      <c r="N168" s="63" t="n"/>
      <c r="O168" s="8" t="n"/>
      <c r="P168" s="8" t="n"/>
      <c r="Q168" s="8" t="n"/>
      <c r="R168" s="8" t="n"/>
      <c r="S168" s="8" t="n"/>
      <c r="T168" s="8" t="n"/>
      <c r="U168" s="8" t="n"/>
      <c r="V168" s="8" t="n"/>
    </row>
    <row r="169">
      <c r="A169" s="8" t="n"/>
      <c r="B169" s="61" t="n"/>
      <c r="C169" s="8" t="n"/>
      <c r="D169" s="62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61" t="n"/>
      <c r="N169" s="63" t="n"/>
      <c r="O169" s="8" t="n"/>
      <c r="P169" s="8" t="n"/>
      <c r="Q169" s="8" t="n"/>
      <c r="R169" s="8" t="n"/>
      <c r="S169" s="8" t="n"/>
      <c r="T169" s="8" t="n"/>
      <c r="U169" s="8" t="n"/>
      <c r="V169" s="8" t="n"/>
    </row>
    <row r="170">
      <c r="A170" s="8" t="n"/>
      <c r="B170" s="61" t="n"/>
      <c r="C170" s="8" t="n"/>
      <c r="D170" s="62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61" t="n"/>
      <c r="N170" s="63" t="n"/>
      <c r="O170" s="8" t="n"/>
      <c r="P170" s="8" t="n"/>
      <c r="Q170" s="8" t="n"/>
      <c r="R170" s="8" t="n"/>
      <c r="S170" s="8" t="n"/>
      <c r="T170" s="8" t="n"/>
      <c r="U170" s="8" t="n"/>
      <c r="V170" s="8" t="n"/>
    </row>
    <row r="171">
      <c r="A171" s="8" t="n"/>
      <c r="B171" s="61" t="n"/>
      <c r="C171" s="8" t="n"/>
      <c r="D171" s="62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61" t="n"/>
      <c r="N171" s="63" t="n"/>
      <c r="O171" s="8" t="n"/>
      <c r="P171" s="8" t="n"/>
      <c r="Q171" s="8" t="n"/>
      <c r="R171" s="8" t="n"/>
      <c r="S171" s="8" t="n"/>
      <c r="T171" s="8" t="n"/>
      <c r="U171" s="8" t="n"/>
      <c r="V171" s="8" t="n"/>
    </row>
    <row r="172">
      <c r="A172" s="8" t="n"/>
      <c r="B172" s="61" t="n"/>
      <c r="C172" s="8" t="n"/>
      <c r="D172" s="62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61" t="n"/>
      <c r="N172" s="63" t="n"/>
      <c r="O172" s="8" t="n"/>
      <c r="P172" s="8" t="n"/>
      <c r="Q172" s="8" t="n"/>
      <c r="R172" s="8" t="n"/>
      <c r="S172" s="8" t="n"/>
      <c r="T172" s="8" t="n"/>
      <c r="U172" s="8" t="n"/>
      <c r="V172" s="8" t="n"/>
    </row>
    <row r="173">
      <c r="A173" s="8" t="n"/>
      <c r="B173" s="61" t="n"/>
      <c r="C173" s="8" t="n"/>
      <c r="D173" s="62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61" t="n"/>
      <c r="N173" s="63" t="n"/>
      <c r="O173" s="8" t="n"/>
      <c r="P173" s="8" t="n"/>
      <c r="Q173" s="8" t="n"/>
      <c r="R173" s="8" t="n"/>
      <c r="S173" s="8" t="n"/>
      <c r="T173" s="8" t="n"/>
      <c r="U173" s="8" t="n"/>
      <c r="V173" s="8" t="n"/>
    </row>
    <row r="174">
      <c r="A174" s="8" t="n"/>
      <c r="B174" s="61" t="n"/>
      <c r="C174" s="8" t="n"/>
      <c r="D174" s="62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61" t="n"/>
      <c r="N174" s="63" t="n"/>
      <c r="O174" s="8" t="n"/>
      <c r="P174" s="8" t="n"/>
      <c r="Q174" s="8" t="n"/>
      <c r="R174" s="8" t="n"/>
      <c r="S174" s="8" t="n"/>
      <c r="T174" s="8" t="n"/>
      <c r="U174" s="8" t="n"/>
      <c r="V174" s="8" t="n"/>
    </row>
    <row r="175">
      <c r="A175" s="8" t="n"/>
      <c r="B175" s="61" t="n"/>
      <c r="C175" s="8" t="n"/>
      <c r="D175" s="62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61" t="n"/>
      <c r="N175" s="63" t="n"/>
      <c r="O175" s="8" t="n"/>
      <c r="P175" s="8" t="n"/>
      <c r="Q175" s="8" t="n"/>
      <c r="R175" s="8" t="n"/>
      <c r="S175" s="8" t="n"/>
      <c r="T175" s="8" t="n"/>
      <c r="U175" s="8" t="n"/>
      <c r="V175" s="8" t="n"/>
    </row>
    <row r="176">
      <c r="A176" s="8" t="n"/>
      <c r="B176" s="61" t="n"/>
      <c r="C176" s="8" t="n"/>
      <c r="D176" s="62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61" t="n"/>
      <c r="N176" s="63" t="n"/>
      <c r="O176" s="8" t="n"/>
      <c r="P176" s="8" t="n"/>
      <c r="Q176" s="8" t="n"/>
      <c r="R176" s="8" t="n"/>
      <c r="S176" s="8" t="n"/>
      <c r="T176" s="8" t="n"/>
      <c r="U176" s="8" t="n"/>
      <c r="V176" s="8" t="n"/>
    </row>
    <row r="177">
      <c r="A177" s="8" t="n"/>
      <c r="B177" s="61" t="n"/>
      <c r="C177" s="8" t="n"/>
      <c r="D177" s="62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61" t="n"/>
      <c r="N177" s="63" t="n"/>
      <c r="O177" s="8" t="n"/>
      <c r="P177" s="8" t="n"/>
      <c r="Q177" s="8" t="n"/>
      <c r="R177" s="8" t="n"/>
      <c r="S177" s="8" t="n"/>
      <c r="T177" s="8" t="n"/>
      <c r="U177" s="8" t="n"/>
      <c r="V177" s="8" t="n"/>
    </row>
    <row r="178">
      <c r="A178" s="8" t="n"/>
      <c r="B178" s="61" t="n"/>
      <c r="C178" s="8" t="n"/>
      <c r="D178" s="62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61" t="n"/>
      <c r="N178" s="63" t="n"/>
      <c r="O178" s="8" t="n"/>
      <c r="P178" s="8" t="n"/>
      <c r="Q178" s="8" t="n"/>
      <c r="R178" s="8" t="n"/>
      <c r="S178" s="8" t="n"/>
      <c r="T178" s="8" t="n"/>
      <c r="U178" s="8" t="n"/>
      <c r="V178" s="8" t="n"/>
    </row>
    <row r="179">
      <c r="A179" s="8" t="n"/>
      <c r="B179" s="61" t="n"/>
      <c r="C179" s="8" t="n"/>
      <c r="D179" s="62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61" t="n"/>
      <c r="N179" s="63" t="n"/>
      <c r="O179" s="8" t="n"/>
      <c r="P179" s="8" t="n"/>
      <c r="Q179" s="8" t="n"/>
      <c r="R179" s="8" t="n"/>
      <c r="S179" s="8" t="n"/>
      <c r="T179" s="8" t="n"/>
      <c r="U179" s="8" t="n"/>
      <c r="V179" s="8" t="n"/>
    </row>
    <row r="180">
      <c r="A180" s="8" t="n"/>
      <c r="B180" s="61" t="n"/>
      <c r="C180" s="8" t="n"/>
      <c r="D180" s="62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61" t="n"/>
      <c r="N180" s="63" t="n"/>
      <c r="O180" s="8" t="n"/>
      <c r="P180" s="8" t="n"/>
      <c r="Q180" s="8" t="n"/>
      <c r="R180" s="8" t="n"/>
      <c r="S180" s="8" t="n"/>
      <c r="T180" s="8" t="n"/>
      <c r="U180" s="8" t="n"/>
      <c r="V180" s="8" t="n"/>
    </row>
    <row r="181">
      <c r="A181" s="8" t="n"/>
      <c r="B181" s="61" t="n"/>
      <c r="C181" s="8" t="n"/>
      <c r="D181" s="62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61" t="n"/>
      <c r="N181" s="63" t="n"/>
      <c r="O181" s="8" t="n"/>
      <c r="P181" s="8" t="n"/>
      <c r="Q181" s="8" t="n"/>
      <c r="R181" s="8" t="n"/>
      <c r="S181" s="8" t="n"/>
      <c r="T181" s="8" t="n"/>
      <c r="U181" s="8" t="n"/>
      <c r="V181" s="8" t="n"/>
    </row>
    <row r="182">
      <c r="A182" s="8" t="n"/>
      <c r="B182" s="61" t="n"/>
      <c r="C182" s="8" t="n"/>
      <c r="D182" s="62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61" t="n"/>
      <c r="N182" s="63" t="n"/>
      <c r="O182" s="8" t="n"/>
      <c r="P182" s="8" t="n"/>
      <c r="Q182" s="8" t="n"/>
      <c r="R182" s="8" t="n"/>
      <c r="S182" s="8" t="n"/>
      <c r="T182" s="8" t="n"/>
      <c r="U182" s="8" t="n"/>
      <c r="V182" s="8" t="n"/>
    </row>
    <row r="183">
      <c r="A183" s="8" t="n"/>
      <c r="B183" s="61" t="n"/>
      <c r="C183" s="8" t="n"/>
      <c r="D183" s="62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61" t="n"/>
      <c r="N183" s="63" t="n"/>
      <c r="O183" s="8" t="n"/>
      <c r="P183" s="8" t="n"/>
      <c r="Q183" s="8" t="n"/>
      <c r="R183" s="8" t="n"/>
      <c r="S183" s="8" t="n"/>
      <c r="T183" s="8" t="n"/>
      <c r="U183" s="8" t="n"/>
      <c r="V183" s="8" t="n"/>
    </row>
    <row r="184">
      <c r="A184" s="8" t="n"/>
      <c r="B184" s="61" t="n"/>
      <c r="C184" s="8" t="n"/>
      <c r="D184" s="62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61" t="n"/>
      <c r="N184" s="63" t="n"/>
      <c r="O184" s="8" t="n"/>
      <c r="P184" s="8" t="n"/>
      <c r="Q184" s="8" t="n"/>
      <c r="R184" s="8" t="n"/>
      <c r="S184" s="8" t="n"/>
      <c r="T184" s="8" t="n"/>
      <c r="U184" s="8" t="n"/>
      <c r="V184" s="8" t="n"/>
    </row>
    <row r="185">
      <c r="A185" s="8" t="n"/>
      <c r="B185" s="61" t="n"/>
      <c r="C185" s="8" t="n"/>
      <c r="D185" s="62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61" t="n"/>
      <c r="N185" s="63" t="n"/>
      <c r="O185" s="8" t="n"/>
      <c r="P185" s="8" t="n"/>
      <c r="Q185" s="8" t="n"/>
      <c r="R185" s="8" t="n"/>
      <c r="S185" s="8" t="n"/>
      <c r="T185" s="8" t="n"/>
      <c r="U185" s="8" t="n"/>
      <c r="V185" s="8" t="n"/>
    </row>
    <row r="186">
      <c r="A186" s="8" t="n"/>
      <c r="B186" s="61" t="n"/>
      <c r="C186" s="8" t="n"/>
      <c r="D186" s="62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61" t="n"/>
      <c r="N186" s="63" t="n"/>
      <c r="O186" s="8" t="n"/>
      <c r="P186" s="8" t="n"/>
      <c r="Q186" s="8" t="n"/>
      <c r="R186" s="8" t="n"/>
      <c r="S186" s="8" t="n"/>
      <c r="T186" s="8" t="n"/>
      <c r="U186" s="8" t="n"/>
      <c r="V186" s="8" t="n"/>
    </row>
    <row r="187">
      <c r="A187" s="8" t="n"/>
      <c r="B187" s="61" t="n"/>
      <c r="C187" s="8" t="n"/>
      <c r="D187" s="62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61" t="n"/>
      <c r="N187" s="63" t="n"/>
      <c r="O187" s="8" t="n"/>
      <c r="P187" s="8" t="n"/>
      <c r="Q187" s="8" t="n"/>
      <c r="R187" s="8" t="n"/>
      <c r="S187" s="8" t="n"/>
      <c r="T187" s="8" t="n"/>
      <c r="U187" s="8" t="n"/>
      <c r="V187" s="8" t="n"/>
    </row>
    <row r="188">
      <c r="A188" s="8" t="n"/>
      <c r="B188" s="61" t="n"/>
      <c r="C188" s="8" t="n"/>
      <c r="D188" s="62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61" t="n"/>
      <c r="N188" s="63" t="n"/>
      <c r="O188" s="8" t="n"/>
      <c r="P188" s="8" t="n"/>
      <c r="Q188" s="8" t="n"/>
      <c r="R188" s="8" t="n"/>
      <c r="S188" s="8" t="n"/>
      <c r="T188" s="8" t="n"/>
      <c r="U188" s="8" t="n"/>
      <c r="V188" s="8" t="n"/>
    </row>
    <row r="189">
      <c r="A189" s="8" t="n"/>
      <c r="B189" s="61" t="n"/>
      <c r="C189" s="8" t="n"/>
      <c r="D189" s="62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61" t="n"/>
      <c r="N189" s="63" t="n"/>
      <c r="O189" s="8" t="n"/>
      <c r="P189" s="8" t="n"/>
      <c r="Q189" s="8" t="n"/>
      <c r="R189" s="8" t="n"/>
      <c r="S189" s="8" t="n"/>
      <c r="T189" s="8" t="n"/>
      <c r="U189" s="8" t="n"/>
      <c r="V189" s="8" t="n"/>
    </row>
    <row r="190">
      <c r="A190" s="8" t="n"/>
      <c r="B190" s="61" t="n"/>
      <c r="C190" s="8" t="n"/>
      <c r="D190" s="62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61" t="n"/>
      <c r="N190" s="63" t="n"/>
      <c r="O190" s="8" t="n"/>
      <c r="P190" s="8" t="n"/>
      <c r="Q190" s="8" t="n"/>
      <c r="R190" s="8" t="n"/>
      <c r="S190" s="8" t="n"/>
      <c r="T190" s="8" t="n"/>
      <c r="U190" s="8" t="n"/>
      <c r="V190" s="8" t="n"/>
    </row>
    <row r="191">
      <c r="A191" s="8" t="n"/>
      <c r="B191" s="61" t="n"/>
      <c r="C191" s="8" t="n"/>
      <c r="D191" s="62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61" t="n"/>
      <c r="N191" s="63" t="n"/>
      <c r="O191" s="8" t="n"/>
      <c r="P191" s="8" t="n"/>
      <c r="Q191" s="8" t="n"/>
      <c r="R191" s="8" t="n"/>
      <c r="S191" s="8" t="n"/>
      <c r="T191" s="8" t="n"/>
      <c r="U191" s="8" t="n"/>
      <c r="V191" s="8" t="n"/>
    </row>
    <row r="192">
      <c r="A192" s="8" t="n"/>
      <c r="B192" s="61" t="n"/>
      <c r="C192" s="8" t="n"/>
      <c r="D192" s="62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61" t="n"/>
      <c r="N192" s="63" t="n"/>
      <c r="O192" s="8" t="n"/>
      <c r="P192" s="8" t="n"/>
      <c r="Q192" s="8" t="n"/>
      <c r="R192" s="8" t="n"/>
      <c r="S192" s="8" t="n"/>
      <c r="T192" s="8" t="n"/>
      <c r="U192" s="8" t="n"/>
      <c r="V192" s="8" t="n"/>
    </row>
    <row r="193">
      <c r="A193" s="8" t="n"/>
      <c r="B193" s="61" t="n"/>
      <c r="C193" s="8" t="n"/>
      <c r="D193" s="62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61" t="n"/>
      <c r="N193" s="63" t="n"/>
      <c r="O193" s="8" t="n"/>
      <c r="P193" s="8" t="n"/>
      <c r="Q193" s="8" t="n"/>
      <c r="R193" s="8" t="n"/>
      <c r="S193" s="8" t="n"/>
      <c r="T193" s="8" t="n"/>
      <c r="U193" s="8" t="n"/>
      <c r="V193" s="8" t="n"/>
    </row>
    <row r="194">
      <c r="A194" s="8" t="n"/>
      <c r="B194" s="61" t="n"/>
      <c r="C194" s="8" t="n"/>
      <c r="D194" s="62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61" t="n"/>
      <c r="N194" s="63" t="n"/>
      <c r="O194" s="8" t="n"/>
      <c r="P194" s="8" t="n"/>
      <c r="Q194" s="8" t="n"/>
      <c r="R194" s="8" t="n"/>
      <c r="S194" s="8" t="n"/>
      <c r="T194" s="8" t="n"/>
      <c r="U194" s="8" t="n"/>
      <c r="V194" s="8" t="n"/>
    </row>
    <row r="195">
      <c r="A195" s="8" t="n"/>
      <c r="B195" s="61" t="n"/>
      <c r="C195" s="8" t="n"/>
      <c r="D195" s="62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61" t="n"/>
      <c r="N195" s="63" t="n"/>
      <c r="O195" s="8" t="n"/>
      <c r="P195" s="8" t="n"/>
      <c r="Q195" s="8" t="n"/>
      <c r="R195" s="8" t="n"/>
      <c r="S195" s="8" t="n"/>
      <c r="T195" s="8" t="n"/>
      <c r="U195" s="8" t="n"/>
      <c r="V195" s="8" t="n"/>
    </row>
    <row r="196">
      <c r="A196" s="8" t="n"/>
      <c r="B196" s="61" t="n"/>
      <c r="C196" s="8" t="n"/>
      <c r="D196" s="62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61" t="n"/>
      <c r="N196" s="63" t="n"/>
      <c r="O196" s="8" t="n"/>
      <c r="P196" s="8" t="n"/>
      <c r="Q196" s="8" t="n"/>
      <c r="R196" s="8" t="n"/>
      <c r="S196" s="8" t="n"/>
      <c r="T196" s="8" t="n"/>
      <c r="U196" s="8" t="n"/>
      <c r="V196" s="8" t="n"/>
    </row>
    <row r="197">
      <c r="A197" s="8" t="n"/>
      <c r="B197" s="61" t="n"/>
      <c r="C197" s="8" t="n"/>
      <c r="D197" s="62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61" t="n"/>
      <c r="N197" s="63" t="n"/>
      <c r="O197" s="8" t="n"/>
      <c r="P197" s="8" t="n"/>
      <c r="Q197" s="8" t="n"/>
      <c r="R197" s="8" t="n"/>
      <c r="S197" s="8" t="n"/>
      <c r="T197" s="8" t="n"/>
      <c r="U197" s="8" t="n"/>
      <c r="V197" s="8" t="n"/>
    </row>
    <row r="198">
      <c r="A198" s="8" t="n"/>
      <c r="B198" s="61" t="n"/>
      <c r="C198" s="8" t="n"/>
      <c r="D198" s="62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61" t="n"/>
      <c r="N198" s="63" t="n"/>
      <c r="O198" s="8" t="n"/>
      <c r="P198" s="8" t="n"/>
      <c r="Q198" s="8" t="n"/>
      <c r="R198" s="8" t="n"/>
      <c r="S198" s="8" t="n"/>
      <c r="T198" s="8" t="n"/>
      <c r="U198" s="8" t="n"/>
      <c r="V198" s="8" t="n"/>
    </row>
    <row r="199">
      <c r="A199" s="8" t="n"/>
      <c r="B199" s="61" t="n"/>
      <c r="C199" s="8" t="n"/>
      <c r="D199" s="62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61" t="n"/>
      <c r="N199" s="63" t="n"/>
      <c r="O199" s="8" t="n"/>
      <c r="P199" s="8" t="n"/>
      <c r="Q199" s="8" t="n"/>
      <c r="R199" s="8" t="n"/>
      <c r="S199" s="8" t="n"/>
      <c r="T199" s="8" t="n"/>
      <c r="U199" s="8" t="n"/>
      <c r="V199" s="8" t="n"/>
    </row>
    <row r="200">
      <c r="A200" s="8" t="n"/>
      <c r="B200" s="61" t="n"/>
      <c r="C200" s="8" t="n"/>
      <c r="D200" s="62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61" t="n"/>
      <c r="N200" s="63" t="n"/>
      <c r="O200" s="8" t="n"/>
      <c r="P200" s="8" t="n"/>
      <c r="Q200" s="8" t="n"/>
      <c r="R200" s="8" t="n"/>
      <c r="S200" s="8" t="n"/>
      <c r="T200" s="8" t="n"/>
      <c r="U200" s="8" t="n"/>
      <c r="V200" s="8" t="n"/>
    </row>
    <row r="201">
      <c r="A201" s="8" t="n"/>
      <c r="B201" s="61" t="n"/>
      <c r="C201" s="8" t="n"/>
      <c r="D201" s="62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61" t="n"/>
      <c r="N201" s="63" t="n"/>
      <c r="O201" s="8" t="n"/>
      <c r="P201" s="8" t="n"/>
      <c r="Q201" s="8" t="n"/>
      <c r="R201" s="8" t="n"/>
      <c r="S201" s="8" t="n"/>
      <c r="T201" s="8" t="n"/>
      <c r="U201" s="8" t="n"/>
      <c r="V201" s="8" t="n"/>
    </row>
    <row r="202">
      <c r="A202" s="8" t="n"/>
      <c r="B202" s="61" t="n"/>
      <c r="C202" s="8" t="n"/>
      <c r="D202" s="62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61" t="n"/>
      <c r="N202" s="63" t="n"/>
      <c r="O202" s="8" t="n"/>
      <c r="P202" s="8" t="n"/>
      <c r="Q202" s="8" t="n"/>
      <c r="R202" s="8" t="n"/>
      <c r="S202" s="8" t="n"/>
      <c r="T202" s="8" t="n"/>
      <c r="U202" s="8" t="n"/>
      <c r="V202" s="8" t="n"/>
    </row>
    <row r="203">
      <c r="A203" s="8" t="n"/>
      <c r="B203" s="61" t="n"/>
      <c r="C203" s="8" t="n"/>
      <c r="D203" s="62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61" t="n"/>
      <c r="N203" s="63" t="n"/>
      <c r="O203" s="8" t="n"/>
      <c r="P203" s="8" t="n"/>
      <c r="Q203" s="8" t="n"/>
      <c r="R203" s="8" t="n"/>
      <c r="S203" s="8" t="n"/>
      <c r="T203" s="8" t="n"/>
      <c r="U203" s="8" t="n"/>
      <c r="V203" s="8" t="n"/>
    </row>
    <row r="204">
      <c r="A204" s="8" t="n"/>
      <c r="B204" s="61" t="n"/>
      <c r="C204" s="8" t="n"/>
      <c r="D204" s="62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61" t="n"/>
      <c r="N204" s="63" t="n"/>
      <c r="O204" s="8" t="n"/>
      <c r="P204" s="8" t="n"/>
      <c r="Q204" s="8" t="n"/>
      <c r="R204" s="8" t="n"/>
      <c r="S204" s="8" t="n"/>
      <c r="T204" s="8" t="n"/>
      <c r="U204" s="8" t="n"/>
      <c r="V204" s="8" t="n"/>
    </row>
    <row r="205">
      <c r="A205" s="8" t="n"/>
      <c r="B205" s="61" t="n"/>
      <c r="C205" s="8" t="n"/>
      <c r="D205" s="62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61" t="n"/>
      <c r="N205" s="63" t="n"/>
      <c r="O205" s="8" t="n"/>
      <c r="P205" s="8" t="n"/>
      <c r="Q205" s="8" t="n"/>
      <c r="R205" s="8" t="n"/>
      <c r="S205" s="8" t="n"/>
      <c r="T205" s="8" t="n"/>
      <c r="U205" s="8" t="n"/>
      <c r="V205" s="8" t="n"/>
    </row>
    <row r="206">
      <c r="A206" s="8" t="n"/>
      <c r="B206" s="61" t="n"/>
      <c r="C206" s="8" t="n"/>
      <c r="D206" s="62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61" t="n"/>
      <c r="N206" s="63" t="n"/>
      <c r="O206" s="8" t="n"/>
      <c r="P206" s="8" t="n"/>
      <c r="Q206" s="8" t="n"/>
      <c r="R206" s="8" t="n"/>
      <c r="S206" s="8" t="n"/>
      <c r="T206" s="8" t="n"/>
      <c r="U206" s="8" t="n"/>
      <c r="V206" s="8" t="n"/>
    </row>
    <row r="207">
      <c r="A207" s="8" t="n"/>
      <c r="B207" s="61" t="n"/>
      <c r="C207" s="8" t="n"/>
      <c r="D207" s="62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61" t="n"/>
      <c r="N207" s="63" t="n"/>
      <c r="O207" s="8" t="n"/>
      <c r="P207" s="8" t="n"/>
      <c r="Q207" s="8" t="n"/>
      <c r="R207" s="8" t="n"/>
      <c r="S207" s="8" t="n"/>
      <c r="T207" s="8" t="n"/>
      <c r="U207" s="8" t="n"/>
      <c r="V207" s="8" t="n"/>
    </row>
    <row r="208">
      <c r="A208" s="8" t="n"/>
      <c r="B208" s="61" t="n"/>
      <c r="C208" s="8" t="n"/>
      <c r="D208" s="62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61" t="n"/>
      <c r="N208" s="63" t="n"/>
      <c r="O208" s="8" t="n"/>
      <c r="P208" s="8" t="n"/>
      <c r="Q208" s="8" t="n"/>
      <c r="R208" s="8" t="n"/>
      <c r="S208" s="8" t="n"/>
      <c r="T208" s="8" t="n"/>
      <c r="U208" s="8" t="n"/>
      <c r="V208" s="8" t="n"/>
    </row>
    <row r="209">
      <c r="A209" s="8" t="n"/>
      <c r="B209" s="61" t="n"/>
      <c r="C209" s="8" t="n"/>
      <c r="D209" s="62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61" t="n"/>
      <c r="N209" s="63" t="n"/>
      <c r="O209" s="8" t="n"/>
      <c r="P209" s="8" t="n"/>
      <c r="Q209" s="8" t="n"/>
      <c r="R209" s="8" t="n"/>
      <c r="S209" s="8" t="n"/>
      <c r="T209" s="8" t="n"/>
      <c r="U209" s="8" t="n"/>
      <c r="V209" s="8" t="n"/>
    </row>
    <row r="210">
      <c r="A210" s="8" t="n"/>
      <c r="B210" s="61" t="n"/>
      <c r="C210" s="8" t="n"/>
      <c r="D210" s="62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61" t="n"/>
      <c r="N210" s="63" t="n"/>
      <c r="O210" s="8" t="n"/>
      <c r="P210" s="8" t="n"/>
      <c r="Q210" s="8" t="n"/>
      <c r="R210" s="8" t="n"/>
      <c r="S210" s="8" t="n"/>
      <c r="T210" s="8" t="n"/>
      <c r="U210" s="8" t="n"/>
      <c r="V210" s="8" t="n"/>
    </row>
    <row r="211">
      <c r="A211" s="8" t="n"/>
      <c r="B211" s="61" t="n"/>
      <c r="C211" s="8" t="n"/>
      <c r="D211" s="62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61" t="n"/>
      <c r="N211" s="63" t="n"/>
      <c r="O211" s="8" t="n"/>
      <c r="P211" s="8" t="n"/>
      <c r="Q211" s="8" t="n"/>
      <c r="R211" s="8" t="n"/>
      <c r="S211" s="8" t="n"/>
      <c r="T211" s="8" t="n"/>
      <c r="U211" s="8" t="n"/>
      <c r="V211" s="8" t="n"/>
    </row>
    <row r="212">
      <c r="A212" s="8" t="n"/>
      <c r="B212" s="61" t="n"/>
      <c r="C212" s="8" t="n"/>
      <c r="D212" s="62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61" t="n"/>
      <c r="N212" s="63" t="n"/>
      <c r="O212" s="8" t="n"/>
      <c r="P212" s="8" t="n"/>
      <c r="Q212" s="8" t="n"/>
      <c r="R212" s="8" t="n"/>
      <c r="S212" s="8" t="n"/>
      <c r="T212" s="8" t="n"/>
      <c r="U212" s="8" t="n"/>
      <c r="V212" s="8" t="n"/>
    </row>
    <row r="213">
      <c r="A213" s="8" t="n"/>
      <c r="B213" s="61" t="n"/>
      <c r="C213" s="8" t="n"/>
      <c r="D213" s="62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61" t="n"/>
      <c r="N213" s="63" t="n"/>
      <c r="O213" s="8" t="n"/>
      <c r="P213" s="8" t="n"/>
      <c r="Q213" s="8" t="n"/>
      <c r="R213" s="8" t="n"/>
      <c r="S213" s="8" t="n"/>
      <c r="T213" s="8" t="n"/>
      <c r="U213" s="8" t="n"/>
      <c r="V213" s="8" t="n"/>
    </row>
    <row r="214">
      <c r="A214" s="8" t="n"/>
      <c r="B214" s="61" t="n"/>
      <c r="C214" s="8" t="n"/>
      <c r="D214" s="62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61" t="n"/>
      <c r="N214" s="63" t="n"/>
      <c r="O214" s="8" t="n"/>
      <c r="P214" s="8" t="n"/>
      <c r="Q214" s="8" t="n"/>
      <c r="R214" s="8" t="n"/>
      <c r="S214" s="8" t="n"/>
      <c r="T214" s="8" t="n"/>
      <c r="U214" s="8" t="n"/>
      <c r="V214" s="8" t="n"/>
    </row>
    <row r="215">
      <c r="A215" s="8" t="n"/>
      <c r="B215" s="61" t="n"/>
      <c r="C215" s="8" t="n"/>
      <c r="D215" s="62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61" t="n"/>
      <c r="N215" s="63" t="n"/>
      <c r="O215" s="8" t="n"/>
      <c r="P215" s="8" t="n"/>
      <c r="Q215" s="8" t="n"/>
      <c r="R215" s="8" t="n"/>
      <c r="S215" s="8" t="n"/>
      <c r="T215" s="8" t="n"/>
      <c r="U215" s="8" t="n"/>
      <c r="V215" s="8" t="n"/>
    </row>
    <row r="216">
      <c r="A216" s="8" t="n"/>
      <c r="B216" s="61" t="n"/>
      <c r="C216" s="8" t="n"/>
      <c r="D216" s="62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61" t="n"/>
      <c r="N216" s="63" t="n"/>
      <c r="O216" s="8" t="n"/>
      <c r="P216" s="8" t="n"/>
      <c r="Q216" s="8" t="n"/>
      <c r="R216" s="8" t="n"/>
      <c r="S216" s="8" t="n"/>
      <c r="T216" s="8" t="n"/>
      <c r="U216" s="8" t="n"/>
      <c r="V216" s="8" t="n"/>
    </row>
    <row r="217">
      <c r="A217" s="8" t="n"/>
      <c r="B217" s="61" t="n"/>
      <c r="C217" s="8" t="n"/>
      <c r="D217" s="62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61" t="n"/>
      <c r="N217" s="63" t="n"/>
      <c r="O217" s="8" t="n"/>
      <c r="P217" s="8" t="n"/>
      <c r="Q217" s="8" t="n"/>
      <c r="R217" s="8" t="n"/>
      <c r="S217" s="8" t="n"/>
      <c r="T217" s="8" t="n"/>
      <c r="U217" s="8" t="n"/>
      <c r="V217" s="8" t="n"/>
    </row>
    <row r="218">
      <c r="A218" s="8" t="n"/>
      <c r="B218" s="61" t="n"/>
      <c r="C218" s="8" t="n"/>
      <c r="D218" s="62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61" t="n"/>
      <c r="N218" s="63" t="n"/>
      <c r="O218" s="8" t="n"/>
      <c r="P218" s="8" t="n"/>
      <c r="Q218" s="8" t="n"/>
      <c r="R218" s="8" t="n"/>
      <c r="S218" s="8" t="n"/>
      <c r="T218" s="8" t="n"/>
      <c r="U218" s="8" t="n"/>
      <c r="V218" s="8" t="n"/>
    </row>
    <row r="219">
      <c r="A219" s="8" t="n"/>
      <c r="B219" s="61" t="n"/>
      <c r="C219" s="8" t="n"/>
      <c r="D219" s="62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61" t="n"/>
      <c r="N219" s="63" t="n"/>
      <c r="O219" s="8" t="n"/>
      <c r="P219" s="8" t="n"/>
      <c r="Q219" s="8" t="n"/>
      <c r="R219" s="8" t="n"/>
      <c r="S219" s="8" t="n"/>
      <c r="T219" s="8" t="n"/>
      <c r="U219" s="8" t="n"/>
      <c r="V219" s="8" t="n"/>
    </row>
    <row r="220">
      <c r="A220" s="8" t="n"/>
      <c r="B220" s="61" t="n"/>
      <c r="C220" s="8" t="n"/>
      <c r="D220" s="62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61" t="n"/>
      <c r="N220" s="63" t="n"/>
      <c r="O220" s="8" t="n"/>
      <c r="P220" s="8" t="n"/>
      <c r="Q220" s="8" t="n"/>
      <c r="R220" s="8" t="n"/>
      <c r="S220" s="8" t="n"/>
      <c r="T220" s="8" t="n"/>
      <c r="U220" s="8" t="n"/>
      <c r="V220" s="8" t="n"/>
    </row>
    <row r="221">
      <c r="A221" s="8" t="n"/>
      <c r="B221" s="61" t="n"/>
      <c r="C221" s="8" t="n"/>
      <c r="D221" s="62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61" t="n"/>
      <c r="N221" s="63" t="n"/>
      <c r="O221" s="8" t="n"/>
      <c r="P221" s="8" t="n"/>
      <c r="Q221" s="8" t="n"/>
      <c r="R221" s="8" t="n"/>
      <c r="S221" s="8" t="n"/>
      <c r="T221" s="8" t="n"/>
      <c r="U221" s="8" t="n"/>
      <c r="V221" s="8" t="n"/>
    </row>
    <row r="222">
      <c r="A222" s="8" t="n"/>
      <c r="B222" s="61" t="n"/>
      <c r="C222" s="8" t="n"/>
      <c r="D222" s="62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61" t="n"/>
      <c r="N222" s="63" t="n"/>
      <c r="O222" s="8" t="n"/>
      <c r="P222" s="8" t="n"/>
      <c r="Q222" s="8" t="n"/>
      <c r="R222" s="8" t="n"/>
      <c r="S222" s="8" t="n"/>
      <c r="T222" s="8" t="n"/>
      <c r="U222" s="8" t="n"/>
      <c r="V222" s="8" t="n"/>
    </row>
    <row r="223">
      <c r="A223" s="8" t="n"/>
      <c r="B223" s="61" t="n"/>
      <c r="C223" s="8" t="n"/>
      <c r="D223" s="62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61" t="n"/>
      <c r="N223" s="63" t="n"/>
      <c r="O223" s="8" t="n"/>
      <c r="P223" s="8" t="n"/>
      <c r="Q223" s="8" t="n"/>
      <c r="R223" s="8" t="n"/>
      <c r="S223" s="8" t="n"/>
      <c r="T223" s="8" t="n"/>
      <c r="U223" s="8" t="n"/>
      <c r="V223" s="8" t="n"/>
    </row>
    <row r="224">
      <c r="A224" s="8" t="n"/>
      <c r="B224" s="61" t="n"/>
      <c r="C224" s="8" t="n"/>
      <c r="D224" s="62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61" t="n"/>
      <c r="N224" s="63" t="n"/>
      <c r="O224" s="8" t="n"/>
      <c r="P224" s="8" t="n"/>
      <c r="Q224" s="8" t="n"/>
      <c r="R224" s="8" t="n"/>
      <c r="S224" s="8" t="n"/>
      <c r="T224" s="8" t="n"/>
      <c r="U224" s="8" t="n"/>
      <c r="V224" s="8" t="n"/>
    </row>
    <row r="225">
      <c r="A225" s="8" t="n"/>
      <c r="B225" s="61" t="n"/>
      <c r="C225" s="8" t="n"/>
      <c r="D225" s="62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61" t="n"/>
      <c r="N225" s="63" t="n"/>
      <c r="O225" s="8" t="n"/>
      <c r="P225" s="8" t="n"/>
      <c r="Q225" s="8" t="n"/>
      <c r="R225" s="8" t="n"/>
      <c r="S225" s="8" t="n"/>
      <c r="T225" s="8" t="n"/>
      <c r="U225" s="8" t="n"/>
      <c r="V225" s="8" t="n"/>
    </row>
    <row r="226">
      <c r="A226" s="8" t="n"/>
      <c r="B226" s="61" t="n"/>
      <c r="C226" s="8" t="n"/>
      <c r="D226" s="62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61" t="n"/>
      <c r="N226" s="63" t="n"/>
      <c r="O226" s="8" t="n"/>
      <c r="P226" s="8" t="n"/>
      <c r="Q226" s="8" t="n"/>
      <c r="R226" s="8" t="n"/>
      <c r="S226" s="8" t="n"/>
      <c r="T226" s="8" t="n"/>
      <c r="U226" s="8" t="n"/>
      <c r="V226" s="8" t="n"/>
    </row>
    <row r="227">
      <c r="A227" s="8" t="n"/>
      <c r="B227" s="61" t="n"/>
      <c r="C227" s="8" t="n"/>
      <c r="D227" s="62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61" t="n"/>
      <c r="N227" s="63" t="n"/>
      <c r="O227" s="8" t="n"/>
      <c r="P227" s="8" t="n"/>
      <c r="Q227" s="8" t="n"/>
      <c r="R227" s="8" t="n"/>
      <c r="S227" s="8" t="n"/>
      <c r="T227" s="8" t="n"/>
      <c r="U227" s="8" t="n"/>
      <c r="V227" s="8" t="n"/>
    </row>
    <row r="228">
      <c r="A228" s="8" t="n"/>
      <c r="B228" s="61" t="n"/>
      <c r="C228" s="8" t="n"/>
      <c r="D228" s="62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61" t="n"/>
      <c r="N228" s="63" t="n"/>
      <c r="O228" s="8" t="n"/>
      <c r="P228" s="8" t="n"/>
      <c r="Q228" s="8" t="n"/>
      <c r="R228" s="8" t="n"/>
      <c r="S228" s="8" t="n"/>
      <c r="T228" s="8" t="n"/>
      <c r="U228" s="8" t="n"/>
      <c r="V228" s="8" t="n"/>
    </row>
    <row r="229">
      <c r="A229" s="8" t="n"/>
      <c r="B229" s="61" t="n"/>
      <c r="C229" s="8" t="n"/>
      <c r="D229" s="62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61" t="n"/>
      <c r="N229" s="63" t="n"/>
      <c r="O229" s="8" t="n"/>
      <c r="P229" s="8" t="n"/>
      <c r="Q229" s="8" t="n"/>
      <c r="R229" s="8" t="n"/>
      <c r="S229" s="8" t="n"/>
      <c r="T229" s="8" t="n"/>
      <c r="U229" s="8" t="n"/>
      <c r="V229" s="8" t="n"/>
    </row>
    <row r="230">
      <c r="A230" s="8" t="n"/>
      <c r="B230" s="61" t="n"/>
      <c r="C230" s="8" t="n"/>
      <c r="D230" s="62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61" t="n"/>
      <c r="N230" s="63" t="n"/>
      <c r="O230" s="8" t="n"/>
      <c r="P230" s="8" t="n"/>
      <c r="Q230" s="8" t="n"/>
      <c r="R230" s="8" t="n"/>
      <c r="S230" s="8" t="n"/>
      <c r="T230" s="8" t="n"/>
      <c r="U230" s="8" t="n"/>
      <c r="V230" s="8" t="n"/>
    </row>
    <row r="231">
      <c r="A231" s="8" t="n"/>
      <c r="B231" s="61" t="n"/>
      <c r="C231" s="8" t="n"/>
      <c r="D231" s="62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61" t="n"/>
      <c r="N231" s="63" t="n"/>
      <c r="O231" s="8" t="n"/>
      <c r="P231" s="8" t="n"/>
      <c r="Q231" s="8" t="n"/>
      <c r="R231" s="8" t="n"/>
      <c r="S231" s="8" t="n"/>
      <c r="T231" s="8" t="n"/>
      <c r="U231" s="8" t="n"/>
      <c r="V231" s="8" t="n"/>
    </row>
    <row r="232">
      <c r="A232" s="8" t="n"/>
      <c r="B232" s="61" t="n"/>
      <c r="C232" s="8" t="n"/>
      <c r="D232" s="62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61" t="n"/>
      <c r="N232" s="63" t="n"/>
      <c r="O232" s="8" t="n"/>
      <c r="P232" s="8" t="n"/>
      <c r="Q232" s="8" t="n"/>
      <c r="R232" s="8" t="n"/>
      <c r="S232" s="8" t="n"/>
      <c r="T232" s="8" t="n"/>
      <c r="U232" s="8" t="n"/>
      <c r="V232" s="8" t="n"/>
    </row>
    <row r="233">
      <c r="A233" s="8" t="n"/>
      <c r="B233" s="61" t="n"/>
      <c r="C233" s="8" t="n"/>
      <c r="D233" s="62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61" t="n"/>
      <c r="N233" s="63" t="n"/>
      <c r="O233" s="8" t="n"/>
      <c r="P233" s="8" t="n"/>
      <c r="Q233" s="8" t="n"/>
      <c r="R233" s="8" t="n"/>
      <c r="S233" s="8" t="n"/>
      <c r="T233" s="8" t="n"/>
      <c r="U233" s="8" t="n"/>
      <c r="V233" s="8" t="n"/>
    </row>
    <row r="234">
      <c r="A234" s="8" t="n"/>
      <c r="B234" s="61" t="n"/>
      <c r="C234" s="8" t="n"/>
      <c r="D234" s="62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61" t="n"/>
      <c r="N234" s="63" t="n"/>
      <c r="O234" s="8" t="n"/>
      <c r="P234" s="8" t="n"/>
      <c r="Q234" s="8" t="n"/>
      <c r="R234" s="8" t="n"/>
      <c r="S234" s="8" t="n"/>
      <c r="T234" s="8" t="n"/>
      <c r="U234" s="8" t="n"/>
      <c r="V234" s="8" t="n"/>
    </row>
    <row r="235">
      <c r="A235" s="8" t="n"/>
      <c r="B235" s="61" t="n"/>
      <c r="C235" s="8" t="n"/>
      <c r="D235" s="62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61" t="n"/>
      <c r="N235" s="63" t="n"/>
      <c r="O235" s="8" t="n"/>
      <c r="P235" s="8" t="n"/>
      <c r="Q235" s="8" t="n"/>
      <c r="R235" s="8" t="n"/>
      <c r="S235" s="8" t="n"/>
      <c r="T235" s="8" t="n"/>
      <c r="U235" s="8" t="n"/>
      <c r="V235" s="8" t="n"/>
    </row>
    <row r="236">
      <c r="A236" s="8" t="n"/>
      <c r="B236" s="61" t="n"/>
      <c r="C236" s="8" t="n"/>
      <c r="D236" s="62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61" t="n"/>
      <c r="N236" s="63" t="n"/>
      <c r="O236" s="8" t="n"/>
      <c r="P236" s="8" t="n"/>
      <c r="Q236" s="8" t="n"/>
      <c r="R236" s="8" t="n"/>
      <c r="S236" s="8" t="n"/>
      <c r="T236" s="8" t="n"/>
      <c r="U236" s="8" t="n"/>
      <c r="V236" s="8" t="n"/>
    </row>
    <row r="237">
      <c r="A237" s="8" t="n"/>
      <c r="B237" s="61" t="n"/>
      <c r="C237" s="8" t="n"/>
      <c r="D237" s="62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61" t="n"/>
      <c r="N237" s="63" t="n"/>
      <c r="O237" s="8" t="n"/>
      <c r="P237" s="8" t="n"/>
      <c r="Q237" s="8" t="n"/>
      <c r="R237" s="8" t="n"/>
      <c r="S237" s="8" t="n"/>
      <c r="T237" s="8" t="n"/>
      <c r="U237" s="8" t="n"/>
      <c r="V237" s="8" t="n"/>
    </row>
    <row r="238">
      <c r="A238" s="8" t="n"/>
      <c r="B238" s="61" t="n"/>
      <c r="C238" s="8" t="n"/>
      <c r="D238" s="62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61" t="n"/>
      <c r="N238" s="63" t="n"/>
      <c r="O238" s="8" t="n"/>
      <c r="P238" s="8" t="n"/>
      <c r="Q238" s="8" t="n"/>
      <c r="R238" s="8" t="n"/>
      <c r="S238" s="8" t="n"/>
      <c r="T238" s="8" t="n"/>
      <c r="U238" s="8" t="n"/>
      <c r="V238" s="8" t="n"/>
    </row>
    <row r="239">
      <c r="A239" s="8" t="n"/>
      <c r="B239" s="61" t="n"/>
      <c r="C239" s="8" t="n"/>
      <c r="D239" s="62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61" t="n"/>
      <c r="N239" s="63" t="n"/>
      <c r="O239" s="8" t="n"/>
      <c r="P239" s="8" t="n"/>
      <c r="Q239" s="8" t="n"/>
      <c r="R239" s="8" t="n"/>
      <c r="S239" s="8" t="n"/>
      <c r="T239" s="8" t="n"/>
      <c r="U239" s="8" t="n"/>
      <c r="V239" s="8" t="n"/>
    </row>
    <row r="240">
      <c r="A240" s="8" t="n"/>
      <c r="B240" s="61" t="n"/>
      <c r="C240" s="8" t="n"/>
      <c r="D240" s="62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61" t="n"/>
      <c r="N240" s="63" t="n"/>
      <c r="O240" s="8" t="n"/>
      <c r="P240" s="8" t="n"/>
      <c r="Q240" s="8" t="n"/>
      <c r="R240" s="8" t="n"/>
      <c r="S240" s="8" t="n"/>
      <c r="T240" s="8" t="n"/>
      <c r="U240" s="8" t="n"/>
      <c r="V240" s="8" t="n"/>
    </row>
    <row r="241">
      <c r="A241" s="8" t="n"/>
      <c r="B241" s="61" t="n"/>
      <c r="C241" s="8" t="n"/>
      <c r="D241" s="62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61" t="n"/>
      <c r="N241" s="63" t="n"/>
      <c r="O241" s="8" t="n"/>
      <c r="P241" s="8" t="n"/>
      <c r="Q241" s="8" t="n"/>
      <c r="R241" s="8" t="n"/>
      <c r="S241" s="8" t="n"/>
      <c r="T241" s="8" t="n"/>
      <c r="U241" s="8" t="n"/>
      <c r="V241" s="8" t="n"/>
    </row>
    <row r="242">
      <c r="A242" s="8" t="n"/>
      <c r="B242" s="61" t="n"/>
      <c r="C242" s="8" t="n"/>
      <c r="D242" s="62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61" t="n"/>
      <c r="N242" s="63" t="n"/>
      <c r="O242" s="8" t="n"/>
      <c r="P242" s="8" t="n"/>
      <c r="Q242" s="8" t="n"/>
      <c r="R242" s="8" t="n"/>
      <c r="S242" s="8" t="n"/>
      <c r="T242" s="8" t="n"/>
      <c r="U242" s="8" t="n"/>
      <c r="V242" s="8" t="n"/>
    </row>
    <row r="243">
      <c r="A243" s="8" t="n"/>
      <c r="B243" s="61" t="n"/>
      <c r="C243" s="8" t="n"/>
      <c r="D243" s="62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61" t="n"/>
      <c r="N243" s="63" t="n"/>
      <c r="O243" s="8" t="n"/>
      <c r="P243" s="8" t="n"/>
      <c r="Q243" s="8" t="n"/>
      <c r="R243" s="8" t="n"/>
      <c r="S243" s="8" t="n"/>
      <c r="T243" s="8" t="n"/>
      <c r="U243" s="8" t="n"/>
      <c r="V243" s="8" t="n"/>
    </row>
    <row r="244">
      <c r="A244" s="8" t="n"/>
      <c r="B244" s="61" t="n"/>
      <c r="C244" s="8" t="n"/>
      <c r="D244" s="62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61" t="n"/>
      <c r="N244" s="63" t="n"/>
      <c r="O244" s="8" t="n"/>
      <c r="P244" s="8" t="n"/>
      <c r="Q244" s="8" t="n"/>
      <c r="R244" s="8" t="n"/>
      <c r="S244" s="8" t="n"/>
      <c r="T244" s="8" t="n"/>
      <c r="U244" s="8" t="n"/>
      <c r="V244" s="8" t="n"/>
    </row>
    <row r="245">
      <c r="A245" s="8" t="n"/>
      <c r="B245" s="61" t="n"/>
      <c r="C245" s="8" t="n"/>
      <c r="D245" s="62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61" t="n"/>
      <c r="N245" s="63" t="n"/>
      <c r="O245" s="8" t="n"/>
      <c r="P245" s="8" t="n"/>
      <c r="Q245" s="8" t="n"/>
      <c r="R245" s="8" t="n"/>
      <c r="S245" s="8" t="n"/>
      <c r="T245" s="8" t="n"/>
      <c r="U245" s="8" t="n"/>
      <c r="V245" s="8" t="n"/>
    </row>
    <row r="246">
      <c r="A246" s="8" t="n"/>
      <c r="B246" s="61" t="n"/>
      <c r="C246" s="8" t="n"/>
      <c r="D246" s="62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61" t="n"/>
      <c r="N246" s="63" t="n"/>
      <c r="O246" s="8" t="n"/>
      <c r="P246" s="8" t="n"/>
      <c r="Q246" s="8" t="n"/>
      <c r="R246" s="8" t="n"/>
      <c r="S246" s="8" t="n"/>
      <c r="T246" s="8" t="n"/>
      <c r="U246" s="8" t="n"/>
      <c r="V246" s="8" t="n"/>
    </row>
    <row r="247">
      <c r="A247" s="8" t="n"/>
      <c r="B247" s="61" t="n"/>
      <c r="C247" s="8" t="n"/>
      <c r="D247" s="62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61" t="n"/>
      <c r="N247" s="63" t="n"/>
      <c r="O247" s="8" t="n"/>
      <c r="P247" s="8" t="n"/>
      <c r="Q247" s="8" t="n"/>
      <c r="R247" s="8" t="n"/>
      <c r="S247" s="8" t="n"/>
      <c r="T247" s="8" t="n"/>
      <c r="U247" s="8" t="n"/>
      <c r="V247" s="8" t="n"/>
    </row>
    <row r="248">
      <c r="A248" s="8" t="n"/>
      <c r="B248" s="61" t="n"/>
      <c r="C248" s="8" t="n"/>
      <c r="D248" s="62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61" t="n"/>
      <c r="N248" s="63" t="n"/>
      <c r="O248" s="8" t="n"/>
      <c r="P248" s="8" t="n"/>
      <c r="Q248" s="8" t="n"/>
      <c r="R248" s="8" t="n"/>
      <c r="S248" s="8" t="n"/>
      <c r="T248" s="8" t="n"/>
      <c r="U248" s="8" t="n"/>
      <c r="V248" s="8" t="n"/>
    </row>
    <row r="249">
      <c r="A249" s="8" t="n"/>
      <c r="B249" s="61" t="n"/>
      <c r="C249" s="8" t="n"/>
      <c r="D249" s="62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61" t="n"/>
      <c r="N249" s="63" t="n"/>
      <c r="O249" s="8" t="n"/>
      <c r="P249" s="8" t="n"/>
      <c r="Q249" s="8" t="n"/>
      <c r="R249" s="8" t="n"/>
      <c r="S249" s="8" t="n"/>
      <c r="T249" s="8" t="n"/>
      <c r="U249" s="8" t="n"/>
      <c r="V249" s="8" t="n"/>
    </row>
    <row r="250">
      <c r="A250" s="8" t="n"/>
      <c r="B250" s="61" t="n"/>
      <c r="C250" s="8" t="n"/>
      <c r="D250" s="62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61" t="n"/>
      <c r="N250" s="63" t="n"/>
      <c r="O250" s="8" t="n"/>
      <c r="P250" s="8" t="n"/>
      <c r="Q250" s="8" t="n"/>
      <c r="R250" s="8" t="n"/>
      <c r="S250" s="8" t="n"/>
      <c r="T250" s="8" t="n"/>
      <c r="U250" s="8" t="n"/>
      <c r="V250" s="8" t="n"/>
    </row>
    <row r="251">
      <c r="A251" s="8" t="n"/>
      <c r="B251" s="61" t="n"/>
      <c r="C251" s="8" t="n"/>
      <c r="D251" s="62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61" t="n"/>
      <c r="N251" s="63" t="n"/>
      <c r="O251" s="8" t="n"/>
      <c r="P251" s="8" t="n"/>
      <c r="Q251" s="8" t="n"/>
      <c r="R251" s="8" t="n"/>
      <c r="S251" s="8" t="n"/>
      <c r="T251" s="8" t="n"/>
      <c r="U251" s="8" t="n"/>
      <c r="V251" s="8" t="n"/>
    </row>
    <row r="252">
      <c r="A252" s="8" t="n"/>
      <c r="B252" s="61" t="n"/>
      <c r="C252" s="8" t="n"/>
      <c r="D252" s="62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61" t="n"/>
      <c r="N252" s="63" t="n"/>
      <c r="O252" s="8" t="n"/>
      <c r="P252" s="8" t="n"/>
      <c r="Q252" s="8" t="n"/>
      <c r="R252" s="8" t="n"/>
      <c r="S252" s="8" t="n"/>
      <c r="T252" s="8" t="n"/>
      <c r="U252" s="8" t="n"/>
      <c r="V252" s="8" t="n"/>
    </row>
    <row r="253">
      <c r="A253" s="8" t="n"/>
      <c r="B253" s="61" t="n"/>
      <c r="C253" s="8" t="n"/>
      <c r="D253" s="62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61" t="n"/>
      <c r="N253" s="63" t="n"/>
      <c r="O253" s="8" t="n"/>
      <c r="P253" s="8" t="n"/>
      <c r="Q253" s="8" t="n"/>
      <c r="R253" s="8" t="n"/>
      <c r="S253" s="8" t="n"/>
      <c r="T253" s="8" t="n"/>
      <c r="U253" s="8" t="n"/>
      <c r="V253" s="8" t="n"/>
    </row>
    <row r="254">
      <c r="A254" s="8" t="n"/>
      <c r="B254" s="61" t="n"/>
      <c r="C254" s="8" t="n"/>
      <c r="D254" s="62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61" t="n"/>
      <c r="N254" s="63" t="n"/>
      <c r="O254" s="8" t="n"/>
      <c r="P254" s="8" t="n"/>
      <c r="Q254" s="8" t="n"/>
      <c r="R254" s="8" t="n"/>
      <c r="S254" s="8" t="n"/>
      <c r="T254" s="8" t="n"/>
      <c r="U254" s="8" t="n"/>
      <c r="V254" s="8" t="n"/>
    </row>
    <row r="255">
      <c r="A255" s="8" t="n"/>
      <c r="B255" s="61" t="n"/>
      <c r="C255" s="8" t="n"/>
      <c r="D255" s="62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61" t="n"/>
      <c r="N255" s="63" t="n"/>
      <c r="O255" s="8" t="n"/>
      <c r="P255" s="8" t="n"/>
      <c r="Q255" s="8" t="n"/>
      <c r="R255" s="8" t="n"/>
      <c r="S255" s="8" t="n"/>
      <c r="T255" s="8" t="n"/>
      <c r="U255" s="8" t="n"/>
      <c r="V255" s="8" t="n"/>
    </row>
    <row r="256">
      <c r="A256" s="8" t="n"/>
      <c r="B256" s="61" t="n"/>
      <c r="C256" s="8" t="n"/>
      <c r="D256" s="62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61" t="n"/>
      <c r="N256" s="63" t="n"/>
      <c r="O256" s="8" t="n"/>
      <c r="P256" s="8" t="n"/>
      <c r="Q256" s="8" t="n"/>
      <c r="R256" s="8" t="n"/>
      <c r="S256" s="8" t="n"/>
      <c r="T256" s="8" t="n"/>
      <c r="U256" s="8" t="n"/>
      <c r="V256" s="8" t="n"/>
    </row>
    <row r="257">
      <c r="A257" s="8" t="n"/>
      <c r="B257" s="61" t="n"/>
      <c r="C257" s="8" t="n"/>
      <c r="D257" s="62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61" t="n"/>
      <c r="N257" s="63" t="n"/>
      <c r="O257" s="8" t="n"/>
      <c r="P257" s="8" t="n"/>
      <c r="Q257" s="8" t="n"/>
      <c r="R257" s="8" t="n"/>
      <c r="S257" s="8" t="n"/>
      <c r="T257" s="8" t="n"/>
      <c r="U257" s="8" t="n"/>
      <c r="V257" s="8" t="n"/>
    </row>
    <row r="258">
      <c r="A258" s="8" t="n"/>
      <c r="B258" s="61" t="n"/>
      <c r="C258" s="8" t="n"/>
      <c r="D258" s="62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61" t="n"/>
      <c r="N258" s="63" t="n"/>
      <c r="O258" s="8" t="n"/>
      <c r="P258" s="8" t="n"/>
      <c r="Q258" s="8" t="n"/>
      <c r="R258" s="8" t="n"/>
      <c r="S258" s="8" t="n"/>
      <c r="T258" s="8" t="n"/>
      <c r="U258" s="8" t="n"/>
      <c r="V258" s="8" t="n"/>
    </row>
    <row r="259">
      <c r="A259" s="8" t="n"/>
      <c r="B259" s="61" t="n"/>
      <c r="C259" s="8" t="n"/>
      <c r="D259" s="62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61" t="n"/>
      <c r="N259" s="63" t="n"/>
      <c r="O259" s="8" t="n"/>
      <c r="P259" s="8" t="n"/>
      <c r="Q259" s="8" t="n"/>
      <c r="R259" s="8" t="n"/>
      <c r="S259" s="8" t="n"/>
      <c r="T259" s="8" t="n"/>
      <c r="U259" s="8" t="n"/>
      <c r="V259" s="8" t="n"/>
    </row>
    <row r="260">
      <c r="A260" s="8" t="n"/>
      <c r="B260" s="61" t="n"/>
      <c r="C260" s="8" t="n"/>
      <c r="D260" s="62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61" t="n"/>
      <c r="N260" s="63" t="n"/>
      <c r="O260" s="8" t="n"/>
      <c r="P260" s="8" t="n"/>
      <c r="Q260" s="8" t="n"/>
      <c r="R260" s="8" t="n"/>
      <c r="S260" s="8" t="n"/>
      <c r="T260" s="8" t="n"/>
      <c r="U260" s="8" t="n"/>
      <c r="V260" s="8" t="n"/>
    </row>
    <row r="261">
      <c r="A261" s="8" t="n"/>
      <c r="B261" s="61" t="n"/>
      <c r="C261" s="8" t="n"/>
      <c r="D261" s="62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61" t="n"/>
      <c r="N261" s="63" t="n"/>
      <c r="O261" s="8" t="n"/>
      <c r="P261" s="8" t="n"/>
      <c r="Q261" s="8" t="n"/>
      <c r="R261" s="8" t="n"/>
      <c r="S261" s="8" t="n"/>
      <c r="T261" s="8" t="n"/>
      <c r="U261" s="8" t="n"/>
      <c r="V261" s="8" t="n"/>
    </row>
    <row r="262">
      <c r="A262" s="8" t="n"/>
      <c r="B262" s="61" t="n"/>
      <c r="C262" s="8" t="n"/>
      <c r="D262" s="62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61" t="n"/>
      <c r="N262" s="63" t="n"/>
      <c r="O262" s="8" t="n"/>
      <c r="P262" s="8" t="n"/>
      <c r="Q262" s="8" t="n"/>
      <c r="R262" s="8" t="n"/>
      <c r="S262" s="8" t="n"/>
      <c r="T262" s="8" t="n"/>
      <c r="U262" s="8" t="n"/>
      <c r="V262" s="8" t="n"/>
    </row>
    <row r="263">
      <c r="A263" s="8" t="n"/>
      <c r="B263" s="61" t="n"/>
      <c r="C263" s="8" t="n"/>
      <c r="D263" s="62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61" t="n"/>
      <c r="N263" s="63" t="n"/>
      <c r="O263" s="8" t="n"/>
      <c r="P263" s="8" t="n"/>
      <c r="Q263" s="8" t="n"/>
      <c r="R263" s="8" t="n"/>
      <c r="S263" s="8" t="n"/>
      <c r="T263" s="8" t="n"/>
      <c r="U263" s="8" t="n"/>
      <c r="V263" s="8" t="n"/>
    </row>
    <row r="264">
      <c r="A264" s="8" t="n"/>
      <c r="B264" s="61" t="n"/>
      <c r="C264" s="8" t="n"/>
      <c r="D264" s="62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61" t="n"/>
      <c r="N264" s="63" t="n"/>
      <c r="O264" s="8" t="n"/>
      <c r="P264" s="8" t="n"/>
      <c r="Q264" s="8" t="n"/>
      <c r="R264" s="8" t="n"/>
      <c r="S264" s="8" t="n"/>
      <c r="T264" s="8" t="n"/>
      <c r="U264" s="8" t="n"/>
      <c r="V264" s="8" t="n"/>
    </row>
    <row r="265">
      <c r="A265" s="8" t="n"/>
      <c r="B265" s="61" t="n"/>
      <c r="C265" s="8" t="n"/>
      <c r="D265" s="62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61" t="n"/>
      <c r="N265" s="63" t="n"/>
      <c r="O265" s="8" t="n"/>
      <c r="P265" s="8" t="n"/>
      <c r="Q265" s="8" t="n"/>
      <c r="R265" s="8" t="n"/>
      <c r="S265" s="8" t="n"/>
      <c r="T265" s="8" t="n"/>
      <c r="U265" s="8" t="n"/>
      <c r="V265" s="8" t="n"/>
    </row>
    <row r="266">
      <c r="A266" s="8" t="n"/>
      <c r="B266" s="61" t="n"/>
      <c r="C266" s="8" t="n"/>
      <c r="D266" s="62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61" t="n"/>
      <c r="N266" s="63" t="n"/>
      <c r="O266" s="8" t="n"/>
      <c r="P266" s="8" t="n"/>
      <c r="Q266" s="8" t="n"/>
      <c r="R266" s="8" t="n"/>
      <c r="S266" s="8" t="n"/>
      <c r="T266" s="8" t="n"/>
      <c r="U266" s="8" t="n"/>
      <c r="V266" s="8" t="n"/>
    </row>
    <row r="267">
      <c r="A267" s="8" t="n"/>
      <c r="B267" s="61" t="n"/>
      <c r="C267" s="8" t="n"/>
      <c r="D267" s="62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61" t="n"/>
      <c r="N267" s="63" t="n"/>
      <c r="O267" s="8" t="n"/>
      <c r="P267" s="8" t="n"/>
      <c r="Q267" s="8" t="n"/>
      <c r="R267" s="8" t="n"/>
      <c r="S267" s="8" t="n"/>
      <c r="T267" s="8" t="n"/>
      <c r="U267" s="8" t="n"/>
      <c r="V267" s="8" t="n"/>
    </row>
    <row r="268">
      <c r="A268" s="8" t="n"/>
      <c r="B268" s="61" t="n"/>
      <c r="C268" s="8" t="n"/>
      <c r="D268" s="62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61" t="n"/>
      <c r="N268" s="63" t="n"/>
      <c r="O268" s="8" t="n"/>
      <c r="P268" s="8" t="n"/>
      <c r="Q268" s="8" t="n"/>
      <c r="R268" s="8" t="n"/>
      <c r="S268" s="8" t="n"/>
      <c r="T268" s="8" t="n"/>
      <c r="U268" s="8" t="n"/>
      <c r="V268" s="8" t="n"/>
    </row>
    <row r="269">
      <c r="A269" s="8" t="n"/>
      <c r="B269" s="61" t="n"/>
      <c r="C269" s="8" t="n"/>
      <c r="D269" s="62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61" t="n"/>
      <c r="N269" s="63" t="n"/>
      <c r="O269" s="8" t="n"/>
      <c r="P269" s="8" t="n"/>
      <c r="Q269" s="8" t="n"/>
      <c r="R269" s="8" t="n"/>
      <c r="S269" s="8" t="n"/>
      <c r="T269" s="8" t="n"/>
      <c r="U269" s="8" t="n"/>
      <c r="V269" s="8" t="n"/>
    </row>
    <row r="270">
      <c r="A270" s="8" t="n"/>
      <c r="B270" s="61" t="n"/>
      <c r="C270" s="8" t="n"/>
      <c r="D270" s="62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61" t="n"/>
      <c r="N270" s="63" t="n"/>
      <c r="O270" s="8" t="n"/>
      <c r="P270" s="8" t="n"/>
      <c r="Q270" s="8" t="n"/>
      <c r="R270" s="8" t="n"/>
      <c r="S270" s="8" t="n"/>
      <c r="T270" s="8" t="n"/>
      <c r="U270" s="8" t="n"/>
      <c r="V270" s="8" t="n"/>
    </row>
    <row r="271">
      <c r="A271" s="8" t="n"/>
      <c r="B271" s="61" t="n"/>
      <c r="C271" s="8" t="n"/>
      <c r="D271" s="62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61" t="n"/>
      <c r="N271" s="63" t="n"/>
      <c r="O271" s="8" t="n"/>
      <c r="P271" s="8" t="n"/>
      <c r="Q271" s="8" t="n"/>
      <c r="R271" s="8" t="n"/>
      <c r="S271" s="8" t="n"/>
      <c r="T271" s="8" t="n"/>
      <c r="U271" s="8" t="n"/>
      <c r="V271" s="8" t="n"/>
    </row>
    <row r="272">
      <c r="A272" s="8" t="n"/>
      <c r="B272" s="61" t="n"/>
      <c r="C272" s="8" t="n"/>
      <c r="D272" s="62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61" t="n"/>
      <c r="N272" s="63" t="n"/>
      <c r="O272" s="8" t="n"/>
      <c r="P272" s="8" t="n"/>
      <c r="Q272" s="8" t="n"/>
      <c r="R272" s="8" t="n"/>
      <c r="S272" s="8" t="n"/>
      <c r="T272" s="8" t="n"/>
      <c r="U272" s="8" t="n"/>
      <c r="V272" s="8" t="n"/>
    </row>
    <row r="273">
      <c r="A273" s="8" t="n"/>
      <c r="B273" s="61" t="n"/>
      <c r="C273" s="8" t="n"/>
      <c r="D273" s="62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61" t="n"/>
      <c r="N273" s="63" t="n"/>
      <c r="O273" s="8" t="n"/>
      <c r="P273" s="8" t="n"/>
      <c r="Q273" s="8" t="n"/>
      <c r="R273" s="8" t="n"/>
      <c r="S273" s="8" t="n"/>
      <c r="T273" s="8" t="n"/>
      <c r="U273" s="8" t="n"/>
      <c r="V273" s="8" t="n"/>
    </row>
    <row r="274">
      <c r="A274" s="8" t="n"/>
      <c r="B274" s="61" t="n"/>
      <c r="C274" s="8" t="n"/>
      <c r="D274" s="62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61" t="n"/>
      <c r="N274" s="63" t="n"/>
      <c r="O274" s="8" t="n"/>
      <c r="P274" s="8" t="n"/>
      <c r="Q274" s="8" t="n"/>
      <c r="R274" s="8" t="n"/>
      <c r="S274" s="8" t="n"/>
      <c r="T274" s="8" t="n"/>
      <c r="U274" s="8" t="n"/>
      <c r="V274" s="8" t="n"/>
    </row>
    <row r="275">
      <c r="A275" s="8" t="n"/>
      <c r="B275" s="61" t="n"/>
      <c r="C275" s="8" t="n"/>
      <c r="D275" s="62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61" t="n"/>
      <c r="N275" s="63" t="n"/>
      <c r="O275" s="8" t="n"/>
      <c r="P275" s="8" t="n"/>
      <c r="Q275" s="8" t="n"/>
      <c r="R275" s="8" t="n"/>
      <c r="S275" s="8" t="n"/>
      <c r="T275" s="8" t="n"/>
      <c r="U275" s="8" t="n"/>
      <c r="V275" s="8" t="n"/>
    </row>
    <row r="276">
      <c r="A276" s="8" t="n"/>
      <c r="B276" s="61" t="n"/>
      <c r="C276" s="8" t="n"/>
      <c r="D276" s="62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61" t="n"/>
      <c r="N276" s="63" t="n"/>
      <c r="O276" s="8" t="n"/>
      <c r="P276" s="8" t="n"/>
      <c r="Q276" s="8" t="n"/>
      <c r="R276" s="8" t="n"/>
      <c r="S276" s="8" t="n"/>
      <c r="T276" s="8" t="n"/>
      <c r="U276" s="8" t="n"/>
      <c r="V276" s="8" t="n"/>
    </row>
    <row r="277">
      <c r="A277" s="8" t="n"/>
      <c r="B277" s="61" t="n"/>
      <c r="C277" s="8" t="n"/>
      <c r="D277" s="62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61" t="n"/>
      <c r="N277" s="63" t="n"/>
      <c r="O277" s="8" t="n"/>
      <c r="P277" s="8" t="n"/>
      <c r="Q277" s="8" t="n"/>
      <c r="R277" s="8" t="n"/>
      <c r="S277" s="8" t="n"/>
      <c r="T277" s="8" t="n"/>
      <c r="U277" s="8" t="n"/>
      <c r="V277" s="8" t="n"/>
    </row>
    <row r="278">
      <c r="A278" s="8" t="n"/>
      <c r="B278" s="61" t="n"/>
      <c r="C278" s="8" t="n"/>
      <c r="D278" s="62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61" t="n"/>
      <c r="N278" s="63" t="n"/>
      <c r="O278" s="8" t="n"/>
      <c r="P278" s="8" t="n"/>
      <c r="Q278" s="8" t="n"/>
      <c r="R278" s="8" t="n"/>
      <c r="S278" s="8" t="n"/>
      <c r="T278" s="8" t="n"/>
      <c r="U278" s="8" t="n"/>
      <c r="V278" s="8" t="n"/>
    </row>
    <row r="279">
      <c r="A279" s="8" t="n"/>
      <c r="B279" s="61" t="n"/>
      <c r="C279" s="8" t="n"/>
      <c r="D279" s="62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61" t="n"/>
      <c r="N279" s="63" t="n"/>
      <c r="O279" s="8" t="n"/>
      <c r="P279" s="8" t="n"/>
      <c r="Q279" s="8" t="n"/>
      <c r="R279" s="8" t="n"/>
      <c r="S279" s="8" t="n"/>
      <c r="T279" s="8" t="n"/>
      <c r="U279" s="8" t="n"/>
      <c r="V279" s="8" t="n"/>
    </row>
    <row r="280">
      <c r="A280" s="8" t="n"/>
      <c r="B280" s="61" t="n"/>
      <c r="C280" s="8" t="n"/>
      <c r="D280" s="62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61" t="n"/>
      <c r="N280" s="63" t="n"/>
      <c r="O280" s="8" t="n"/>
      <c r="P280" s="8" t="n"/>
      <c r="Q280" s="8" t="n"/>
      <c r="R280" s="8" t="n"/>
      <c r="S280" s="8" t="n"/>
      <c r="T280" s="8" t="n"/>
      <c r="U280" s="8" t="n"/>
      <c r="V280" s="8" t="n"/>
    </row>
    <row r="281">
      <c r="A281" s="8" t="n"/>
      <c r="B281" s="61" t="n"/>
      <c r="C281" s="8" t="n"/>
      <c r="D281" s="62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61" t="n"/>
      <c r="N281" s="63" t="n"/>
      <c r="O281" s="8" t="n"/>
      <c r="P281" s="8" t="n"/>
      <c r="Q281" s="8" t="n"/>
      <c r="R281" s="8" t="n"/>
      <c r="S281" s="8" t="n"/>
      <c r="T281" s="8" t="n"/>
      <c r="U281" s="8" t="n"/>
      <c r="V281" s="8" t="n"/>
    </row>
    <row r="282">
      <c r="A282" s="8" t="n"/>
      <c r="B282" s="61" t="n"/>
      <c r="C282" s="8" t="n"/>
      <c r="D282" s="62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61" t="n"/>
      <c r="N282" s="63" t="n"/>
      <c r="O282" s="8" t="n"/>
      <c r="P282" s="8" t="n"/>
      <c r="Q282" s="8" t="n"/>
      <c r="R282" s="8" t="n"/>
      <c r="S282" s="8" t="n"/>
      <c r="T282" s="8" t="n"/>
      <c r="U282" s="8" t="n"/>
      <c r="V282" s="8" t="n"/>
    </row>
    <row r="283">
      <c r="A283" s="8" t="n"/>
      <c r="B283" s="61" t="n"/>
      <c r="C283" s="8" t="n"/>
      <c r="D283" s="62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61" t="n"/>
      <c r="N283" s="63" t="n"/>
      <c r="O283" s="8" t="n"/>
      <c r="P283" s="8" t="n"/>
      <c r="Q283" s="8" t="n"/>
      <c r="R283" s="8" t="n"/>
      <c r="S283" s="8" t="n"/>
      <c r="T283" s="8" t="n"/>
      <c r="U283" s="8" t="n"/>
      <c r="V283" s="8" t="n"/>
    </row>
    <row r="284">
      <c r="A284" s="8" t="n"/>
      <c r="B284" s="61" t="n"/>
      <c r="C284" s="8" t="n"/>
      <c r="D284" s="62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61" t="n"/>
      <c r="N284" s="63" t="n"/>
      <c r="O284" s="8" t="n"/>
      <c r="P284" s="8" t="n"/>
      <c r="Q284" s="8" t="n"/>
      <c r="R284" s="8" t="n"/>
      <c r="S284" s="8" t="n"/>
      <c r="T284" s="8" t="n"/>
      <c r="U284" s="8" t="n"/>
      <c r="V284" s="8" t="n"/>
    </row>
    <row r="285">
      <c r="A285" s="8" t="n"/>
      <c r="B285" s="61" t="n"/>
      <c r="C285" s="8" t="n"/>
      <c r="D285" s="62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61" t="n"/>
      <c r="N285" s="63" t="n"/>
      <c r="O285" s="8" t="n"/>
      <c r="P285" s="8" t="n"/>
      <c r="Q285" s="8" t="n"/>
      <c r="R285" s="8" t="n"/>
      <c r="S285" s="8" t="n"/>
      <c r="T285" s="8" t="n"/>
      <c r="U285" s="8" t="n"/>
      <c r="V285" s="8" t="n"/>
    </row>
    <row r="286">
      <c r="A286" s="8" t="n"/>
      <c r="B286" s="61" t="n"/>
      <c r="C286" s="8" t="n"/>
      <c r="D286" s="62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61" t="n"/>
      <c r="N286" s="63" t="n"/>
      <c r="O286" s="8" t="n"/>
      <c r="P286" s="8" t="n"/>
      <c r="Q286" s="8" t="n"/>
      <c r="R286" s="8" t="n"/>
      <c r="S286" s="8" t="n"/>
      <c r="T286" s="8" t="n"/>
      <c r="U286" s="8" t="n"/>
      <c r="V286" s="8" t="n"/>
    </row>
    <row r="287">
      <c r="A287" s="8" t="n"/>
      <c r="B287" s="61" t="n"/>
      <c r="C287" s="8" t="n"/>
      <c r="D287" s="62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61" t="n"/>
      <c r="N287" s="63" t="n"/>
      <c r="O287" s="8" t="n"/>
      <c r="P287" s="8" t="n"/>
      <c r="Q287" s="8" t="n"/>
      <c r="R287" s="8" t="n"/>
      <c r="S287" s="8" t="n"/>
      <c r="T287" s="8" t="n"/>
      <c r="U287" s="8" t="n"/>
      <c r="V287" s="8" t="n"/>
    </row>
    <row r="288">
      <c r="A288" s="8" t="n"/>
      <c r="B288" s="61" t="n"/>
      <c r="C288" s="8" t="n"/>
      <c r="D288" s="62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61" t="n"/>
      <c r="N288" s="63" t="n"/>
      <c r="O288" s="8" t="n"/>
      <c r="P288" s="8" t="n"/>
      <c r="Q288" s="8" t="n"/>
      <c r="R288" s="8" t="n"/>
      <c r="S288" s="8" t="n"/>
      <c r="T288" s="8" t="n"/>
      <c r="U288" s="8" t="n"/>
      <c r="V288" s="8" t="n"/>
    </row>
    <row r="289">
      <c r="A289" s="8" t="n"/>
      <c r="B289" s="61" t="n"/>
      <c r="C289" s="8" t="n"/>
      <c r="D289" s="62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61" t="n"/>
      <c r="N289" s="63" t="n"/>
      <c r="O289" s="8" t="n"/>
      <c r="P289" s="8" t="n"/>
      <c r="Q289" s="8" t="n"/>
      <c r="R289" s="8" t="n"/>
      <c r="S289" s="8" t="n"/>
      <c r="T289" s="8" t="n"/>
      <c r="U289" s="8" t="n"/>
      <c r="V289" s="8" t="n"/>
    </row>
    <row r="290">
      <c r="A290" s="8" t="n"/>
      <c r="B290" s="61" t="n"/>
      <c r="C290" s="8" t="n"/>
      <c r="D290" s="62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61" t="n"/>
      <c r="N290" s="63" t="n"/>
      <c r="O290" s="8" t="n"/>
      <c r="P290" s="8" t="n"/>
      <c r="Q290" s="8" t="n"/>
      <c r="R290" s="8" t="n"/>
      <c r="S290" s="8" t="n"/>
      <c r="T290" s="8" t="n"/>
      <c r="U290" s="8" t="n"/>
      <c r="V290" s="8" t="n"/>
    </row>
    <row r="291">
      <c r="A291" s="8" t="n"/>
      <c r="B291" s="61" t="n"/>
      <c r="C291" s="8" t="n"/>
      <c r="D291" s="62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61" t="n"/>
      <c r="N291" s="63" t="n"/>
      <c r="O291" s="8" t="n"/>
      <c r="P291" s="8" t="n"/>
      <c r="Q291" s="8" t="n"/>
      <c r="R291" s="8" t="n"/>
      <c r="S291" s="8" t="n"/>
      <c r="T291" s="8" t="n"/>
      <c r="U291" s="8" t="n"/>
      <c r="V291" s="8" t="n"/>
    </row>
    <row r="292">
      <c r="A292" s="8" t="n"/>
      <c r="B292" s="61" t="n"/>
      <c r="C292" s="8" t="n"/>
      <c r="D292" s="62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61" t="n"/>
      <c r="N292" s="63" t="n"/>
      <c r="O292" s="8" t="n"/>
      <c r="P292" s="8" t="n"/>
      <c r="Q292" s="8" t="n"/>
      <c r="R292" s="8" t="n"/>
      <c r="S292" s="8" t="n"/>
      <c r="T292" s="8" t="n"/>
      <c r="U292" s="8" t="n"/>
      <c r="V292" s="8" t="n"/>
    </row>
    <row r="293">
      <c r="A293" s="8" t="n"/>
      <c r="B293" s="61" t="n"/>
      <c r="C293" s="8" t="n"/>
      <c r="D293" s="62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61" t="n"/>
      <c r="N293" s="63" t="n"/>
      <c r="O293" s="8" t="n"/>
      <c r="P293" s="8" t="n"/>
      <c r="Q293" s="8" t="n"/>
      <c r="R293" s="8" t="n"/>
      <c r="S293" s="8" t="n"/>
      <c r="T293" s="8" t="n"/>
      <c r="U293" s="8" t="n"/>
      <c r="V293" s="8" t="n"/>
    </row>
    <row r="294">
      <c r="A294" s="8" t="n"/>
      <c r="B294" s="61" t="n"/>
      <c r="C294" s="8" t="n"/>
      <c r="D294" s="62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61" t="n"/>
      <c r="N294" s="63" t="n"/>
      <c r="O294" s="8" t="n"/>
      <c r="P294" s="8" t="n"/>
      <c r="Q294" s="8" t="n"/>
      <c r="R294" s="8" t="n"/>
      <c r="S294" s="8" t="n"/>
      <c r="T294" s="8" t="n"/>
      <c r="U294" s="8" t="n"/>
      <c r="V294" s="8" t="n"/>
    </row>
    <row r="295">
      <c r="A295" s="8" t="n"/>
      <c r="B295" s="61" t="n"/>
      <c r="C295" s="8" t="n"/>
      <c r="D295" s="62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61" t="n"/>
      <c r="N295" s="63" t="n"/>
      <c r="O295" s="8" t="n"/>
      <c r="P295" s="8" t="n"/>
      <c r="Q295" s="8" t="n"/>
      <c r="R295" s="8" t="n"/>
      <c r="S295" s="8" t="n"/>
      <c r="T295" s="8" t="n"/>
      <c r="U295" s="8" t="n"/>
      <c r="V295" s="8" t="n"/>
    </row>
    <row r="296">
      <c r="A296" s="8" t="n"/>
      <c r="B296" s="61" t="n"/>
      <c r="C296" s="8" t="n"/>
      <c r="D296" s="62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61" t="n"/>
      <c r="N296" s="63" t="n"/>
      <c r="O296" s="8" t="n"/>
      <c r="P296" s="8" t="n"/>
      <c r="Q296" s="8" t="n"/>
      <c r="R296" s="8" t="n"/>
      <c r="S296" s="8" t="n"/>
      <c r="T296" s="8" t="n"/>
      <c r="U296" s="8" t="n"/>
      <c r="V296" s="8" t="n"/>
    </row>
    <row r="297">
      <c r="A297" s="8" t="n"/>
      <c r="B297" s="61" t="n"/>
      <c r="C297" s="8" t="n"/>
      <c r="D297" s="62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61" t="n"/>
      <c r="N297" s="63" t="n"/>
      <c r="O297" s="8" t="n"/>
      <c r="P297" s="8" t="n"/>
      <c r="Q297" s="8" t="n"/>
      <c r="R297" s="8" t="n"/>
      <c r="S297" s="8" t="n"/>
      <c r="T297" s="8" t="n"/>
      <c r="U297" s="8" t="n"/>
      <c r="V297" s="8" t="n"/>
    </row>
    <row r="298">
      <c r="A298" s="8" t="n"/>
      <c r="B298" s="61" t="n"/>
      <c r="C298" s="8" t="n"/>
      <c r="D298" s="62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61" t="n"/>
      <c r="N298" s="63" t="n"/>
      <c r="O298" s="8" t="n"/>
      <c r="P298" s="8" t="n"/>
      <c r="Q298" s="8" t="n"/>
      <c r="R298" s="8" t="n"/>
      <c r="S298" s="8" t="n"/>
      <c r="T298" s="8" t="n"/>
      <c r="U298" s="8" t="n"/>
      <c r="V298" s="8" t="n"/>
    </row>
    <row r="299">
      <c r="A299" s="8" t="n"/>
      <c r="B299" s="61" t="n"/>
      <c r="C299" s="8" t="n"/>
      <c r="D299" s="62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61" t="n"/>
      <c r="N299" s="63" t="n"/>
      <c r="O299" s="8" t="n"/>
      <c r="P299" s="8" t="n"/>
      <c r="Q299" s="8" t="n"/>
      <c r="R299" s="8" t="n"/>
      <c r="S299" s="8" t="n"/>
      <c r="T299" s="8" t="n"/>
      <c r="U299" s="8" t="n"/>
      <c r="V299" s="8" t="n"/>
    </row>
    <row r="300">
      <c r="A300" s="8" t="n"/>
      <c r="B300" s="61" t="n"/>
      <c r="C300" s="8" t="n"/>
      <c r="D300" s="62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61" t="n"/>
      <c r="N300" s="63" t="n"/>
      <c r="O300" s="8" t="n"/>
      <c r="P300" s="8" t="n"/>
      <c r="Q300" s="8" t="n"/>
      <c r="R300" s="8" t="n"/>
      <c r="S300" s="8" t="n"/>
      <c r="T300" s="8" t="n"/>
      <c r="U300" s="8" t="n"/>
      <c r="V300" s="8" t="n"/>
    </row>
    <row r="301">
      <c r="A301" s="8" t="n"/>
      <c r="B301" s="61" t="n"/>
      <c r="C301" s="8" t="n"/>
      <c r="D301" s="62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61" t="n"/>
      <c r="N301" s="63" t="n"/>
      <c r="O301" s="8" t="n"/>
      <c r="P301" s="8" t="n"/>
      <c r="Q301" s="8" t="n"/>
      <c r="R301" s="8" t="n"/>
      <c r="S301" s="8" t="n"/>
      <c r="T301" s="8" t="n"/>
      <c r="U301" s="8" t="n"/>
      <c r="V301" s="8" t="n"/>
    </row>
    <row r="302">
      <c r="A302" s="8" t="n"/>
      <c r="B302" s="61" t="n"/>
      <c r="C302" s="8" t="n"/>
      <c r="D302" s="62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61" t="n"/>
      <c r="N302" s="63" t="n"/>
      <c r="O302" s="8" t="n"/>
      <c r="P302" s="8" t="n"/>
      <c r="Q302" s="8" t="n"/>
      <c r="R302" s="8" t="n"/>
      <c r="S302" s="8" t="n"/>
      <c r="T302" s="8" t="n"/>
      <c r="U302" s="8" t="n"/>
      <c r="V302" s="8" t="n"/>
    </row>
    <row r="303">
      <c r="A303" s="8" t="n"/>
      <c r="B303" s="61" t="n"/>
      <c r="C303" s="8" t="n"/>
      <c r="D303" s="62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61" t="n"/>
      <c r="N303" s="63" t="n"/>
      <c r="O303" s="8" t="n"/>
      <c r="P303" s="8" t="n"/>
      <c r="Q303" s="8" t="n"/>
      <c r="R303" s="8" t="n"/>
      <c r="S303" s="8" t="n"/>
      <c r="T303" s="8" t="n"/>
      <c r="U303" s="8" t="n"/>
      <c r="V303" s="8" t="n"/>
    </row>
    <row r="304">
      <c r="A304" s="8" t="n"/>
      <c r="B304" s="61" t="n"/>
      <c r="C304" s="8" t="n"/>
      <c r="D304" s="62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61" t="n"/>
      <c r="N304" s="63" t="n"/>
      <c r="O304" s="8" t="n"/>
      <c r="P304" s="8" t="n"/>
      <c r="Q304" s="8" t="n"/>
      <c r="R304" s="8" t="n"/>
      <c r="S304" s="8" t="n"/>
      <c r="T304" s="8" t="n"/>
      <c r="U304" s="8" t="n"/>
      <c r="V304" s="8" t="n"/>
    </row>
    <row r="305">
      <c r="A305" s="8" t="n"/>
      <c r="B305" s="61" t="n"/>
      <c r="C305" s="8" t="n"/>
      <c r="D305" s="62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61" t="n"/>
      <c r="N305" s="63" t="n"/>
      <c r="O305" s="8" t="n"/>
      <c r="P305" s="8" t="n"/>
      <c r="Q305" s="8" t="n"/>
      <c r="R305" s="8" t="n"/>
      <c r="S305" s="8" t="n"/>
      <c r="T305" s="8" t="n"/>
      <c r="U305" s="8" t="n"/>
      <c r="V305" s="8" t="n"/>
    </row>
    <row r="306">
      <c r="A306" s="8" t="n"/>
      <c r="B306" s="61" t="n"/>
      <c r="C306" s="8" t="n"/>
      <c r="D306" s="62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61" t="n"/>
      <c r="N306" s="63" t="n"/>
      <c r="O306" s="8" t="n"/>
      <c r="P306" s="8" t="n"/>
      <c r="Q306" s="8" t="n"/>
      <c r="R306" s="8" t="n"/>
      <c r="S306" s="8" t="n"/>
      <c r="T306" s="8" t="n"/>
      <c r="U306" s="8" t="n"/>
      <c r="V306" s="8" t="n"/>
    </row>
    <row r="307">
      <c r="A307" s="8" t="n"/>
      <c r="B307" s="61" t="n"/>
      <c r="C307" s="8" t="n"/>
      <c r="D307" s="62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61" t="n"/>
      <c r="N307" s="63" t="n"/>
      <c r="O307" s="8" t="n"/>
      <c r="P307" s="8" t="n"/>
      <c r="Q307" s="8" t="n"/>
      <c r="R307" s="8" t="n"/>
      <c r="S307" s="8" t="n"/>
      <c r="T307" s="8" t="n"/>
      <c r="U307" s="8" t="n"/>
      <c r="V307" s="8" t="n"/>
    </row>
    <row r="308">
      <c r="A308" s="8" t="n"/>
      <c r="B308" s="61" t="n"/>
      <c r="C308" s="8" t="n"/>
      <c r="D308" s="62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61" t="n"/>
      <c r="N308" s="63" t="n"/>
      <c r="O308" s="8" t="n"/>
      <c r="P308" s="8" t="n"/>
      <c r="Q308" s="8" t="n"/>
      <c r="R308" s="8" t="n"/>
      <c r="S308" s="8" t="n"/>
      <c r="T308" s="8" t="n"/>
      <c r="U308" s="8" t="n"/>
      <c r="V308" s="8" t="n"/>
    </row>
    <row r="309">
      <c r="A309" s="8" t="n"/>
      <c r="B309" s="61" t="n"/>
      <c r="C309" s="8" t="n"/>
      <c r="D309" s="62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61" t="n"/>
      <c r="N309" s="63" t="n"/>
      <c r="O309" s="8" t="n"/>
      <c r="P309" s="8" t="n"/>
      <c r="Q309" s="8" t="n"/>
      <c r="R309" s="8" t="n"/>
      <c r="S309" s="8" t="n"/>
      <c r="T309" s="8" t="n"/>
      <c r="U309" s="8" t="n"/>
      <c r="V309" s="8" t="n"/>
    </row>
    <row r="310">
      <c r="A310" s="8" t="n"/>
      <c r="B310" s="61" t="n"/>
      <c r="C310" s="8" t="n"/>
      <c r="D310" s="62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61" t="n"/>
      <c r="N310" s="63" t="n"/>
      <c r="O310" s="8" t="n"/>
      <c r="P310" s="8" t="n"/>
      <c r="Q310" s="8" t="n"/>
      <c r="R310" s="8" t="n"/>
      <c r="S310" s="8" t="n"/>
      <c r="T310" s="8" t="n"/>
      <c r="U310" s="8" t="n"/>
      <c r="V310" s="8" t="n"/>
    </row>
    <row r="311">
      <c r="A311" s="8" t="n"/>
      <c r="B311" s="61" t="n"/>
      <c r="C311" s="8" t="n"/>
      <c r="D311" s="62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61" t="n"/>
      <c r="N311" s="63" t="n"/>
      <c r="O311" s="8" t="n"/>
      <c r="P311" s="8" t="n"/>
      <c r="Q311" s="8" t="n"/>
      <c r="R311" s="8" t="n"/>
      <c r="S311" s="8" t="n"/>
      <c r="T311" s="8" t="n"/>
      <c r="U311" s="8" t="n"/>
      <c r="V311" s="8" t="n"/>
    </row>
    <row r="312">
      <c r="A312" s="8" t="n"/>
      <c r="B312" s="61" t="n"/>
      <c r="C312" s="8" t="n"/>
      <c r="D312" s="62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61" t="n"/>
      <c r="N312" s="63" t="n"/>
      <c r="O312" s="8" t="n"/>
      <c r="P312" s="8" t="n"/>
      <c r="Q312" s="8" t="n"/>
      <c r="R312" s="8" t="n"/>
      <c r="S312" s="8" t="n"/>
      <c r="T312" s="8" t="n"/>
      <c r="U312" s="8" t="n"/>
      <c r="V312" s="8" t="n"/>
    </row>
    <row r="313">
      <c r="A313" s="8" t="n"/>
      <c r="B313" s="61" t="n"/>
      <c r="C313" s="8" t="n"/>
      <c r="D313" s="62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61" t="n"/>
      <c r="N313" s="63" t="n"/>
      <c r="O313" s="8" t="n"/>
      <c r="P313" s="8" t="n"/>
      <c r="Q313" s="8" t="n"/>
      <c r="R313" s="8" t="n"/>
      <c r="S313" s="8" t="n"/>
      <c r="T313" s="8" t="n"/>
      <c r="U313" s="8" t="n"/>
      <c r="V313" s="8" t="n"/>
    </row>
    <row r="314">
      <c r="A314" s="8" t="n"/>
      <c r="B314" s="61" t="n"/>
      <c r="C314" s="8" t="n"/>
      <c r="D314" s="62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61" t="n"/>
      <c r="N314" s="63" t="n"/>
      <c r="O314" s="8" t="n"/>
      <c r="P314" s="8" t="n"/>
      <c r="Q314" s="8" t="n"/>
      <c r="R314" s="8" t="n"/>
      <c r="S314" s="8" t="n"/>
      <c r="T314" s="8" t="n"/>
      <c r="U314" s="8" t="n"/>
      <c r="V314" s="8" t="n"/>
    </row>
    <row r="315">
      <c r="A315" s="8" t="n"/>
      <c r="B315" s="61" t="n"/>
      <c r="C315" s="8" t="n"/>
      <c r="D315" s="62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61" t="n"/>
      <c r="N315" s="63" t="n"/>
      <c r="O315" s="8" t="n"/>
      <c r="P315" s="8" t="n"/>
      <c r="Q315" s="8" t="n"/>
      <c r="R315" s="8" t="n"/>
      <c r="S315" s="8" t="n"/>
      <c r="T315" s="8" t="n"/>
      <c r="U315" s="8" t="n"/>
      <c r="V315" s="8" t="n"/>
    </row>
    <row r="316">
      <c r="A316" s="8" t="n"/>
      <c r="B316" s="61" t="n"/>
      <c r="C316" s="8" t="n"/>
      <c r="D316" s="62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61" t="n"/>
      <c r="N316" s="63" t="n"/>
      <c r="O316" s="8" t="n"/>
      <c r="P316" s="8" t="n"/>
      <c r="Q316" s="8" t="n"/>
      <c r="R316" s="8" t="n"/>
      <c r="S316" s="8" t="n"/>
      <c r="T316" s="8" t="n"/>
      <c r="U316" s="8" t="n"/>
      <c r="V316" s="8" t="n"/>
    </row>
    <row r="317">
      <c r="A317" s="8" t="n"/>
      <c r="B317" s="61" t="n"/>
      <c r="C317" s="8" t="n"/>
      <c r="D317" s="62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61" t="n"/>
      <c r="N317" s="63" t="n"/>
      <c r="O317" s="8" t="n"/>
      <c r="P317" s="8" t="n"/>
      <c r="Q317" s="8" t="n"/>
      <c r="R317" s="8" t="n"/>
      <c r="S317" s="8" t="n"/>
      <c r="T317" s="8" t="n"/>
      <c r="U317" s="8" t="n"/>
      <c r="V317" s="8" t="n"/>
    </row>
    <row r="318">
      <c r="A318" s="8" t="n"/>
      <c r="B318" s="61" t="n"/>
      <c r="C318" s="8" t="n"/>
      <c r="D318" s="62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61" t="n"/>
      <c r="N318" s="63" t="n"/>
      <c r="O318" s="8" t="n"/>
      <c r="P318" s="8" t="n"/>
      <c r="Q318" s="8" t="n"/>
      <c r="R318" s="8" t="n"/>
      <c r="S318" s="8" t="n"/>
      <c r="T318" s="8" t="n"/>
      <c r="U318" s="8" t="n"/>
      <c r="V318" s="8" t="n"/>
    </row>
    <row r="319">
      <c r="A319" s="8" t="n"/>
      <c r="B319" s="61" t="n"/>
      <c r="C319" s="8" t="n"/>
      <c r="D319" s="62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61" t="n"/>
      <c r="N319" s="63" t="n"/>
      <c r="O319" s="8" t="n"/>
      <c r="P319" s="8" t="n"/>
      <c r="Q319" s="8" t="n"/>
      <c r="R319" s="8" t="n"/>
      <c r="S319" s="8" t="n"/>
      <c r="T319" s="8" t="n"/>
      <c r="U319" s="8" t="n"/>
      <c r="V319" s="8" t="n"/>
    </row>
    <row r="320">
      <c r="A320" s="8" t="n"/>
      <c r="B320" s="61" t="n"/>
      <c r="C320" s="8" t="n"/>
      <c r="D320" s="62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61" t="n"/>
      <c r="N320" s="63" t="n"/>
      <c r="O320" s="8" t="n"/>
      <c r="P320" s="8" t="n"/>
      <c r="Q320" s="8" t="n"/>
      <c r="R320" s="8" t="n"/>
      <c r="S320" s="8" t="n"/>
      <c r="T320" s="8" t="n"/>
      <c r="U320" s="8" t="n"/>
      <c r="V320" s="8" t="n"/>
    </row>
    <row r="321">
      <c r="A321" s="8" t="n"/>
      <c r="B321" s="61" t="n"/>
      <c r="C321" s="8" t="n"/>
      <c r="D321" s="62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61" t="n"/>
      <c r="N321" s="63" t="n"/>
      <c r="O321" s="8" t="n"/>
      <c r="P321" s="8" t="n"/>
      <c r="Q321" s="8" t="n"/>
      <c r="R321" s="8" t="n"/>
      <c r="S321" s="8" t="n"/>
      <c r="T321" s="8" t="n"/>
      <c r="U321" s="8" t="n"/>
      <c r="V321" s="8" t="n"/>
    </row>
    <row r="322">
      <c r="A322" s="8" t="n"/>
      <c r="B322" s="61" t="n"/>
      <c r="C322" s="8" t="n"/>
      <c r="D322" s="62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61" t="n"/>
      <c r="N322" s="63" t="n"/>
      <c r="O322" s="8" t="n"/>
      <c r="P322" s="8" t="n"/>
      <c r="Q322" s="8" t="n"/>
      <c r="R322" s="8" t="n"/>
      <c r="S322" s="8" t="n"/>
      <c r="T322" s="8" t="n"/>
      <c r="U322" s="8" t="n"/>
      <c r="V322" s="8" t="n"/>
    </row>
    <row r="323">
      <c r="A323" s="8" t="n"/>
      <c r="B323" s="61" t="n"/>
      <c r="C323" s="8" t="n"/>
      <c r="D323" s="62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61" t="n"/>
      <c r="N323" s="63" t="n"/>
      <c r="O323" s="8" t="n"/>
      <c r="P323" s="8" t="n"/>
      <c r="Q323" s="8" t="n"/>
      <c r="R323" s="8" t="n"/>
      <c r="S323" s="8" t="n"/>
      <c r="T323" s="8" t="n"/>
      <c r="U323" s="8" t="n"/>
      <c r="V323" s="8" t="n"/>
    </row>
    <row r="324">
      <c r="A324" s="8" t="n"/>
      <c r="B324" s="61" t="n"/>
      <c r="C324" s="8" t="n"/>
      <c r="D324" s="62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61" t="n"/>
      <c r="N324" s="63" t="n"/>
      <c r="O324" s="8" t="n"/>
      <c r="P324" s="8" t="n"/>
      <c r="Q324" s="8" t="n"/>
      <c r="R324" s="8" t="n"/>
      <c r="S324" s="8" t="n"/>
      <c r="T324" s="8" t="n"/>
      <c r="U324" s="8" t="n"/>
      <c r="V324" s="8" t="n"/>
    </row>
    <row r="325">
      <c r="A325" s="8" t="n"/>
      <c r="B325" s="61" t="n"/>
      <c r="C325" s="8" t="n"/>
      <c r="D325" s="62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61" t="n"/>
      <c r="N325" s="63" t="n"/>
      <c r="O325" s="8" t="n"/>
      <c r="P325" s="8" t="n"/>
      <c r="Q325" s="8" t="n"/>
      <c r="R325" s="8" t="n"/>
      <c r="S325" s="8" t="n"/>
      <c r="T325" s="8" t="n"/>
      <c r="U325" s="8" t="n"/>
      <c r="V325" s="8" t="n"/>
    </row>
    <row r="326">
      <c r="A326" s="8" t="n"/>
      <c r="B326" s="61" t="n"/>
      <c r="C326" s="8" t="n"/>
      <c r="D326" s="62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61" t="n"/>
      <c r="N326" s="63" t="n"/>
      <c r="O326" s="8" t="n"/>
      <c r="P326" s="8" t="n"/>
      <c r="Q326" s="8" t="n"/>
      <c r="R326" s="8" t="n"/>
      <c r="S326" s="8" t="n"/>
      <c r="T326" s="8" t="n"/>
      <c r="U326" s="8" t="n"/>
      <c r="V326" s="8" t="n"/>
    </row>
    <row r="327">
      <c r="A327" s="8" t="n"/>
      <c r="B327" s="61" t="n"/>
      <c r="C327" s="8" t="n"/>
      <c r="D327" s="62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61" t="n"/>
      <c r="N327" s="63" t="n"/>
      <c r="O327" s="8" t="n"/>
      <c r="P327" s="8" t="n"/>
      <c r="Q327" s="8" t="n"/>
      <c r="R327" s="8" t="n"/>
      <c r="S327" s="8" t="n"/>
      <c r="T327" s="8" t="n"/>
      <c r="U327" s="8" t="n"/>
      <c r="V327" s="8" t="n"/>
    </row>
    <row r="328">
      <c r="A328" s="8" t="n"/>
      <c r="B328" s="61" t="n"/>
      <c r="C328" s="8" t="n"/>
      <c r="D328" s="62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61" t="n"/>
      <c r="N328" s="63" t="n"/>
      <c r="O328" s="8" t="n"/>
      <c r="P328" s="8" t="n"/>
      <c r="Q328" s="8" t="n"/>
      <c r="R328" s="8" t="n"/>
      <c r="S328" s="8" t="n"/>
      <c r="T328" s="8" t="n"/>
      <c r="U328" s="8" t="n"/>
      <c r="V328" s="8" t="n"/>
    </row>
    <row r="329">
      <c r="A329" s="8" t="n"/>
      <c r="B329" s="61" t="n"/>
      <c r="C329" s="8" t="n"/>
      <c r="D329" s="62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61" t="n"/>
      <c r="N329" s="63" t="n"/>
      <c r="O329" s="8" t="n"/>
      <c r="P329" s="8" t="n"/>
      <c r="Q329" s="8" t="n"/>
      <c r="R329" s="8" t="n"/>
      <c r="S329" s="8" t="n"/>
      <c r="T329" s="8" t="n"/>
      <c r="U329" s="8" t="n"/>
      <c r="V329" s="8" t="n"/>
    </row>
    <row r="330">
      <c r="A330" s="8" t="n"/>
      <c r="B330" s="61" t="n"/>
      <c r="C330" s="8" t="n"/>
      <c r="D330" s="62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61" t="n"/>
      <c r="N330" s="63" t="n"/>
      <c r="O330" s="8" t="n"/>
      <c r="P330" s="8" t="n"/>
      <c r="Q330" s="8" t="n"/>
      <c r="R330" s="8" t="n"/>
      <c r="S330" s="8" t="n"/>
      <c r="T330" s="8" t="n"/>
      <c r="U330" s="8" t="n"/>
      <c r="V330" s="8" t="n"/>
    </row>
    <row r="331">
      <c r="A331" s="8" t="n"/>
      <c r="B331" s="61" t="n"/>
      <c r="C331" s="8" t="n"/>
      <c r="D331" s="62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61" t="n"/>
      <c r="N331" s="63" t="n"/>
      <c r="O331" s="8" t="n"/>
      <c r="P331" s="8" t="n"/>
      <c r="Q331" s="8" t="n"/>
      <c r="R331" s="8" t="n"/>
      <c r="S331" s="8" t="n"/>
      <c r="T331" s="8" t="n"/>
      <c r="U331" s="8" t="n"/>
      <c r="V331" s="8" t="n"/>
    </row>
    <row r="332">
      <c r="A332" s="8" t="n"/>
      <c r="B332" s="61" t="n"/>
      <c r="C332" s="8" t="n"/>
      <c r="D332" s="62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61" t="n"/>
      <c r="N332" s="63" t="n"/>
      <c r="O332" s="8" t="n"/>
      <c r="P332" s="8" t="n"/>
      <c r="Q332" s="8" t="n"/>
      <c r="R332" s="8" t="n"/>
      <c r="S332" s="8" t="n"/>
      <c r="T332" s="8" t="n"/>
      <c r="U332" s="8" t="n"/>
      <c r="V332" s="8" t="n"/>
    </row>
    <row r="333">
      <c r="A333" s="8" t="n"/>
      <c r="B333" s="61" t="n"/>
      <c r="C333" s="8" t="n"/>
      <c r="D333" s="62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61" t="n"/>
      <c r="N333" s="63" t="n"/>
      <c r="O333" s="8" t="n"/>
      <c r="P333" s="8" t="n"/>
      <c r="Q333" s="8" t="n"/>
      <c r="R333" s="8" t="n"/>
      <c r="S333" s="8" t="n"/>
      <c r="T333" s="8" t="n"/>
      <c r="U333" s="8" t="n"/>
      <c r="V333" s="8" t="n"/>
    </row>
    <row r="334">
      <c r="A334" s="8" t="n"/>
      <c r="B334" s="61" t="n"/>
      <c r="C334" s="8" t="n"/>
      <c r="D334" s="62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61" t="n"/>
      <c r="N334" s="63" t="n"/>
      <c r="O334" s="8" t="n"/>
      <c r="P334" s="8" t="n"/>
      <c r="Q334" s="8" t="n"/>
      <c r="R334" s="8" t="n"/>
      <c r="S334" s="8" t="n"/>
      <c r="T334" s="8" t="n"/>
      <c r="U334" s="8" t="n"/>
      <c r="V334" s="8" t="n"/>
    </row>
    <row r="335">
      <c r="A335" s="8" t="n"/>
      <c r="B335" s="61" t="n"/>
      <c r="C335" s="8" t="n"/>
      <c r="D335" s="62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61" t="n"/>
      <c r="N335" s="63" t="n"/>
      <c r="O335" s="8" t="n"/>
      <c r="P335" s="8" t="n"/>
      <c r="Q335" s="8" t="n"/>
      <c r="R335" s="8" t="n"/>
      <c r="S335" s="8" t="n"/>
      <c r="T335" s="8" t="n"/>
      <c r="U335" s="8" t="n"/>
      <c r="V335" s="8" t="n"/>
    </row>
    <row r="336">
      <c r="A336" s="8" t="n"/>
      <c r="B336" s="61" t="n"/>
      <c r="C336" s="8" t="n"/>
      <c r="D336" s="62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61" t="n"/>
      <c r="N336" s="63" t="n"/>
      <c r="O336" s="8" t="n"/>
      <c r="P336" s="8" t="n"/>
      <c r="Q336" s="8" t="n"/>
      <c r="R336" s="8" t="n"/>
      <c r="S336" s="8" t="n"/>
      <c r="T336" s="8" t="n"/>
      <c r="U336" s="8" t="n"/>
      <c r="V336" s="8" t="n"/>
    </row>
    <row r="337">
      <c r="A337" s="8" t="n"/>
      <c r="B337" s="61" t="n"/>
      <c r="C337" s="8" t="n"/>
      <c r="D337" s="62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61" t="n"/>
      <c r="N337" s="63" t="n"/>
      <c r="O337" s="8" t="n"/>
      <c r="P337" s="8" t="n"/>
      <c r="Q337" s="8" t="n"/>
      <c r="R337" s="8" t="n"/>
      <c r="S337" s="8" t="n"/>
      <c r="T337" s="8" t="n"/>
      <c r="U337" s="8" t="n"/>
      <c r="V337" s="8" t="n"/>
    </row>
    <row r="338">
      <c r="A338" s="8" t="n"/>
      <c r="B338" s="61" t="n"/>
      <c r="C338" s="8" t="n"/>
      <c r="D338" s="62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61" t="n"/>
      <c r="N338" s="63" t="n"/>
      <c r="O338" s="8" t="n"/>
      <c r="P338" s="8" t="n"/>
      <c r="Q338" s="8" t="n"/>
      <c r="R338" s="8" t="n"/>
      <c r="S338" s="8" t="n"/>
      <c r="T338" s="8" t="n"/>
      <c r="U338" s="8" t="n"/>
      <c r="V338" s="8" t="n"/>
    </row>
    <row r="339">
      <c r="A339" s="8" t="n"/>
      <c r="B339" s="61" t="n"/>
      <c r="C339" s="8" t="n"/>
      <c r="D339" s="62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61" t="n"/>
      <c r="N339" s="63" t="n"/>
      <c r="O339" s="8" t="n"/>
      <c r="P339" s="8" t="n"/>
      <c r="Q339" s="8" t="n"/>
      <c r="R339" s="8" t="n"/>
      <c r="S339" s="8" t="n"/>
      <c r="T339" s="8" t="n"/>
      <c r="U339" s="8" t="n"/>
      <c r="V339" s="8" t="n"/>
    </row>
    <row r="340">
      <c r="A340" s="8" t="n"/>
      <c r="B340" s="61" t="n"/>
      <c r="C340" s="8" t="n"/>
      <c r="D340" s="62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61" t="n"/>
      <c r="N340" s="63" t="n"/>
      <c r="O340" s="8" t="n"/>
      <c r="P340" s="8" t="n"/>
      <c r="Q340" s="8" t="n"/>
      <c r="R340" s="8" t="n"/>
      <c r="S340" s="8" t="n"/>
      <c r="T340" s="8" t="n"/>
      <c r="U340" s="8" t="n"/>
      <c r="V340" s="8" t="n"/>
    </row>
    <row r="341">
      <c r="A341" s="8" t="n"/>
      <c r="B341" s="61" t="n"/>
      <c r="C341" s="8" t="n"/>
      <c r="D341" s="62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61" t="n"/>
      <c r="N341" s="63" t="n"/>
      <c r="O341" s="8" t="n"/>
      <c r="P341" s="8" t="n"/>
      <c r="Q341" s="8" t="n"/>
      <c r="R341" s="8" t="n"/>
      <c r="S341" s="8" t="n"/>
      <c r="T341" s="8" t="n"/>
      <c r="U341" s="8" t="n"/>
      <c r="V341" s="8" t="n"/>
    </row>
    <row r="342">
      <c r="A342" s="8" t="n"/>
      <c r="B342" s="61" t="n"/>
      <c r="C342" s="8" t="n"/>
      <c r="D342" s="62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61" t="n"/>
      <c r="N342" s="63" t="n"/>
      <c r="O342" s="8" t="n"/>
      <c r="P342" s="8" t="n"/>
      <c r="Q342" s="8" t="n"/>
      <c r="R342" s="8" t="n"/>
      <c r="S342" s="8" t="n"/>
      <c r="T342" s="8" t="n"/>
      <c r="U342" s="8" t="n"/>
      <c r="V342" s="8" t="n"/>
    </row>
    <row r="343">
      <c r="A343" s="8" t="n"/>
      <c r="B343" s="61" t="n"/>
      <c r="C343" s="8" t="n"/>
      <c r="D343" s="62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61" t="n"/>
      <c r="N343" s="63" t="n"/>
      <c r="O343" s="8" t="n"/>
      <c r="P343" s="8" t="n"/>
      <c r="Q343" s="8" t="n"/>
      <c r="R343" s="8" t="n"/>
      <c r="S343" s="8" t="n"/>
      <c r="T343" s="8" t="n"/>
      <c r="U343" s="8" t="n"/>
      <c r="V343" s="8" t="n"/>
    </row>
    <row r="344">
      <c r="A344" s="8" t="n"/>
      <c r="B344" s="61" t="n"/>
      <c r="C344" s="8" t="n"/>
      <c r="D344" s="62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61" t="n"/>
      <c r="N344" s="63" t="n"/>
      <c r="O344" s="8" t="n"/>
      <c r="P344" s="8" t="n"/>
      <c r="Q344" s="8" t="n"/>
      <c r="R344" s="8" t="n"/>
      <c r="S344" s="8" t="n"/>
      <c r="T344" s="8" t="n"/>
      <c r="U344" s="8" t="n"/>
      <c r="V344" s="8" t="n"/>
    </row>
    <row r="345">
      <c r="A345" s="8" t="n"/>
      <c r="B345" s="61" t="n"/>
      <c r="C345" s="8" t="n"/>
      <c r="D345" s="62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61" t="n"/>
      <c r="N345" s="63" t="n"/>
      <c r="O345" s="8" t="n"/>
      <c r="P345" s="8" t="n"/>
      <c r="Q345" s="8" t="n"/>
      <c r="R345" s="8" t="n"/>
      <c r="S345" s="8" t="n"/>
      <c r="T345" s="8" t="n"/>
      <c r="U345" s="8" t="n"/>
      <c r="V345" s="8" t="n"/>
    </row>
    <row r="346">
      <c r="A346" s="8" t="n"/>
      <c r="B346" s="61" t="n"/>
      <c r="C346" s="8" t="n"/>
      <c r="D346" s="62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61" t="n"/>
      <c r="N346" s="63" t="n"/>
      <c r="O346" s="8" t="n"/>
      <c r="P346" s="8" t="n"/>
      <c r="Q346" s="8" t="n"/>
      <c r="R346" s="8" t="n"/>
      <c r="S346" s="8" t="n"/>
      <c r="T346" s="8" t="n"/>
      <c r="U346" s="8" t="n"/>
      <c r="V346" s="8" t="n"/>
    </row>
    <row r="347">
      <c r="A347" s="8" t="n"/>
      <c r="B347" s="61" t="n"/>
      <c r="C347" s="8" t="n"/>
      <c r="D347" s="62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61" t="n"/>
      <c r="N347" s="63" t="n"/>
      <c r="O347" s="8" t="n"/>
      <c r="P347" s="8" t="n"/>
      <c r="Q347" s="8" t="n"/>
      <c r="R347" s="8" t="n"/>
      <c r="S347" s="8" t="n"/>
      <c r="T347" s="8" t="n"/>
      <c r="U347" s="8" t="n"/>
      <c r="V347" s="8" t="n"/>
    </row>
    <row r="348">
      <c r="A348" s="8" t="n"/>
      <c r="B348" s="61" t="n"/>
      <c r="C348" s="8" t="n"/>
      <c r="D348" s="62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61" t="n"/>
      <c r="N348" s="63" t="n"/>
      <c r="O348" s="8" t="n"/>
      <c r="P348" s="8" t="n"/>
      <c r="Q348" s="8" t="n"/>
      <c r="R348" s="8" t="n"/>
      <c r="S348" s="8" t="n"/>
      <c r="T348" s="8" t="n"/>
      <c r="U348" s="8" t="n"/>
      <c r="V348" s="8" t="n"/>
    </row>
    <row r="349">
      <c r="A349" s="8" t="n"/>
      <c r="B349" s="61" t="n"/>
      <c r="C349" s="8" t="n"/>
      <c r="D349" s="62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61" t="n"/>
      <c r="N349" s="63" t="n"/>
      <c r="O349" s="8" t="n"/>
      <c r="P349" s="8" t="n"/>
      <c r="Q349" s="8" t="n"/>
      <c r="R349" s="8" t="n"/>
      <c r="S349" s="8" t="n"/>
      <c r="T349" s="8" t="n"/>
      <c r="U349" s="8" t="n"/>
      <c r="V349" s="8" t="n"/>
    </row>
    <row r="350">
      <c r="A350" s="8" t="n"/>
      <c r="B350" s="61" t="n"/>
      <c r="C350" s="8" t="n"/>
      <c r="D350" s="62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61" t="n"/>
      <c r="N350" s="63" t="n"/>
      <c r="O350" s="8" t="n"/>
      <c r="P350" s="8" t="n"/>
      <c r="Q350" s="8" t="n"/>
      <c r="R350" s="8" t="n"/>
      <c r="S350" s="8" t="n"/>
      <c r="T350" s="8" t="n"/>
      <c r="U350" s="8" t="n"/>
      <c r="V350" s="8" t="n"/>
    </row>
    <row r="351">
      <c r="A351" s="8" t="n"/>
      <c r="B351" s="61" t="n"/>
      <c r="C351" s="8" t="n"/>
      <c r="D351" s="62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61" t="n"/>
      <c r="N351" s="63" t="n"/>
      <c r="O351" s="8" t="n"/>
      <c r="P351" s="8" t="n"/>
      <c r="Q351" s="8" t="n"/>
      <c r="R351" s="8" t="n"/>
      <c r="S351" s="8" t="n"/>
      <c r="T351" s="8" t="n"/>
      <c r="U351" s="8" t="n"/>
      <c r="V351" s="8" t="n"/>
    </row>
    <row r="352">
      <c r="A352" s="8" t="n"/>
      <c r="B352" s="61" t="n"/>
      <c r="C352" s="8" t="n"/>
      <c r="D352" s="62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61" t="n"/>
      <c r="N352" s="63" t="n"/>
      <c r="O352" s="8" t="n"/>
      <c r="P352" s="8" t="n"/>
      <c r="Q352" s="8" t="n"/>
      <c r="R352" s="8" t="n"/>
      <c r="S352" s="8" t="n"/>
      <c r="T352" s="8" t="n"/>
      <c r="U352" s="8" t="n"/>
      <c r="V352" s="8" t="n"/>
    </row>
    <row r="353">
      <c r="A353" s="8" t="n"/>
      <c r="B353" s="61" t="n"/>
      <c r="C353" s="8" t="n"/>
      <c r="D353" s="62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61" t="n"/>
      <c r="N353" s="63" t="n"/>
      <c r="O353" s="8" t="n"/>
      <c r="P353" s="8" t="n"/>
      <c r="Q353" s="8" t="n"/>
      <c r="R353" s="8" t="n"/>
      <c r="S353" s="8" t="n"/>
      <c r="T353" s="8" t="n"/>
      <c r="U353" s="8" t="n"/>
      <c r="V353" s="8" t="n"/>
    </row>
    <row r="354">
      <c r="A354" s="8" t="n"/>
      <c r="B354" s="61" t="n"/>
      <c r="C354" s="8" t="n"/>
      <c r="D354" s="62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61" t="n"/>
      <c r="N354" s="63" t="n"/>
      <c r="O354" s="8" t="n"/>
      <c r="P354" s="8" t="n"/>
      <c r="Q354" s="8" t="n"/>
      <c r="R354" s="8" t="n"/>
      <c r="S354" s="8" t="n"/>
      <c r="T354" s="8" t="n"/>
      <c r="U354" s="8" t="n"/>
      <c r="V354" s="8" t="n"/>
    </row>
    <row r="355">
      <c r="A355" s="8" t="n"/>
      <c r="B355" s="61" t="n"/>
      <c r="C355" s="8" t="n"/>
      <c r="D355" s="62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61" t="n"/>
      <c r="N355" s="63" t="n"/>
      <c r="O355" s="8" t="n"/>
      <c r="P355" s="8" t="n"/>
      <c r="Q355" s="8" t="n"/>
      <c r="R355" s="8" t="n"/>
      <c r="S355" s="8" t="n"/>
      <c r="T355" s="8" t="n"/>
      <c r="U355" s="8" t="n"/>
      <c r="V355" s="8" t="n"/>
    </row>
    <row r="356">
      <c r="A356" s="8" t="n"/>
      <c r="B356" s="61" t="n"/>
      <c r="C356" s="8" t="n"/>
      <c r="D356" s="62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61" t="n"/>
      <c r="N356" s="63" t="n"/>
      <c r="O356" s="8" t="n"/>
      <c r="P356" s="8" t="n"/>
      <c r="Q356" s="8" t="n"/>
      <c r="R356" s="8" t="n"/>
      <c r="S356" s="8" t="n"/>
      <c r="T356" s="8" t="n"/>
      <c r="U356" s="8" t="n"/>
      <c r="V356" s="8" t="n"/>
    </row>
    <row r="357">
      <c r="A357" s="8" t="n"/>
      <c r="B357" s="61" t="n"/>
      <c r="C357" s="8" t="n"/>
      <c r="D357" s="62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61" t="n"/>
      <c r="N357" s="63" t="n"/>
      <c r="O357" s="8" t="n"/>
      <c r="P357" s="8" t="n"/>
      <c r="Q357" s="8" t="n"/>
      <c r="R357" s="8" t="n"/>
      <c r="S357" s="8" t="n"/>
      <c r="T357" s="8" t="n"/>
      <c r="U357" s="8" t="n"/>
      <c r="V357" s="8" t="n"/>
    </row>
    <row r="358">
      <c r="A358" s="8" t="n"/>
      <c r="B358" s="61" t="n"/>
      <c r="C358" s="8" t="n"/>
      <c r="D358" s="62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61" t="n"/>
      <c r="N358" s="63" t="n"/>
      <c r="O358" s="8" t="n"/>
      <c r="P358" s="8" t="n"/>
      <c r="Q358" s="8" t="n"/>
      <c r="R358" s="8" t="n"/>
      <c r="S358" s="8" t="n"/>
      <c r="T358" s="8" t="n"/>
      <c r="U358" s="8" t="n"/>
      <c r="V358" s="8" t="n"/>
    </row>
    <row r="359">
      <c r="A359" s="8" t="n"/>
      <c r="B359" s="61" t="n"/>
      <c r="C359" s="8" t="n"/>
      <c r="D359" s="62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61" t="n"/>
      <c r="N359" s="63" t="n"/>
      <c r="O359" s="8" t="n"/>
      <c r="P359" s="8" t="n"/>
      <c r="Q359" s="8" t="n"/>
      <c r="R359" s="8" t="n"/>
      <c r="S359" s="8" t="n"/>
      <c r="T359" s="8" t="n"/>
      <c r="U359" s="8" t="n"/>
      <c r="V359" s="8" t="n"/>
    </row>
    <row r="360">
      <c r="A360" s="8" t="n"/>
      <c r="B360" s="61" t="n"/>
      <c r="C360" s="8" t="n"/>
      <c r="D360" s="62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61" t="n"/>
      <c r="N360" s="63" t="n"/>
      <c r="O360" s="8" t="n"/>
      <c r="P360" s="8" t="n"/>
      <c r="Q360" s="8" t="n"/>
      <c r="R360" s="8" t="n"/>
      <c r="S360" s="8" t="n"/>
      <c r="T360" s="8" t="n"/>
      <c r="U360" s="8" t="n"/>
      <c r="V360" s="8" t="n"/>
    </row>
    <row r="361">
      <c r="A361" s="8" t="n"/>
      <c r="B361" s="61" t="n"/>
      <c r="C361" s="8" t="n"/>
      <c r="D361" s="62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61" t="n"/>
      <c r="N361" s="63" t="n"/>
      <c r="O361" s="8" t="n"/>
      <c r="P361" s="8" t="n"/>
      <c r="Q361" s="8" t="n"/>
      <c r="R361" s="8" t="n"/>
      <c r="S361" s="8" t="n"/>
      <c r="T361" s="8" t="n"/>
      <c r="U361" s="8" t="n"/>
      <c r="V361" s="8" t="n"/>
    </row>
    <row r="362">
      <c r="A362" s="8" t="n"/>
      <c r="B362" s="61" t="n"/>
      <c r="C362" s="8" t="n"/>
      <c r="D362" s="62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61" t="n"/>
      <c r="N362" s="63" t="n"/>
      <c r="O362" s="8" t="n"/>
      <c r="P362" s="8" t="n"/>
      <c r="Q362" s="8" t="n"/>
      <c r="R362" s="8" t="n"/>
      <c r="S362" s="8" t="n"/>
      <c r="T362" s="8" t="n"/>
      <c r="U362" s="8" t="n"/>
      <c r="V362" s="8" t="n"/>
    </row>
    <row r="363">
      <c r="A363" s="8" t="n"/>
      <c r="B363" s="61" t="n"/>
      <c r="C363" s="8" t="n"/>
      <c r="D363" s="62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61" t="n"/>
      <c r="N363" s="63" t="n"/>
      <c r="O363" s="8" t="n"/>
      <c r="P363" s="8" t="n"/>
      <c r="Q363" s="8" t="n"/>
      <c r="R363" s="8" t="n"/>
      <c r="S363" s="8" t="n"/>
      <c r="T363" s="8" t="n"/>
      <c r="U363" s="8" t="n"/>
      <c r="V363" s="8" t="n"/>
    </row>
    <row r="364">
      <c r="A364" s="8" t="n"/>
      <c r="B364" s="61" t="n"/>
      <c r="C364" s="8" t="n"/>
      <c r="D364" s="62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61" t="n"/>
      <c r="N364" s="63" t="n"/>
      <c r="O364" s="8" t="n"/>
      <c r="P364" s="8" t="n"/>
      <c r="Q364" s="8" t="n"/>
      <c r="R364" s="8" t="n"/>
      <c r="S364" s="8" t="n"/>
      <c r="T364" s="8" t="n"/>
      <c r="U364" s="8" t="n"/>
      <c r="V364" s="8" t="n"/>
    </row>
    <row r="365">
      <c r="A365" s="8" t="n"/>
      <c r="B365" s="61" t="n"/>
      <c r="C365" s="8" t="n"/>
      <c r="D365" s="62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61" t="n"/>
      <c r="N365" s="63" t="n"/>
      <c r="O365" s="8" t="n"/>
      <c r="P365" s="8" t="n"/>
      <c r="Q365" s="8" t="n"/>
      <c r="R365" s="8" t="n"/>
      <c r="S365" s="8" t="n"/>
      <c r="T365" s="8" t="n"/>
      <c r="U365" s="8" t="n"/>
      <c r="V365" s="8" t="n"/>
    </row>
    <row r="366">
      <c r="A366" s="8" t="n"/>
      <c r="B366" s="61" t="n"/>
      <c r="C366" s="8" t="n"/>
      <c r="D366" s="62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61" t="n"/>
      <c r="N366" s="63" t="n"/>
      <c r="O366" s="8" t="n"/>
      <c r="P366" s="8" t="n"/>
      <c r="Q366" s="8" t="n"/>
      <c r="R366" s="8" t="n"/>
      <c r="S366" s="8" t="n"/>
      <c r="T366" s="8" t="n"/>
      <c r="U366" s="8" t="n"/>
      <c r="V366" s="8" t="n"/>
    </row>
    <row r="367">
      <c r="A367" s="8" t="n"/>
      <c r="B367" s="61" t="n"/>
      <c r="C367" s="8" t="n"/>
      <c r="D367" s="62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61" t="n"/>
      <c r="N367" s="63" t="n"/>
      <c r="O367" s="8" t="n"/>
      <c r="P367" s="8" t="n"/>
      <c r="Q367" s="8" t="n"/>
      <c r="R367" s="8" t="n"/>
      <c r="S367" s="8" t="n"/>
      <c r="T367" s="8" t="n"/>
      <c r="U367" s="8" t="n"/>
      <c r="V367" s="8" t="n"/>
    </row>
    <row r="368">
      <c r="A368" s="8" t="n"/>
      <c r="B368" s="61" t="n"/>
      <c r="C368" s="8" t="n"/>
      <c r="D368" s="62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61" t="n"/>
      <c r="N368" s="63" t="n"/>
      <c r="O368" s="8" t="n"/>
      <c r="P368" s="8" t="n"/>
      <c r="Q368" s="8" t="n"/>
      <c r="R368" s="8" t="n"/>
      <c r="S368" s="8" t="n"/>
      <c r="T368" s="8" t="n"/>
      <c r="U368" s="8" t="n"/>
      <c r="V368" s="8" t="n"/>
    </row>
    <row r="369">
      <c r="A369" s="8" t="n"/>
      <c r="B369" s="61" t="n"/>
      <c r="C369" s="8" t="n"/>
      <c r="D369" s="62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61" t="n"/>
      <c r="N369" s="63" t="n"/>
      <c r="O369" s="8" t="n"/>
      <c r="P369" s="8" t="n"/>
      <c r="Q369" s="8" t="n"/>
      <c r="R369" s="8" t="n"/>
      <c r="S369" s="8" t="n"/>
      <c r="T369" s="8" t="n"/>
      <c r="U369" s="8" t="n"/>
      <c r="V369" s="8" t="n"/>
    </row>
    <row r="370">
      <c r="A370" s="8" t="n"/>
      <c r="B370" s="61" t="n"/>
      <c r="C370" s="8" t="n"/>
      <c r="D370" s="62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61" t="n"/>
      <c r="N370" s="63" t="n"/>
      <c r="O370" s="8" t="n"/>
      <c r="P370" s="8" t="n"/>
      <c r="Q370" s="8" t="n"/>
      <c r="R370" s="8" t="n"/>
      <c r="S370" s="8" t="n"/>
      <c r="T370" s="8" t="n"/>
      <c r="U370" s="8" t="n"/>
      <c r="V370" s="8" t="n"/>
    </row>
    <row r="371">
      <c r="A371" s="8" t="n"/>
      <c r="B371" s="61" t="n"/>
      <c r="C371" s="8" t="n"/>
      <c r="D371" s="62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61" t="n"/>
      <c r="N371" s="63" t="n"/>
      <c r="O371" s="8" t="n"/>
      <c r="P371" s="8" t="n"/>
      <c r="Q371" s="8" t="n"/>
      <c r="R371" s="8" t="n"/>
      <c r="S371" s="8" t="n"/>
      <c r="T371" s="8" t="n"/>
      <c r="U371" s="8" t="n"/>
      <c r="V371" s="8" t="n"/>
    </row>
    <row r="372">
      <c r="A372" s="8" t="n"/>
      <c r="B372" s="61" t="n"/>
      <c r="C372" s="8" t="n"/>
      <c r="D372" s="62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61" t="n"/>
      <c r="N372" s="63" t="n"/>
      <c r="O372" s="8" t="n"/>
      <c r="P372" s="8" t="n"/>
      <c r="Q372" s="8" t="n"/>
      <c r="R372" s="8" t="n"/>
      <c r="S372" s="8" t="n"/>
      <c r="T372" s="8" t="n"/>
      <c r="U372" s="8" t="n"/>
      <c r="V372" s="8" t="n"/>
    </row>
    <row r="373">
      <c r="A373" s="8" t="n"/>
      <c r="B373" s="61" t="n"/>
      <c r="C373" s="8" t="n"/>
      <c r="D373" s="62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61" t="n"/>
      <c r="N373" s="63" t="n"/>
      <c r="O373" s="8" t="n"/>
      <c r="P373" s="8" t="n"/>
      <c r="Q373" s="8" t="n"/>
      <c r="R373" s="8" t="n"/>
      <c r="S373" s="8" t="n"/>
      <c r="T373" s="8" t="n"/>
      <c r="U373" s="8" t="n"/>
      <c r="V373" s="8" t="n"/>
    </row>
    <row r="374">
      <c r="A374" s="8" t="n"/>
      <c r="B374" s="61" t="n"/>
      <c r="C374" s="8" t="n"/>
      <c r="D374" s="62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61" t="n"/>
      <c r="N374" s="63" t="n"/>
      <c r="O374" s="8" t="n"/>
      <c r="P374" s="8" t="n"/>
      <c r="Q374" s="8" t="n"/>
      <c r="R374" s="8" t="n"/>
      <c r="S374" s="8" t="n"/>
      <c r="T374" s="8" t="n"/>
      <c r="U374" s="8" t="n"/>
      <c r="V374" s="8" t="n"/>
    </row>
    <row r="375">
      <c r="A375" s="8" t="n"/>
      <c r="B375" s="61" t="n"/>
      <c r="C375" s="8" t="n"/>
      <c r="D375" s="62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61" t="n"/>
      <c r="N375" s="63" t="n"/>
      <c r="O375" s="8" t="n"/>
      <c r="P375" s="8" t="n"/>
      <c r="Q375" s="8" t="n"/>
      <c r="R375" s="8" t="n"/>
      <c r="S375" s="8" t="n"/>
      <c r="T375" s="8" t="n"/>
      <c r="U375" s="8" t="n"/>
      <c r="V375" s="8" t="n"/>
    </row>
    <row r="376">
      <c r="A376" s="8" t="n"/>
      <c r="B376" s="61" t="n"/>
      <c r="C376" s="8" t="n"/>
      <c r="D376" s="62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61" t="n"/>
      <c r="N376" s="63" t="n"/>
      <c r="O376" s="8" t="n"/>
      <c r="P376" s="8" t="n"/>
      <c r="Q376" s="8" t="n"/>
      <c r="R376" s="8" t="n"/>
      <c r="S376" s="8" t="n"/>
      <c r="T376" s="8" t="n"/>
      <c r="U376" s="8" t="n"/>
      <c r="V376" s="8" t="n"/>
    </row>
    <row r="377">
      <c r="A377" s="8" t="n"/>
      <c r="B377" s="61" t="n"/>
      <c r="C377" s="8" t="n"/>
      <c r="D377" s="62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61" t="n"/>
      <c r="N377" s="63" t="n"/>
      <c r="O377" s="8" t="n"/>
      <c r="P377" s="8" t="n"/>
      <c r="Q377" s="8" t="n"/>
      <c r="R377" s="8" t="n"/>
      <c r="S377" s="8" t="n"/>
      <c r="T377" s="8" t="n"/>
      <c r="U377" s="8" t="n"/>
      <c r="V377" s="8" t="n"/>
    </row>
    <row r="378">
      <c r="A378" s="8" t="n"/>
      <c r="B378" s="61" t="n"/>
      <c r="C378" s="8" t="n"/>
      <c r="D378" s="62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61" t="n"/>
      <c r="N378" s="63" t="n"/>
      <c r="O378" s="8" t="n"/>
      <c r="P378" s="8" t="n"/>
      <c r="Q378" s="8" t="n"/>
      <c r="R378" s="8" t="n"/>
      <c r="S378" s="8" t="n"/>
      <c r="T378" s="8" t="n"/>
      <c r="U378" s="8" t="n"/>
      <c r="V378" s="8" t="n"/>
    </row>
    <row r="379">
      <c r="A379" s="8" t="n"/>
      <c r="B379" s="61" t="n"/>
      <c r="C379" s="8" t="n"/>
      <c r="D379" s="62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61" t="n"/>
      <c r="N379" s="63" t="n"/>
      <c r="O379" s="8" t="n"/>
      <c r="P379" s="8" t="n"/>
      <c r="Q379" s="8" t="n"/>
      <c r="R379" s="8" t="n"/>
      <c r="S379" s="8" t="n"/>
      <c r="T379" s="8" t="n"/>
      <c r="U379" s="8" t="n"/>
      <c r="V379" s="8" t="n"/>
    </row>
    <row r="380">
      <c r="A380" s="8" t="n"/>
      <c r="B380" s="61" t="n"/>
      <c r="C380" s="8" t="n"/>
      <c r="D380" s="62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61" t="n"/>
      <c r="N380" s="63" t="n"/>
      <c r="O380" s="8" t="n"/>
      <c r="P380" s="8" t="n"/>
      <c r="Q380" s="8" t="n"/>
      <c r="R380" s="8" t="n"/>
      <c r="S380" s="8" t="n"/>
      <c r="T380" s="8" t="n"/>
      <c r="U380" s="8" t="n"/>
      <c r="V380" s="8" t="n"/>
    </row>
    <row r="381">
      <c r="A381" s="8" t="n"/>
      <c r="B381" s="61" t="n"/>
      <c r="C381" s="8" t="n"/>
      <c r="D381" s="62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61" t="n"/>
      <c r="N381" s="63" t="n"/>
      <c r="O381" s="8" t="n"/>
      <c r="P381" s="8" t="n"/>
      <c r="Q381" s="8" t="n"/>
      <c r="R381" s="8" t="n"/>
      <c r="S381" s="8" t="n"/>
      <c r="T381" s="8" t="n"/>
      <c r="U381" s="8" t="n"/>
      <c r="V381" s="8" t="n"/>
    </row>
    <row r="382">
      <c r="A382" s="8" t="n"/>
      <c r="B382" s="61" t="n"/>
      <c r="C382" s="8" t="n"/>
      <c r="D382" s="62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61" t="n"/>
      <c r="N382" s="63" t="n"/>
      <c r="O382" s="8" t="n"/>
      <c r="P382" s="8" t="n"/>
      <c r="Q382" s="8" t="n"/>
      <c r="R382" s="8" t="n"/>
      <c r="S382" s="8" t="n"/>
      <c r="T382" s="8" t="n"/>
      <c r="U382" s="8" t="n"/>
      <c r="V382" s="8" t="n"/>
    </row>
    <row r="383">
      <c r="A383" s="8" t="n"/>
      <c r="B383" s="61" t="n"/>
      <c r="C383" s="8" t="n"/>
      <c r="D383" s="62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61" t="n"/>
      <c r="N383" s="63" t="n"/>
      <c r="O383" s="8" t="n"/>
      <c r="P383" s="8" t="n"/>
      <c r="Q383" s="8" t="n"/>
      <c r="R383" s="8" t="n"/>
      <c r="S383" s="8" t="n"/>
      <c r="T383" s="8" t="n"/>
      <c r="U383" s="8" t="n"/>
      <c r="V383" s="8" t="n"/>
    </row>
    <row r="384">
      <c r="A384" s="8" t="n"/>
      <c r="B384" s="61" t="n"/>
      <c r="C384" s="8" t="n"/>
      <c r="D384" s="62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61" t="n"/>
      <c r="N384" s="63" t="n"/>
      <c r="O384" s="8" t="n"/>
      <c r="P384" s="8" t="n"/>
      <c r="Q384" s="8" t="n"/>
      <c r="R384" s="8" t="n"/>
      <c r="S384" s="8" t="n"/>
      <c r="T384" s="8" t="n"/>
      <c r="U384" s="8" t="n"/>
      <c r="V384" s="8" t="n"/>
    </row>
    <row r="385">
      <c r="A385" s="8" t="n"/>
      <c r="B385" s="61" t="n"/>
      <c r="C385" s="8" t="n"/>
      <c r="D385" s="62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61" t="n"/>
      <c r="N385" s="63" t="n"/>
      <c r="O385" s="8" t="n"/>
      <c r="P385" s="8" t="n"/>
      <c r="Q385" s="8" t="n"/>
      <c r="R385" s="8" t="n"/>
      <c r="S385" s="8" t="n"/>
      <c r="T385" s="8" t="n"/>
      <c r="U385" s="8" t="n"/>
      <c r="V385" s="8" t="n"/>
    </row>
    <row r="386">
      <c r="A386" s="8" t="n"/>
      <c r="B386" s="61" t="n"/>
      <c r="C386" s="8" t="n"/>
      <c r="D386" s="62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61" t="n"/>
      <c r="N386" s="63" t="n"/>
      <c r="O386" s="8" t="n"/>
      <c r="P386" s="8" t="n"/>
      <c r="Q386" s="8" t="n"/>
      <c r="R386" s="8" t="n"/>
      <c r="S386" s="8" t="n"/>
      <c r="T386" s="8" t="n"/>
      <c r="U386" s="8" t="n"/>
      <c r="V386" s="8" t="n"/>
    </row>
    <row r="387">
      <c r="A387" s="8" t="n"/>
      <c r="B387" s="61" t="n"/>
      <c r="C387" s="8" t="n"/>
      <c r="D387" s="62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61" t="n"/>
      <c r="N387" s="63" t="n"/>
      <c r="O387" s="8" t="n"/>
      <c r="P387" s="8" t="n"/>
      <c r="Q387" s="8" t="n"/>
      <c r="R387" s="8" t="n"/>
      <c r="S387" s="8" t="n"/>
      <c r="T387" s="8" t="n"/>
      <c r="U387" s="8" t="n"/>
      <c r="V387" s="8" t="n"/>
    </row>
    <row r="388">
      <c r="A388" s="8" t="n"/>
      <c r="B388" s="61" t="n"/>
      <c r="C388" s="8" t="n"/>
      <c r="D388" s="62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61" t="n"/>
      <c r="N388" s="63" t="n"/>
      <c r="O388" s="8" t="n"/>
      <c r="P388" s="8" t="n"/>
      <c r="Q388" s="8" t="n"/>
      <c r="R388" s="8" t="n"/>
      <c r="S388" s="8" t="n"/>
      <c r="T388" s="8" t="n"/>
      <c r="U388" s="8" t="n"/>
      <c r="V388" s="8" t="n"/>
    </row>
    <row r="389">
      <c r="A389" s="8" t="n"/>
      <c r="B389" s="61" t="n"/>
      <c r="C389" s="8" t="n"/>
      <c r="D389" s="62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61" t="n"/>
      <c r="N389" s="63" t="n"/>
      <c r="O389" s="8" t="n"/>
      <c r="P389" s="8" t="n"/>
      <c r="Q389" s="8" t="n"/>
      <c r="R389" s="8" t="n"/>
      <c r="S389" s="8" t="n"/>
      <c r="T389" s="8" t="n"/>
      <c r="U389" s="8" t="n"/>
      <c r="V389" s="8" t="n"/>
    </row>
    <row r="390">
      <c r="A390" s="8" t="n"/>
      <c r="B390" s="61" t="n"/>
      <c r="C390" s="8" t="n"/>
      <c r="D390" s="62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61" t="n"/>
      <c r="N390" s="63" t="n"/>
      <c r="O390" s="8" t="n"/>
      <c r="P390" s="8" t="n"/>
      <c r="Q390" s="8" t="n"/>
      <c r="R390" s="8" t="n"/>
      <c r="S390" s="8" t="n"/>
      <c r="T390" s="8" t="n"/>
      <c r="U390" s="8" t="n"/>
      <c r="V390" s="8" t="n"/>
    </row>
    <row r="391">
      <c r="A391" s="8" t="n"/>
      <c r="B391" s="61" t="n"/>
      <c r="C391" s="8" t="n"/>
      <c r="D391" s="62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61" t="n"/>
      <c r="N391" s="63" t="n"/>
      <c r="O391" s="8" t="n"/>
      <c r="P391" s="8" t="n"/>
      <c r="Q391" s="8" t="n"/>
      <c r="R391" s="8" t="n"/>
      <c r="S391" s="8" t="n"/>
      <c r="T391" s="8" t="n"/>
      <c r="U391" s="8" t="n"/>
      <c r="V391" s="8" t="n"/>
    </row>
    <row r="392">
      <c r="A392" s="8" t="n"/>
      <c r="B392" s="61" t="n"/>
      <c r="C392" s="8" t="n"/>
      <c r="D392" s="62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61" t="n"/>
      <c r="N392" s="63" t="n"/>
      <c r="O392" s="8" t="n"/>
      <c r="P392" s="8" t="n"/>
      <c r="Q392" s="8" t="n"/>
      <c r="R392" s="8" t="n"/>
      <c r="S392" s="8" t="n"/>
      <c r="T392" s="8" t="n"/>
      <c r="U392" s="8" t="n"/>
      <c r="V392" s="8" t="n"/>
    </row>
    <row r="393">
      <c r="A393" s="8" t="n"/>
      <c r="B393" s="61" t="n"/>
      <c r="C393" s="8" t="n"/>
      <c r="D393" s="62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61" t="n"/>
      <c r="N393" s="63" t="n"/>
      <c r="O393" s="8" t="n"/>
      <c r="P393" s="8" t="n"/>
      <c r="Q393" s="8" t="n"/>
      <c r="R393" s="8" t="n"/>
      <c r="S393" s="8" t="n"/>
      <c r="T393" s="8" t="n"/>
      <c r="U393" s="8" t="n"/>
      <c r="V393" s="8" t="n"/>
    </row>
    <row r="394">
      <c r="A394" s="8" t="n"/>
      <c r="B394" s="61" t="n"/>
      <c r="C394" s="8" t="n"/>
      <c r="D394" s="62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61" t="n"/>
      <c r="N394" s="63" t="n"/>
      <c r="O394" s="8" t="n"/>
      <c r="P394" s="8" t="n"/>
      <c r="Q394" s="8" t="n"/>
      <c r="R394" s="8" t="n"/>
      <c r="S394" s="8" t="n"/>
      <c r="T394" s="8" t="n"/>
      <c r="U394" s="8" t="n"/>
      <c r="V394" s="8" t="n"/>
    </row>
    <row r="395">
      <c r="A395" s="8" t="n"/>
      <c r="B395" s="61" t="n"/>
      <c r="C395" s="8" t="n"/>
      <c r="D395" s="62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61" t="n"/>
      <c r="N395" s="63" t="n"/>
      <c r="O395" s="8" t="n"/>
      <c r="P395" s="8" t="n"/>
      <c r="Q395" s="8" t="n"/>
      <c r="R395" s="8" t="n"/>
      <c r="S395" s="8" t="n"/>
      <c r="T395" s="8" t="n"/>
      <c r="U395" s="8" t="n"/>
      <c r="V395" s="8" t="n"/>
    </row>
    <row r="396">
      <c r="A396" s="8" t="n"/>
      <c r="B396" s="61" t="n"/>
      <c r="C396" s="8" t="n"/>
      <c r="D396" s="62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61" t="n"/>
      <c r="N396" s="63" t="n"/>
      <c r="O396" s="8" t="n"/>
      <c r="P396" s="8" t="n"/>
      <c r="Q396" s="8" t="n"/>
      <c r="R396" s="8" t="n"/>
      <c r="S396" s="8" t="n"/>
      <c r="T396" s="8" t="n"/>
      <c r="U396" s="8" t="n"/>
      <c r="V396" s="8" t="n"/>
    </row>
    <row r="397">
      <c r="A397" s="8" t="n"/>
      <c r="B397" s="61" t="n"/>
      <c r="C397" s="8" t="n"/>
      <c r="D397" s="62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61" t="n"/>
      <c r="N397" s="63" t="n"/>
      <c r="O397" s="8" t="n"/>
      <c r="P397" s="8" t="n"/>
      <c r="Q397" s="8" t="n"/>
      <c r="R397" s="8" t="n"/>
      <c r="S397" s="8" t="n"/>
      <c r="T397" s="8" t="n"/>
      <c r="U397" s="8" t="n"/>
      <c r="V397" s="8" t="n"/>
    </row>
    <row r="398">
      <c r="A398" s="8" t="n"/>
      <c r="B398" s="61" t="n"/>
      <c r="C398" s="8" t="n"/>
      <c r="D398" s="62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61" t="n"/>
      <c r="N398" s="63" t="n"/>
      <c r="O398" s="8" t="n"/>
      <c r="P398" s="8" t="n"/>
      <c r="Q398" s="8" t="n"/>
      <c r="R398" s="8" t="n"/>
      <c r="S398" s="8" t="n"/>
      <c r="T398" s="8" t="n"/>
      <c r="U398" s="8" t="n"/>
      <c r="V398" s="8" t="n"/>
    </row>
    <row r="399">
      <c r="A399" s="8" t="n"/>
      <c r="B399" s="61" t="n"/>
      <c r="C399" s="8" t="n"/>
      <c r="D399" s="62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61" t="n"/>
      <c r="N399" s="63" t="n"/>
      <c r="O399" s="8" t="n"/>
      <c r="P399" s="8" t="n"/>
      <c r="Q399" s="8" t="n"/>
      <c r="R399" s="8" t="n"/>
      <c r="S399" s="8" t="n"/>
      <c r="T399" s="8" t="n"/>
      <c r="U399" s="8" t="n"/>
      <c r="V399" s="8" t="n"/>
    </row>
    <row r="400">
      <c r="A400" s="8" t="n"/>
      <c r="B400" s="61" t="n"/>
      <c r="C400" s="8" t="n"/>
      <c r="D400" s="62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61" t="n"/>
      <c r="N400" s="63" t="n"/>
      <c r="O400" s="8" t="n"/>
      <c r="P400" s="8" t="n"/>
      <c r="Q400" s="8" t="n"/>
      <c r="R400" s="8" t="n"/>
      <c r="S400" s="8" t="n"/>
      <c r="T400" s="8" t="n"/>
      <c r="U400" s="8" t="n"/>
      <c r="V400" s="8" t="n"/>
    </row>
    <row r="401">
      <c r="A401" s="8" t="n"/>
      <c r="B401" s="61" t="n"/>
      <c r="C401" s="8" t="n"/>
      <c r="D401" s="62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61" t="n"/>
      <c r="N401" s="63" t="n"/>
      <c r="O401" s="8" t="n"/>
      <c r="P401" s="8" t="n"/>
      <c r="Q401" s="8" t="n"/>
      <c r="R401" s="8" t="n"/>
      <c r="S401" s="8" t="n"/>
      <c r="T401" s="8" t="n"/>
      <c r="U401" s="8" t="n"/>
      <c r="V401" s="8" t="n"/>
    </row>
    <row r="402">
      <c r="A402" s="8" t="n"/>
      <c r="B402" s="61" t="n"/>
      <c r="C402" s="8" t="n"/>
      <c r="D402" s="62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61" t="n"/>
      <c r="N402" s="63" t="n"/>
      <c r="O402" s="8" t="n"/>
      <c r="P402" s="8" t="n"/>
      <c r="Q402" s="8" t="n"/>
      <c r="R402" s="8" t="n"/>
      <c r="S402" s="8" t="n"/>
      <c r="T402" s="8" t="n"/>
      <c r="U402" s="8" t="n"/>
      <c r="V402" s="8" t="n"/>
    </row>
    <row r="403">
      <c r="A403" s="8" t="n"/>
      <c r="B403" s="61" t="n"/>
      <c r="C403" s="8" t="n"/>
      <c r="D403" s="62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61" t="n"/>
      <c r="N403" s="63" t="n"/>
      <c r="O403" s="8" t="n"/>
      <c r="P403" s="8" t="n"/>
      <c r="Q403" s="8" t="n"/>
      <c r="R403" s="8" t="n"/>
      <c r="S403" s="8" t="n"/>
      <c r="T403" s="8" t="n"/>
      <c r="U403" s="8" t="n"/>
      <c r="V403" s="8" t="n"/>
    </row>
    <row r="404">
      <c r="A404" s="8" t="n"/>
      <c r="B404" s="61" t="n"/>
      <c r="C404" s="8" t="n"/>
      <c r="D404" s="62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61" t="n"/>
      <c r="N404" s="63" t="n"/>
      <c r="O404" s="8" t="n"/>
      <c r="P404" s="8" t="n"/>
      <c r="Q404" s="8" t="n"/>
      <c r="R404" s="8" t="n"/>
      <c r="S404" s="8" t="n"/>
      <c r="T404" s="8" t="n"/>
      <c r="U404" s="8" t="n"/>
      <c r="V404" s="8" t="n"/>
    </row>
    <row r="405">
      <c r="A405" s="8" t="n"/>
      <c r="B405" s="61" t="n"/>
      <c r="C405" s="8" t="n"/>
      <c r="D405" s="62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61" t="n"/>
      <c r="N405" s="63" t="n"/>
      <c r="O405" s="8" t="n"/>
      <c r="P405" s="8" t="n"/>
      <c r="Q405" s="8" t="n"/>
      <c r="R405" s="8" t="n"/>
      <c r="S405" s="8" t="n"/>
      <c r="T405" s="8" t="n"/>
      <c r="U405" s="8" t="n"/>
      <c r="V405" s="8" t="n"/>
    </row>
    <row r="406">
      <c r="A406" s="8" t="n"/>
      <c r="B406" s="61" t="n"/>
      <c r="C406" s="8" t="n"/>
      <c r="D406" s="62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61" t="n"/>
      <c r="N406" s="63" t="n"/>
      <c r="O406" s="8" t="n"/>
      <c r="P406" s="8" t="n"/>
      <c r="Q406" s="8" t="n"/>
      <c r="R406" s="8" t="n"/>
      <c r="S406" s="8" t="n"/>
      <c r="T406" s="8" t="n"/>
      <c r="U406" s="8" t="n"/>
      <c r="V406" s="8" t="n"/>
    </row>
    <row r="407">
      <c r="A407" s="8" t="n"/>
      <c r="B407" s="61" t="n"/>
      <c r="C407" s="8" t="n"/>
      <c r="D407" s="62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61" t="n"/>
      <c r="N407" s="63" t="n"/>
      <c r="O407" s="8" t="n"/>
      <c r="P407" s="8" t="n"/>
      <c r="Q407" s="8" t="n"/>
      <c r="R407" s="8" t="n"/>
      <c r="S407" s="8" t="n"/>
      <c r="T407" s="8" t="n"/>
      <c r="U407" s="8" t="n"/>
      <c r="V407" s="8" t="n"/>
    </row>
    <row r="408">
      <c r="A408" s="8" t="n"/>
      <c r="B408" s="61" t="n"/>
      <c r="C408" s="8" t="n"/>
      <c r="D408" s="62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61" t="n"/>
      <c r="N408" s="63" t="n"/>
      <c r="O408" s="8" t="n"/>
      <c r="P408" s="8" t="n"/>
      <c r="Q408" s="8" t="n"/>
      <c r="R408" s="8" t="n"/>
      <c r="S408" s="8" t="n"/>
      <c r="T408" s="8" t="n"/>
      <c r="U408" s="8" t="n"/>
      <c r="V408" s="8" t="n"/>
    </row>
    <row r="409">
      <c r="A409" s="8" t="n"/>
      <c r="B409" s="61" t="n"/>
      <c r="C409" s="8" t="n"/>
      <c r="D409" s="62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61" t="n"/>
      <c r="N409" s="63" t="n"/>
      <c r="O409" s="8" t="n"/>
      <c r="P409" s="8" t="n"/>
      <c r="Q409" s="8" t="n"/>
      <c r="R409" s="8" t="n"/>
      <c r="S409" s="8" t="n"/>
      <c r="T409" s="8" t="n"/>
      <c r="U409" s="8" t="n"/>
      <c r="V409" s="8" t="n"/>
    </row>
    <row r="410">
      <c r="A410" s="8" t="n"/>
      <c r="B410" s="61" t="n"/>
      <c r="C410" s="8" t="n"/>
      <c r="D410" s="62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61" t="n"/>
      <c r="N410" s="63" t="n"/>
      <c r="O410" s="8" t="n"/>
      <c r="P410" s="8" t="n"/>
      <c r="Q410" s="8" t="n"/>
      <c r="R410" s="8" t="n"/>
      <c r="S410" s="8" t="n"/>
      <c r="T410" s="8" t="n"/>
      <c r="U410" s="8" t="n"/>
      <c r="V410" s="8" t="n"/>
    </row>
    <row r="411">
      <c r="A411" s="8" t="n"/>
      <c r="B411" s="61" t="n"/>
      <c r="C411" s="8" t="n"/>
      <c r="D411" s="62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61" t="n"/>
      <c r="N411" s="63" t="n"/>
      <c r="O411" s="8" t="n"/>
      <c r="P411" s="8" t="n"/>
      <c r="Q411" s="8" t="n"/>
      <c r="R411" s="8" t="n"/>
      <c r="S411" s="8" t="n"/>
      <c r="T411" s="8" t="n"/>
      <c r="U411" s="8" t="n"/>
      <c r="V411" s="8" t="n"/>
    </row>
    <row r="412">
      <c r="A412" s="8" t="n"/>
      <c r="B412" s="61" t="n"/>
      <c r="C412" s="8" t="n"/>
      <c r="D412" s="62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61" t="n"/>
      <c r="N412" s="63" t="n"/>
      <c r="O412" s="8" t="n"/>
      <c r="P412" s="8" t="n"/>
      <c r="Q412" s="8" t="n"/>
      <c r="R412" s="8" t="n"/>
      <c r="S412" s="8" t="n"/>
      <c r="T412" s="8" t="n"/>
      <c r="U412" s="8" t="n"/>
      <c r="V412" s="8" t="n"/>
    </row>
    <row r="413">
      <c r="A413" s="8" t="n"/>
      <c r="B413" s="61" t="n"/>
      <c r="C413" s="8" t="n"/>
      <c r="D413" s="62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61" t="n"/>
      <c r="N413" s="63" t="n"/>
      <c r="O413" s="8" t="n"/>
      <c r="P413" s="8" t="n"/>
      <c r="Q413" s="8" t="n"/>
      <c r="R413" s="8" t="n"/>
      <c r="S413" s="8" t="n"/>
      <c r="T413" s="8" t="n"/>
      <c r="U413" s="8" t="n"/>
      <c r="V413" s="8" t="n"/>
    </row>
    <row r="414">
      <c r="A414" s="8" t="n"/>
      <c r="B414" s="61" t="n"/>
      <c r="C414" s="8" t="n"/>
      <c r="D414" s="62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61" t="n"/>
      <c r="N414" s="63" t="n"/>
      <c r="O414" s="8" t="n"/>
      <c r="P414" s="8" t="n"/>
      <c r="Q414" s="8" t="n"/>
      <c r="R414" s="8" t="n"/>
      <c r="S414" s="8" t="n"/>
      <c r="T414" s="8" t="n"/>
      <c r="U414" s="8" t="n"/>
      <c r="V414" s="8" t="n"/>
    </row>
    <row r="415">
      <c r="A415" s="8" t="n"/>
      <c r="B415" s="61" t="n"/>
      <c r="C415" s="8" t="n"/>
      <c r="D415" s="62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61" t="n"/>
      <c r="N415" s="63" t="n"/>
      <c r="O415" s="8" t="n"/>
      <c r="P415" s="8" t="n"/>
      <c r="Q415" s="8" t="n"/>
      <c r="R415" s="8" t="n"/>
      <c r="S415" s="8" t="n"/>
      <c r="T415" s="8" t="n"/>
      <c r="U415" s="8" t="n"/>
      <c r="V415" s="8" t="n"/>
    </row>
    <row r="416">
      <c r="A416" s="8" t="n"/>
      <c r="B416" s="61" t="n"/>
      <c r="C416" s="8" t="n"/>
      <c r="D416" s="62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61" t="n"/>
      <c r="N416" s="63" t="n"/>
      <c r="O416" s="8" t="n"/>
      <c r="P416" s="8" t="n"/>
      <c r="Q416" s="8" t="n"/>
      <c r="R416" s="8" t="n"/>
      <c r="S416" s="8" t="n"/>
      <c r="T416" s="8" t="n"/>
      <c r="U416" s="8" t="n"/>
      <c r="V416" s="8" t="n"/>
    </row>
    <row r="417">
      <c r="A417" s="8" t="n"/>
      <c r="B417" s="61" t="n"/>
      <c r="C417" s="8" t="n"/>
      <c r="D417" s="62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61" t="n"/>
      <c r="N417" s="63" t="n"/>
      <c r="O417" s="8" t="n"/>
      <c r="P417" s="8" t="n"/>
      <c r="Q417" s="8" t="n"/>
      <c r="R417" s="8" t="n"/>
      <c r="S417" s="8" t="n"/>
      <c r="T417" s="8" t="n"/>
      <c r="U417" s="8" t="n"/>
      <c r="V417" s="8" t="n"/>
    </row>
    <row r="418">
      <c r="A418" s="8" t="n"/>
      <c r="B418" s="61" t="n"/>
      <c r="C418" s="8" t="n"/>
      <c r="D418" s="62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61" t="n"/>
      <c r="N418" s="63" t="n"/>
      <c r="O418" s="8" t="n"/>
      <c r="P418" s="8" t="n"/>
      <c r="Q418" s="8" t="n"/>
      <c r="R418" s="8" t="n"/>
      <c r="S418" s="8" t="n"/>
      <c r="T418" s="8" t="n"/>
      <c r="U418" s="8" t="n"/>
      <c r="V418" s="8" t="n"/>
    </row>
    <row r="419">
      <c r="A419" s="8" t="n"/>
      <c r="B419" s="61" t="n"/>
      <c r="C419" s="8" t="n"/>
      <c r="D419" s="62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61" t="n"/>
      <c r="N419" s="63" t="n"/>
      <c r="O419" s="8" t="n"/>
      <c r="P419" s="8" t="n"/>
      <c r="Q419" s="8" t="n"/>
      <c r="R419" s="8" t="n"/>
      <c r="S419" s="8" t="n"/>
      <c r="T419" s="8" t="n"/>
      <c r="U419" s="8" t="n"/>
      <c r="V419" s="8" t="n"/>
    </row>
    <row r="420">
      <c r="A420" s="8" t="n"/>
      <c r="B420" s="61" t="n"/>
      <c r="C420" s="8" t="n"/>
      <c r="D420" s="62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61" t="n"/>
      <c r="N420" s="63" t="n"/>
      <c r="O420" s="8" t="n"/>
      <c r="P420" s="8" t="n"/>
      <c r="Q420" s="8" t="n"/>
      <c r="R420" s="8" t="n"/>
      <c r="S420" s="8" t="n"/>
      <c r="T420" s="8" t="n"/>
      <c r="U420" s="8" t="n"/>
      <c r="V420" s="8" t="n"/>
    </row>
    <row r="421">
      <c r="A421" s="8" t="n"/>
      <c r="B421" s="61" t="n"/>
      <c r="C421" s="8" t="n"/>
      <c r="D421" s="62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61" t="n"/>
      <c r="N421" s="63" t="n"/>
      <c r="O421" s="8" t="n"/>
      <c r="P421" s="8" t="n"/>
      <c r="Q421" s="8" t="n"/>
      <c r="R421" s="8" t="n"/>
      <c r="S421" s="8" t="n"/>
      <c r="T421" s="8" t="n"/>
      <c r="U421" s="8" t="n"/>
      <c r="V421" s="8" t="n"/>
    </row>
    <row r="422">
      <c r="A422" s="8" t="n"/>
      <c r="B422" s="61" t="n"/>
      <c r="C422" s="8" t="n"/>
      <c r="D422" s="62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61" t="n"/>
      <c r="N422" s="63" t="n"/>
      <c r="O422" s="8" t="n"/>
      <c r="P422" s="8" t="n"/>
      <c r="Q422" s="8" t="n"/>
      <c r="R422" s="8" t="n"/>
      <c r="S422" s="8" t="n"/>
      <c r="T422" s="8" t="n"/>
      <c r="U422" s="8" t="n"/>
      <c r="V422" s="8" t="n"/>
    </row>
    <row r="423">
      <c r="A423" s="8" t="n"/>
      <c r="B423" s="61" t="n"/>
      <c r="C423" s="8" t="n"/>
      <c r="D423" s="62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61" t="n"/>
      <c r="N423" s="63" t="n"/>
      <c r="O423" s="8" t="n"/>
      <c r="P423" s="8" t="n"/>
      <c r="Q423" s="8" t="n"/>
      <c r="R423" s="8" t="n"/>
      <c r="S423" s="8" t="n"/>
      <c r="T423" s="8" t="n"/>
      <c r="U423" s="8" t="n"/>
      <c r="V423" s="8" t="n"/>
    </row>
    <row r="424">
      <c r="A424" s="8" t="n"/>
      <c r="B424" s="61" t="n"/>
      <c r="C424" s="8" t="n"/>
      <c r="D424" s="62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61" t="n"/>
      <c r="N424" s="63" t="n"/>
      <c r="O424" s="8" t="n"/>
      <c r="P424" s="8" t="n"/>
      <c r="Q424" s="8" t="n"/>
      <c r="R424" s="8" t="n"/>
      <c r="S424" s="8" t="n"/>
      <c r="T424" s="8" t="n"/>
      <c r="U424" s="8" t="n"/>
      <c r="V424" s="8" t="n"/>
    </row>
    <row r="425">
      <c r="A425" s="8" t="n"/>
      <c r="B425" s="61" t="n"/>
      <c r="C425" s="8" t="n"/>
      <c r="D425" s="62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61" t="n"/>
      <c r="N425" s="63" t="n"/>
      <c r="O425" s="8" t="n"/>
      <c r="P425" s="8" t="n"/>
      <c r="Q425" s="8" t="n"/>
      <c r="R425" s="8" t="n"/>
      <c r="S425" s="8" t="n"/>
      <c r="T425" s="8" t="n"/>
      <c r="U425" s="8" t="n"/>
      <c r="V425" s="8" t="n"/>
    </row>
    <row r="426">
      <c r="A426" s="8" t="n"/>
      <c r="B426" s="61" t="n"/>
      <c r="C426" s="8" t="n"/>
      <c r="D426" s="62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61" t="n"/>
      <c r="N426" s="63" t="n"/>
      <c r="O426" s="8" t="n"/>
      <c r="P426" s="8" t="n"/>
      <c r="Q426" s="8" t="n"/>
      <c r="R426" s="8" t="n"/>
      <c r="S426" s="8" t="n"/>
      <c r="T426" s="8" t="n"/>
      <c r="U426" s="8" t="n"/>
      <c r="V426" s="8" t="n"/>
    </row>
    <row r="427">
      <c r="A427" s="8" t="n"/>
      <c r="B427" s="61" t="n"/>
      <c r="C427" s="8" t="n"/>
      <c r="D427" s="62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61" t="n"/>
      <c r="N427" s="63" t="n"/>
      <c r="O427" s="8" t="n"/>
      <c r="P427" s="8" t="n"/>
      <c r="Q427" s="8" t="n"/>
      <c r="R427" s="8" t="n"/>
      <c r="S427" s="8" t="n"/>
      <c r="T427" s="8" t="n"/>
      <c r="U427" s="8" t="n"/>
      <c r="V427" s="8" t="n"/>
    </row>
    <row r="428">
      <c r="A428" s="8" t="n"/>
      <c r="B428" s="61" t="n"/>
      <c r="C428" s="8" t="n"/>
      <c r="D428" s="62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61" t="n"/>
      <c r="N428" s="63" t="n"/>
      <c r="O428" s="8" t="n"/>
      <c r="P428" s="8" t="n"/>
      <c r="Q428" s="8" t="n"/>
      <c r="R428" s="8" t="n"/>
      <c r="S428" s="8" t="n"/>
      <c r="T428" s="8" t="n"/>
      <c r="U428" s="8" t="n"/>
      <c r="V428" s="8" t="n"/>
    </row>
    <row r="429">
      <c r="A429" s="8" t="n"/>
      <c r="B429" s="61" t="n"/>
      <c r="C429" s="8" t="n"/>
      <c r="D429" s="62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61" t="n"/>
      <c r="N429" s="63" t="n"/>
      <c r="O429" s="8" t="n"/>
      <c r="P429" s="8" t="n"/>
      <c r="Q429" s="8" t="n"/>
      <c r="R429" s="8" t="n"/>
      <c r="S429" s="8" t="n"/>
      <c r="T429" s="8" t="n"/>
      <c r="U429" s="8" t="n"/>
      <c r="V429" s="8" t="n"/>
    </row>
    <row r="430">
      <c r="A430" s="8" t="n"/>
      <c r="B430" s="61" t="n"/>
      <c r="C430" s="8" t="n"/>
      <c r="D430" s="62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61" t="n"/>
      <c r="N430" s="63" t="n"/>
      <c r="O430" s="8" t="n"/>
      <c r="P430" s="8" t="n"/>
      <c r="Q430" s="8" t="n"/>
      <c r="R430" s="8" t="n"/>
      <c r="S430" s="8" t="n"/>
      <c r="T430" s="8" t="n"/>
      <c r="U430" s="8" t="n"/>
      <c r="V430" s="8" t="n"/>
    </row>
    <row r="431">
      <c r="A431" s="8" t="n"/>
      <c r="B431" s="61" t="n"/>
      <c r="C431" s="8" t="n"/>
      <c r="D431" s="62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61" t="n"/>
      <c r="N431" s="63" t="n"/>
      <c r="O431" s="8" t="n"/>
      <c r="P431" s="8" t="n"/>
      <c r="Q431" s="8" t="n"/>
      <c r="R431" s="8" t="n"/>
      <c r="S431" s="8" t="n"/>
      <c r="T431" s="8" t="n"/>
      <c r="U431" s="8" t="n"/>
      <c r="V431" s="8" t="n"/>
    </row>
    <row r="432">
      <c r="A432" s="8" t="n"/>
      <c r="B432" s="61" t="n"/>
      <c r="C432" s="8" t="n"/>
      <c r="D432" s="62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61" t="n"/>
      <c r="N432" s="63" t="n"/>
      <c r="O432" s="8" t="n"/>
      <c r="P432" s="8" t="n"/>
      <c r="Q432" s="8" t="n"/>
      <c r="R432" s="8" t="n"/>
      <c r="S432" s="8" t="n"/>
      <c r="T432" s="8" t="n"/>
      <c r="U432" s="8" t="n"/>
      <c r="V432" s="8" t="n"/>
    </row>
    <row r="433">
      <c r="A433" s="8" t="n"/>
      <c r="B433" s="61" t="n"/>
      <c r="C433" s="8" t="n"/>
      <c r="D433" s="62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61" t="n"/>
      <c r="N433" s="63" t="n"/>
      <c r="O433" s="8" t="n"/>
      <c r="P433" s="8" t="n"/>
      <c r="Q433" s="8" t="n"/>
      <c r="R433" s="8" t="n"/>
      <c r="S433" s="8" t="n"/>
      <c r="T433" s="8" t="n"/>
      <c r="U433" s="8" t="n"/>
      <c r="V433" s="8" t="n"/>
    </row>
    <row r="434">
      <c r="A434" s="8" t="n"/>
      <c r="B434" s="61" t="n"/>
      <c r="C434" s="8" t="n"/>
      <c r="D434" s="62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61" t="n"/>
      <c r="N434" s="63" t="n"/>
      <c r="O434" s="8" t="n"/>
      <c r="P434" s="8" t="n"/>
      <c r="Q434" s="8" t="n"/>
      <c r="R434" s="8" t="n"/>
      <c r="S434" s="8" t="n"/>
      <c r="T434" s="8" t="n"/>
      <c r="U434" s="8" t="n"/>
      <c r="V434" s="8" t="n"/>
    </row>
    <row r="435">
      <c r="A435" s="8" t="n"/>
      <c r="B435" s="61" t="n"/>
      <c r="C435" s="8" t="n"/>
      <c r="D435" s="62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61" t="n"/>
      <c r="N435" s="63" t="n"/>
      <c r="O435" s="8" t="n"/>
      <c r="P435" s="8" t="n"/>
      <c r="Q435" s="8" t="n"/>
      <c r="R435" s="8" t="n"/>
      <c r="S435" s="8" t="n"/>
      <c r="T435" s="8" t="n"/>
      <c r="U435" s="8" t="n"/>
      <c r="V435" s="8" t="n"/>
    </row>
    <row r="436">
      <c r="A436" s="8" t="n"/>
      <c r="B436" s="61" t="n"/>
      <c r="C436" s="8" t="n"/>
      <c r="D436" s="62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61" t="n"/>
      <c r="N436" s="63" t="n"/>
      <c r="O436" s="8" t="n"/>
      <c r="P436" s="8" t="n"/>
      <c r="Q436" s="8" t="n"/>
      <c r="R436" s="8" t="n"/>
      <c r="S436" s="8" t="n"/>
      <c r="T436" s="8" t="n"/>
      <c r="U436" s="8" t="n"/>
      <c r="V436" s="8" t="n"/>
    </row>
    <row r="437">
      <c r="A437" s="8" t="n"/>
      <c r="B437" s="61" t="n"/>
      <c r="C437" s="8" t="n"/>
      <c r="D437" s="62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61" t="n"/>
      <c r="N437" s="63" t="n"/>
      <c r="O437" s="8" t="n"/>
      <c r="P437" s="8" t="n"/>
      <c r="Q437" s="8" t="n"/>
      <c r="R437" s="8" t="n"/>
      <c r="S437" s="8" t="n"/>
      <c r="T437" s="8" t="n"/>
      <c r="U437" s="8" t="n"/>
      <c r="V437" s="8" t="n"/>
    </row>
    <row r="438">
      <c r="A438" s="8" t="n"/>
      <c r="B438" s="61" t="n"/>
      <c r="C438" s="8" t="n"/>
      <c r="D438" s="62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61" t="n"/>
      <c r="N438" s="63" t="n"/>
      <c r="O438" s="8" t="n"/>
      <c r="P438" s="8" t="n"/>
      <c r="Q438" s="8" t="n"/>
      <c r="R438" s="8" t="n"/>
      <c r="S438" s="8" t="n"/>
      <c r="T438" s="8" t="n"/>
      <c r="U438" s="8" t="n"/>
      <c r="V438" s="8" t="n"/>
    </row>
    <row r="439">
      <c r="A439" s="8" t="n"/>
      <c r="B439" s="61" t="n"/>
      <c r="C439" s="8" t="n"/>
      <c r="D439" s="62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61" t="n"/>
      <c r="N439" s="63" t="n"/>
      <c r="O439" s="8" t="n"/>
      <c r="P439" s="8" t="n"/>
      <c r="Q439" s="8" t="n"/>
      <c r="R439" s="8" t="n"/>
      <c r="S439" s="8" t="n"/>
      <c r="T439" s="8" t="n"/>
      <c r="U439" s="8" t="n"/>
      <c r="V439" s="8" t="n"/>
    </row>
    <row r="440">
      <c r="A440" s="8" t="n"/>
      <c r="B440" s="61" t="n"/>
      <c r="C440" s="8" t="n"/>
      <c r="D440" s="62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61" t="n"/>
      <c r="N440" s="63" t="n"/>
      <c r="O440" s="8" t="n"/>
      <c r="P440" s="8" t="n"/>
      <c r="Q440" s="8" t="n"/>
      <c r="R440" s="8" t="n"/>
      <c r="S440" s="8" t="n"/>
      <c r="T440" s="8" t="n"/>
      <c r="U440" s="8" t="n"/>
      <c r="V440" s="8" t="n"/>
    </row>
    <row r="441">
      <c r="A441" s="8" t="n"/>
      <c r="B441" s="61" t="n"/>
      <c r="C441" s="8" t="n"/>
      <c r="D441" s="62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61" t="n"/>
      <c r="N441" s="63" t="n"/>
      <c r="O441" s="8" t="n"/>
      <c r="P441" s="8" t="n"/>
      <c r="Q441" s="8" t="n"/>
      <c r="R441" s="8" t="n"/>
      <c r="S441" s="8" t="n"/>
      <c r="T441" s="8" t="n"/>
      <c r="U441" s="8" t="n"/>
      <c r="V441" s="8" t="n"/>
    </row>
    <row r="442">
      <c r="A442" s="8" t="n"/>
      <c r="B442" s="61" t="n"/>
      <c r="C442" s="8" t="n"/>
      <c r="D442" s="62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61" t="n"/>
      <c r="N442" s="63" t="n"/>
      <c r="O442" s="8" t="n"/>
      <c r="P442" s="8" t="n"/>
      <c r="Q442" s="8" t="n"/>
      <c r="R442" s="8" t="n"/>
      <c r="S442" s="8" t="n"/>
      <c r="T442" s="8" t="n"/>
      <c r="U442" s="8" t="n"/>
      <c r="V442" s="8" t="n"/>
    </row>
    <row r="443">
      <c r="A443" s="8" t="n"/>
      <c r="B443" s="61" t="n"/>
      <c r="C443" s="8" t="n"/>
      <c r="D443" s="62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61" t="n"/>
      <c r="N443" s="63" t="n"/>
      <c r="O443" s="8" t="n"/>
      <c r="P443" s="8" t="n"/>
      <c r="Q443" s="8" t="n"/>
      <c r="R443" s="8" t="n"/>
      <c r="S443" s="8" t="n"/>
      <c r="T443" s="8" t="n"/>
      <c r="U443" s="8" t="n"/>
      <c r="V443" s="8" t="n"/>
    </row>
    <row r="444">
      <c r="A444" s="8" t="n"/>
      <c r="B444" s="61" t="n"/>
      <c r="C444" s="8" t="n"/>
      <c r="D444" s="62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61" t="n"/>
      <c r="N444" s="63" t="n"/>
      <c r="O444" s="8" t="n"/>
      <c r="P444" s="8" t="n"/>
      <c r="Q444" s="8" t="n"/>
      <c r="R444" s="8" t="n"/>
      <c r="S444" s="8" t="n"/>
      <c r="T444" s="8" t="n"/>
      <c r="U444" s="8" t="n"/>
      <c r="V444" s="8" t="n"/>
    </row>
    <row r="445">
      <c r="A445" s="8" t="n"/>
      <c r="B445" s="61" t="n"/>
      <c r="C445" s="8" t="n"/>
      <c r="D445" s="62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61" t="n"/>
      <c r="N445" s="63" t="n"/>
      <c r="O445" s="8" t="n"/>
      <c r="P445" s="8" t="n"/>
      <c r="Q445" s="8" t="n"/>
      <c r="R445" s="8" t="n"/>
      <c r="S445" s="8" t="n"/>
      <c r="T445" s="8" t="n"/>
      <c r="U445" s="8" t="n"/>
      <c r="V445" s="8" t="n"/>
    </row>
    <row r="446">
      <c r="A446" s="8" t="n"/>
      <c r="B446" s="61" t="n"/>
      <c r="C446" s="8" t="n"/>
      <c r="D446" s="62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61" t="n"/>
      <c r="N446" s="63" t="n"/>
      <c r="O446" s="8" t="n"/>
      <c r="P446" s="8" t="n"/>
      <c r="Q446" s="8" t="n"/>
      <c r="R446" s="8" t="n"/>
      <c r="S446" s="8" t="n"/>
      <c r="T446" s="8" t="n"/>
      <c r="U446" s="8" t="n"/>
      <c r="V446" s="8" t="n"/>
    </row>
    <row r="447">
      <c r="A447" s="8" t="n"/>
      <c r="B447" s="61" t="n"/>
      <c r="C447" s="8" t="n"/>
      <c r="D447" s="62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61" t="n"/>
      <c r="N447" s="63" t="n"/>
      <c r="O447" s="8" t="n"/>
      <c r="P447" s="8" t="n"/>
      <c r="Q447" s="8" t="n"/>
      <c r="R447" s="8" t="n"/>
      <c r="S447" s="8" t="n"/>
      <c r="T447" s="8" t="n"/>
      <c r="U447" s="8" t="n"/>
      <c r="V447" s="8" t="n"/>
    </row>
    <row r="448">
      <c r="A448" s="8" t="n"/>
      <c r="B448" s="61" t="n"/>
      <c r="C448" s="8" t="n"/>
      <c r="D448" s="62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61" t="n"/>
      <c r="N448" s="63" t="n"/>
      <c r="O448" s="8" t="n"/>
      <c r="P448" s="8" t="n"/>
      <c r="Q448" s="8" t="n"/>
      <c r="R448" s="8" t="n"/>
      <c r="S448" s="8" t="n"/>
      <c r="T448" s="8" t="n"/>
      <c r="U448" s="8" t="n"/>
      <c r="V448" s="8" t="n"/>
    </row>
    <row r="449">
      <c r="A449" s="8" t="n"/>
      <c r="B449" s="61" t="n"/>
      <c r="C449" s="8" t="n"/>
      <c r="D449" s="62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61" t="n"/>
      <c r="N449" s="63" t="n"/>
      <c r="O449" s="8" t="n"/>
      <c r="P449" s="8" t="n"/>
      <c r="Q449" s="8" t="n"/>
      <c r="R449" s="8" t="n"/>
      <c r="S449" s="8" t="n"/>
      <c r="T449" s="8" t="n"/>
      <c r="U449" s="8" t="n"/>
      <c r="V449" s="8" t="n"/>
    </row>
    <row r="450">
      <c r="A450" s="8" t="n"/>
      <c r="B450" s="61" t="n"/>
      <c r="C450" s="8" t="n"/>
      <c r="D450" s="62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61" t="n"/>
      <c r="N450" s="63" t="n"/>
      <c r="O450" s="8" t="n"/>
      <c r="P450" s="8" t="n"/>
      <c r="Q450" s="8" t="n"/>
      <c r="R450" s="8" t="n"/>
      <c r="S450" s="8" t="n"/>
      <c r="T450" s="8" t="n"/>
      <c r="U450" s="8" t="n"/>
      <c r="V450" s="8" t="n"/>
    </row>
    <row r="451">
      <c r="A451" s="8" t="n"/>
      <c r="B451" s="61" t="n"/>
      <c r="C451" s="8" t="n"/>
      <c r="D451" s="62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61" t="n"/>
      <c r="N451" s="63" t="n"/>
      <c r="O451" s="8" t="n"/>
      <c r="P451" s="8" t="n"/>
      <c r="Q451" s="8" t="n"/>
      <c r="R451" s="8" t="n"/>
      <c r="S451" s="8" t="n"/>
      <c r="T451" s="8" t="n"/>
      <c r="U451" s="8" t="n"/>
      <c r="V451" s="8" t="n"/>
    </row>
    <row r="452">
      <c r="A452" s="8" t="n"/>
      <c r="B452" s="61" t="n"/>
      <c r="C452" s="8" t="n"/>
      <c r="D452" s="62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61" t="n"/>
      <c r="N452" s="63" t="n"/>
      <c r="O452" s="8" t="n"/>
      <c r="P452" s="8" t="n"/>
      <c r="Q452" s="8" t="n"/>
      <c r="R452" s="8" t="n"/>
      <c r="S452" s="8" t="n"/>
      <c r="T452" s="8" t="n"/>
      <c r="U452" s="8" t="n"/>
      <c r="V452" s="8" t="n"/>
    </row>
    <row r="453">
      <c r="A453" s="8" t="n"/>
      <c r="B453" s="61" t="n"/>
      <c r="C453" s="8" t="n"/>
      <c r="D453" s="62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61" t="n"/>
      <c r="N453" s="63" t="n"/>
      <c r="O453" s="8" t="n"/>
      <c r="P453" s="8" t="n"/>
      <c r="Q453" s="8" t="n"/>
      <c r="R453" s="8" t="n"/>
      <c r="S453" s="8" t="n"/>
      <c r="T453" s="8" t="n"/>
      <c r="U453" s="8" t="n"/>
      <c r="V453" s="8" t="n"/>
    </row>
    <row r="454">
      <c r="A454" s="8" t="n"/>
      <c r="B454" s="61" t="n"/>
      <c r="C454" s="8" t="n"/>
      <c r="D454" s="62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61" t="n"/>
      <c r="N454" s="63" t="n"/>
      <c r="O454" s="8" t="n"/>
      <c r="P454" s="8" t="n"/>
      <c r="Q454" s="8" t="n"/>
      <c r="R454" s="8" t="n"/>
      <c r="S454" s="8" t="n"/>
      <c r="T454" s="8" t="n"/>
      <c r="U454" s="8" t="n"/>
      <c r="V454" s="8" t="n"/>
    </row>
    <row r="455">
      <c r="A455" s="8" t="n"/>
      <c r="B455" s="61" t="n"/>
      <c r="C455" s="8" t="n"/>
      <c r="D455" s="62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61" t="n"/>
      <c r="N455" s="63" t="n"/>
      <c r="O455" s="8" t="n"/>
      <c r="P455" s="8" t="n"/>
      <c r="Q455" s="8" t="n"/>
      <c r="R455" s="8" t="n"/>
      <c r="S455" s="8" t="n"/>
      <c r="T455" s="8" t="n"/>
      <c r="U455" s="8" t="n"/>
      <c r="V455" s="8" t="n"/>
    </row>
    <row r="456">
      <c r="A456" s="8" t="n"/>
      <c r="B456" s="61" t="n"/>
      <c r="C456" s="8" t="n"/>
      <c r="D456" s="62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61" t="n"/>
      <c r="N456" s="63" t="n"/>
      <c r="O456" s="8" t="n"/>
      <c r="P456" s="8" t="n"/>
      <c r="Q456" s="8" t="n"/>
      <c r="R456" s="8" t="n"/>
      <c r="S456" s="8" t="n"/>
      <c r="T456" s="8" t="n"/>
      <c r="U456" s="8" t="n"/>
      <c r="V456" s="8" t="n"/>
    </row>
    <row r="457">
      <c r="A457" s="8" t="n"/>
      <c r="B457" s="61" t="n"/>
      <c r="C457" s="8" t="n"/>
      <c r="D457" s="62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61" t="n"/>
      <c r="N457" s="63" t="n"/>
      <c r="O457" s="8" t="n"/>
      <c r="P457" s="8" t="n"/>
      <c r="Q457" s="8" t="n"/>
      <c r="R457" s="8" t="n"/>
      <c r="S457" s="8" t="n"/>
      <c r="T457" s="8" t="n"/>
      <c r="U457" s="8" t="n"/>
      <c r="V457" s="8" t="n"/>
    </row>
    <row r="458">
      <c r="A458" s="8" t="n"/>
      <c r="B458" s="61" t="n"/>
      <c r="C458" s="8" t="n"/>
      <c r="D458" s="62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61" t="n"/>
      <c r="N458" s="63" t="n"/>
      <c r="O458" s="8" t="n"/>
      <c r="P458" s="8" t="n"/>
      <c r="Q458" s="8" t="n"/>
      <c r="R458" s="8" t="n"/>
      <c r="S458" s="8" t="n"/>
      <c r="T458" s="8" t="n"/>
      <c r="U458" s="8" t="n"/>
      <c r="V458" s="8" t="n"/>
    </row>
    <row r="459">
      <c r="A459" s="8" t="n"/>
      <c r="B459" s="61" t="n"/>
      <c r="C459" s="8" t="n"/>
      <c r="D459" s="62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61" t="n"/>
      <c r="N459" s="63" t="n"/>
      <c r="O459" s="8" t="n"/>
      <c r="P459" s="8" t="n"/>
      <c r="Q459" s="8" t="n"/>
      <c r="R459" s="8" t="n"/>
      <c r="S459" s="8" t="n"/>
      <c r="T459" s="8" t="n"/>
      <c r="U459" s="8" t="n"/>
      <c r="V459" s="8" t="n"/>
    </row>
    <row r="460">
      <c r="A460" s="8" t="n"/>
      <c r="B460" s="61" t="n"/>
      <c r="C460" s="8" t="n"/>
      <c r="D460" s="62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61" t="n"/>
      <c r="N460" s="63" t="n"/>
      <c r="O460" s="8" t="n"/>
      <c r="P460" s="8" t="n"/>
      <c r="Q460" s="8" t="n"/>
      <c r="R460" s="8" t="n"/>
      <c r="S460" s="8" t="n"/>
      <c r="T460" s="8" t="n"/>
      <c r="U460" s="8" t="n"/>
      <c r="V460" s="8" t="n"/>
    </row>
    <row r="461">
      <c r="A461" s="8" t="n"/>
      <c r="B461" s="61" t="n"/>
      <c r="C461" s="8" t="n"/>
      <c r="D461" s="62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61" t="n"/>
      <c r="N461" s="63" t="n"/>
      <c r="O461" s="8" t="n"/>
      <c r="P461" s="8" t="n"/>
      <c r="Q461" s="8" t="n"/>
      <c r="R461" s="8" t="n"/>
      <c r="S461" s="8" t="n"/>
      <c r="T461" s="8" t="n"/>
      <c r="U461" s="8" t="n"/>
      <c r="V461" s="8" t="n"/>
    </row>
    <row r="462">
      <c r="A462" s="8" t="n"/>
      <c r="B462" s="61" t="n"/>
      <c r="C462" s="8" t="n"/>
      <c r="D462" s="62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61" t="n"/>
      <c r="N462" s="63" t="n"/>
      <c r="O462" s="8" t="n"/>
      <c r="P462" s="8" t="n"/>
      <c r="Q462" s="8" t="n"/>
      <c r="R462" s="8" t="n"/>
      <c r="S462" s="8" t="n"/>
      <c r="T462" s="8" t="n"/>
      <c r="U462" s="8" t="n"/>
      <c r="V462" s="8" t="n"/>
    </row>
    <row r="463">
      <c r="A463" s="8" t="n"/>
      <c r="B463" s="61" t="n"/>
      <c r="C463" s="8" t="n"/>
      <c r="D463" s="62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61" t="n"/>
      <c r="N463" s="63" t="n"/>
      <c r="O463" s="8" t="n"/>
      <c r="P463" s="8" t="n"/>
      <c r="Q463" s="8" t="n"/>
      <c r="R463" s="8" t="n"/>
      <c r="S463" s="8" t="n"/>
      <c r="T463" s="8" t="n"/>
      <c r="U463" s="8" t="n"/>
      <c r="V463" s="8" t="n"/>
    </row>
    <row r="464">
      <c r="A464" s="8" t="n"/>
      <c r="B464" s="61" t="n"/>
      <c r="C464" s="8" t="n"/>
      <c r="D464" s="62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61" t="n"/>
      <c r="N464" s="63" t="n"/>
      <c r="O464" s="8" t="n"/>
      <c r="P464" s="8" t="n"/>
      <c r="Q464" s="8" t="n"/>
      <c r="R464" s="8" t="n"/>
      <c r="S464" s="8" t="n"/>
      <c r="T464" s="8" t="n"/>
      <c r="U464" s="8" t="n"/>
      <c r="V464" s="8" t="n"/>
    </row>
    <row r="465">
      <c r="A465" s="8" t="n"/>
      <c r="B465" s="61" t="n"/>
      <c r="C465" s="8" t="n"/>
      <c r="D465" s="62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61" t="n"/>
      <c r="N465" s="63" t="n"/>
      <c r="O465" s="8" t="n"/>
      <c r="P465" s="8" t="n"/>
      <c r="Q465" s="8" t="n"/>
      <c r="R465" s="8" t="n"/>
      <c r="S465" s="8" t="n"/>
      <c r="T465" s="8" t="n"/>
      <c r="U465" s="8" t="n"/>
      <c r="V465" s="8" t="n"/>
    </row>
    <row r="466">
      <c r="A466" s="8" t="n"/>
      <c r="B466" s="61" t="n"/>
      <c r="C466" s="8" t="n"/>
      <c r="D466" s="62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61" t="n"/>
      <c r="N466" s="63" t="n"/>
      <c r="O466" s="8" t="n"/>
      <c r="P466" s="8" t="n"/>
      <c r="Q466" s="8" t="n"/>
      <c r="R466" s="8" t="n"/>
      <c r="S466" s="8" t="n"/>
      <c r="T466" s="8" t="n"/>
      <c r="U466" s="8" t="n"/>
      <c r="V466" s="8" t="n"/>
    </row>
    <row r="467">
      <c r="A467" s="8" t="n"/>
      <c r="B467" s="61" t="n"/>
      <c r="C467" s="8" t="n"/>
      <c r="D467" s="62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61" t="n"/>
      <c r="N467" s="63" t="n"/>
      <c r="O467" s="8" t="n"/>
      <c r="P467" s="8" t="n"/>
      <c r="Q467" s="8" t="n"/>
      <c r="R467" s="8" t="n"/>
      <c r="S467" s="8" t="n"/>
      <c r="T467" s="8" t="n"/>
      <c r="U467" s="8" t="n"/>
      <c r="V467" s="8" t="n"/>
    </row>
    <row r="468">
      <c r="A468" s="8" t="n"/>
      <c r="B468" s="61" t="n"/>
      <c r="C468" s="8" t="n"/>
      <c r="D468" s="62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61" t="n"/>
      <c r="N468" s="63" t="n"/>
      <c r="O468" s="8" t="n"/>
      <c r="P468" s="8" t="n"/>
      <c r="Q468" s="8" t="n"/>
      <c r="R468" s="8" t="n"/>
      <c r="S468" s="8" t="n"/>
      <c r="T468" s="8" t="n"/>
      <c r="U468" s="8" t="n"/>
      <c r="V468" s="8" t="n"/>
    </row>
    <row r="469">
      <c r="A469" s="8" t="n"/>
      <c r="B469" s="61" t="n"/>
      <c r="C469" s="8" t="n"/>
      <c r="D469" s="62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61" t="n"/>
      <c r="N469" s="63" t="n"/>
      <c r="O469" s="8" t="n"/>
      <c r="P469" s="8" t="n"/>
      <c r="Q469" s="8" t="n"/>
      <c r="R469" s="8" t="n"/>
      <c r="S469" s="8" t="n"/>
      <c r="T469" s="8" t="n"/>
      <c r="U469" s="8" t="n"/>
      <c r="V469" s="8" t="n"/>
    </row>
    <row r="470">
      <c r="A470" s="8" t="n"/>
      <c r="B470" s="61" t="n"/>
      <c r="C470" s="8" t="n"/>
      <c r="D470" s="62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61" t="n"/>
      <c r="N470" s="63" t="n"/>
      <c r="O470" s="8" t="n"/>
      <c r="P470" s="8" t="n"/>
      <c r="Q470" s="8" t="n"/>
      <c r="R470" s="8" t="n"/>
      <c r="S470" s="8" t="n"/>
      <c r="T470" s="8" t="n"/>
      <c r="U470" s="8" t="n"/>
      <c r="V470" s="8" t="n"/>
    </row>
    <row r="471">
      <c r="A471" s="8" t="n"/>
      <c r="B471" s="61" t="n"/>
      <c r="C471" s="8" t="n"/>
      <c r="D471" s="62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61" t="n"/>
      <c r="N471" s="63" t="n"/>
      <c r="O471" s="8" t="n"/>
      <c r="P471" s="8" t="n"/>
      <c r="Q471" s="8" t="n"/>
      <c r="R471" s="8" t="n"/>
      <c r="S471" s="8" t="n"/>
      <c r="T471" s="8" t="n"/>
      <c r="U471" s="8" t="n"/>
      <c r="V471" s="8" t="n"/>
    </row>
    <row r="472">
      <c r="A472" s="8" t="n"/>
      <c r="B472" s="61" t="n"/>
      <c r="C472" s="8" t="n"/>
      <c r="D472" s="62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61" t="n"/>
      <c r="N472" s="63" t="n"/>
      <c r="O472" s="8" t="n"/>
      <c r="P472" s="8" t="n"/>
      <c r="Q472" s="8" t="n"/>
      <c r="R472" s="8" t="n"/>
      <c r="S472" s="8" t="n"/>
      <c r="T472" s="8" t="n"/>
      <c r="U472" s="8" t="n"/>
      <c r="V472" s="8" t="n"/>
    </row>
    <row r="473">
      <c r="A473" s="8" t="n"/>
      <c r="B473" s="61" t="n"/>
      <c r="C473" s="8" t="n"/>
      <c r="D473" s="62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61" t="n"/>
      <c r="N473" s="63" t="n"/>
      <c r="O473" s="8" t="n"/>
      <c r="P473" s="8" t="n"/>
      <c r="Q473" s="8" t="n"/>
      <c r="R473" s="8" t="n"/>
      <c r="S473" s="8" t="n"/>
      <c r="T473" s="8" t="n"/>
      <c r="U473" s="8" t="n"/>
      <c r="V473" s="8" t="n"/>
    </row>
    <row r="474">
      <c r="A474" s="8" t="n"/>
      <c r="B474" s="61" t="n"/>
      <c r="C474" s="8" t="n"/>
      <c r="D474" s="62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61" t="n"/>
      <c r="N474" s="63" t="n"/>
      <c r="O474" s="8" t="n"/>
      <c r="P474" s="8" t="n"/>
      <c r="Q474" s="8" t="n"/>
      <c r="R474" s="8" t="n"/>
      <c r="S474" s="8" t="n"/>
      <c r="T474" s="8" t="n"/>
      <c r="U474" s="8" t="n"/>
      <c r="V474" s="8" t="n"/>
    </row>
    <row r="475">
      <c r="A475" s="8" t="n"/>
      <c r="B475" s="61" t="n"/>
      <c r="C475" s="8" t="n"/>
      <c r="D475" s="62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61" t="n"/>
      <c r="N475" s="63" t="n"/>
      <c r="O475" s="8" t="n"/>
      <c r="P475" s="8" t="n"/>
      <c r="Q475" s="8" t="n"/>
      <c r="R475" s="8" t="n"/>
      <c r="S475" s="8" t="n"/>
      <c r="T475" s="8" t="n"/>
      <c r="U475" s="8" t="n"/>
      <c r="V475" s="8" t="n"/>
    </row>
    <row r="476">
      <c r="A476" s="8" t="n"/>
      <c r="B476" s="61" t="n"/>
      <c r="C476" s="8" t="n"/>
      <c r="D476" s="62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61" t="n"/>
      <c r="N476" s="63" t="n"/>
      <c r="O476" s="8" t="n"/>
      <c r="P476" s="8" t="n"/>
      <c r="Q476" s="8" t="n"/>
      <c r="R476" s="8" t="n"/>
      <c r="S476" s="8" t="n"/>
      <c r="T476" s="8" t="n"/>
      <c r="U476" s="8" t="n"/>
      <c r="V476" s="8" t="n"/>
    </row>
    <row r="477">
      <c r="A477" s="8" t="n"/>
      <c r="B477" s="61" t="n"/>
      <c r="C477" s="8" t="n"/>
      <c r="D477" s="62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61" t="n"/>
      <c r="N477" s="63" t="n"/>
      <c r="O477" s="8" t="n"/>
      <c r="P477" s="8" t="n"/>
      <c r="Q477" s="8" t="n"/>
      <c r="R477" s="8" t="n"/>
      <c r="S477" s="8" t="n"/>
      <c r="T477" s="8" t="n"/>
      <c r="U477" s="8" t="n"/>
      <c r="V477" s="8" t="n"/>
    </row>
    <row r="478">
      <c r="A478" s="8" t="n"/>
      <c r="B478" s="61" t="n"/>
      <c r="C478" s="8" t="n"/>
      <c r="D478" s="62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61" t="n"/>
      <c r="N478" s="63" t="n"/>
      <c r="O478" s="8" t="n"/>
      <c r="P478" s="8" t="n"/>
      <c r="Q478" s="8" t="n"/>
      <c r="R478" s="8" t="n"/>
      <c r="S478" s="8" t="n"/>
      <c r="T478" s="8" t="n"/>
      <c r="U478" s="8" t="n"/>
      <c r="V478" s="8" t="n"/>
    </row>
    <row r="479">
      <c r="A479" s="8" t="n"/>
      <c r="B479" s="61" t="n"/>
      <c r="C479" s="8" t="n"/>
      <c r="D479" s="62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61" t="n"/>
      <c r="N479" s="63" t="n"/>
      <c r="O479" s="8" t="n"/>
      <c r="P479" s="8" t="n"/>
      <c r="Q479" s="8" t="n"/>
      <c r="R479" s="8" t="n"/>
      <c r="S479" s="8" t="n"/>
      <c r="T479" s="8" t="n"/>
      <c r="U479" s="8" t="n"/>
      <c r="V479" s="8" t="n"/>
    </row>
    <row r="480">
      <c r="A480" s="8" t="n"/>
      <c r="B480" s="61" t="n"/>
      <c r="C480" s="8" t="n"/>
      <c r="D480" s="62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61" t="n"/>
      <c r="N480" s="63" t="n"/>
      <c r="O480" s="8" t="n"/>
      <c r="P480" s="8" t="n"/>
      <c r="Q480" s="8" t="n"/>
      <c r="R480" s="8" t="n"/>
      <c r="S480" s="8" t="n"/>
      <c r="T480" s="8" t="n"/>
      <c r="U480" s="8" t="n"/>
      <c r="V480" s="8" t="n"/>
    </row>
    <row r="481">
      <c r="A481" s="8" t="n"/>
      <c r="B481" s="61" t="n"/>
      <c r="C481" s="8" t="n"/>
      <c r="D481" s="62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61" t="n"/>
      <c r="N481" s="63" t="n"/>
      <c r="O481" s="8" t="n"/>
      <c r="P481" s="8" t="n"/>
      <c r="Q481" s="8" t="n"/>
      <c r="R481" s="8" t="n"/>
      <c r="S481" s="8" t="n"/>
      <c r="T481" s="8" t="n"/>
      <c r="U481" s="8" t="n"/>
      <c r="V481" s="8" t="n"/>
    </row>
    <row r="482">
      <c r="A482" s="8" t="n"/>
      <c r="B482" s="61" t="n"/>
      <c r="C482" s="8" t="n"/>
      <c r="D482" s="62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61" t="n"/>
      <c r="N482" s="63" t="n"/>
      <c r="O482" s="8" t="n"/>
      <c r="P482" s="8" t="n"/>
      <c r="Q482" s="8" t="n"/>
      <c r="R482" s="8" t="n"/>
      <c r="S482" s="8" t="n"/>
      <c r="T482" s="8" t="n"/>
      <c r="U482" s="8" t="n"/>
      <c r="V482" s="8" t="n"/>
    </row>
    <row r="483">
      <c r="A483" s="8" t="n"/>
      <c r="B483" s="61" t="n"/>
      <c r="C483" s="8" t="n"/>
      <c r="D483" s="62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61" t="n"/>
      <c r="N483" s="63" t="n"/>
      <c r="O483" s="8" t="n"/>
      <c r="P483" s="8" t="n"/>
      <c r="Q483" s="8" t="n"/>
      <c r="R483" s="8" t="n"/>
      <c r="S483" s="8" t="n"/>
      <c r="T483" s="8" t="n"/>
      <c r="U483" s="8" t="n"/>
      <c r="V483" s="8" t="n"/>
    </row>
    <row r="484">
      <c r="A484" s="8" t="n"/>
      <c r="B484" s="61" t="n"/>
      <c r="C484" s="8" t="n"/>
      <c r="D484" s="62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61" t="n"/>
      <c r="N484" s="63" t="n"/>
      <c r="O484" s="8" t="n"/>
      <c r="P484" s="8" t="n"/>
      <c r="Q484" s="8" t="n"/>
      <c r="R484" s="8" t="n"/>
      <c r="S484" s="8" t="n"/>
      <c r="T484" s="8" t="n"/>
      <c r="U484" s="8" t="n"/>
      <c r="V484" s="8" t="n"/>
    </row>
    <row r="485">
      <c r="A485" s="8" t="n"/>
      <c r="B485" s="61" t="n"/>
      <c r="C485" s="8" t="n"/>
      <c r="D485" s="62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61" t="n"/>
      <c r="N485" s="63" t="n"/>
      <c r="O485" s="8" t="n"/>
      <c r="P485" s="8" t="n"/>
      <c r="Q485" s="8" t="n"/>
      <c r="R485" s="8" t="n"/>
      <c r="S485" s="8" t="n"/>
      <c r="T485" s="8" t="n"/>
      <c r="U485" s="8" t="n"/>
      <c r="V485" s="8" t="n"/>
    </row>
    <row r="486">
      <c r="A486" s="8" t="n"/>
      <c r="B486" s="61" t="n"/>
      <c r="C486" s="8" t="n"/>
      <c r="D486" s="62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61" t="n"/>
      <c r="N486" s="63" t="n"/>
      <c r="O486" s="8" t="n"/>
      <c r="P486" s="8" t="n"/>
      <c r="Q486" s="8" t="n"/>
      <c r="R486" s="8" t="n"/>
      <c r="S486" s="8" t="n"/>
      <c r="T486" s="8" t="n"/>
      <c r="U486" s="8" t="n"/>
      <c r="V486" s="8" t="n"/>
    </row>
    <row r="487">
      <c r="A487" s="8" t="n"/>
      <c r="B487" s="61" t="n"/>
      <c r="C487" s="8" t="n"/>
      <c r="D487" s="62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61" t="n"/>
      <c r="N487" s="63" t="n"/>
      <c r="O487" s="8" t="n"/>
      <c r="P487" s="8" t="n"/>
      <c r="Q487" s="8" t="n"/>
      <c r="R487" s="8" t="n"/>
      <c r="S487" s="8" t="n"/>
      <c r="T487" s="8" t="n"/>
      <c r="U487" s="8" t="n"/>
      <c r="V487" s="8" t="n"/>
    </row>
    <row r="488">
      <c r="A488" s="8" t="n"/>
      <c r="B488" s="61" t="n"/>
      <c r="C488" s="8" t="n"/>
      <c r="D488" s="62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61" t="n"/>
      <c r="N488" s="63" t="n"/>
      <c r="O488" s="8" t="n"/>
      <c r="P488" s="8" t="n"/>
      <c r="Q488" s="8" t="n"/>
      <c r="R488" s="8" t="n"/>
      <c r="S488" s="8" t="n"/>
      <c r="T488" s="8" t="n"/>
      <c r="U488" s="8" t="n"/>
      <c r="V488" s="8" t="n"/>
    </row>
    <row r="489">
      <c r="A489" s="8" t="n"/>
      <c r="B489" s="61" t="n"/>
      <c r="C489" s="8" t="n"/>
      <c r="D489" s="62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61" t="n"/>
      <c r="N489" s="63" t="n"/>
      <c r="O489" s="8" t="n"/>
      <c r="P489" s="8" t="n"/>
      <c r="Q489" s="8" t="n"/>
      <c r="R489" s="8" t="n"/>
      <c r="S489" s="8" t="n"/>
      <c r="T489" s="8" t="n"/>
      <c r="U489" s="8" t="n"/>
      <c r="V489" s="8" t="n"/>
    </row>
    <row r="490">
      <c r="A490" s="8" t="n"/>
      <c r="B490" s="61" t="n"/>
      <c r="C490" s="8" t="n"/>
      <c r="D490" s="62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61" t="n"/>
      <c r="N490" s="63" t="n"/>
      <c r="O490" s="8" t="n"/>
      <c r="P490" s="8" t="n"/>
      <c r="Q490" s="8" t="n"/>
      <c r="R490" s="8" t="n"/>
      <c r="S490" s="8" t="n"/>
      <c r="T490" s="8" t="n"/>
      <c r="U490" s="8" t="n"/>
      <c r="V490" s="8" t="n"/>
    </row>
    <row r="491">
      <c r="A491" s="8" t="n"/>
      <c r="B491" s="61" t="n"/>
      <c r="C491" s="8" t="n"/>
      <c r="D491" s="62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61" t="n"/>
      <c r="N491" s="63" t="n"/>
      <c r="O491" s="8" t="n"/>
      <c r="P491" s="8" t="n"/>
      <c r="Q491" s="8" t="n"/>
      <c r="R491" s="8" t="n"/>
      <c r="S491" s="8" t="n"/>
      <c r="T491" s="8" t="n"/>
      <c r="U491" s="8" t="n"/>
      <c r="V491" s="8" t="n"/>
    </row>
    <row r="492">
      <c r="A492" s="8" t="n"/>
      <c r="B492" s="61" t="n"/>
      <c r="C492" s="8" t="n"/>
      <c r="D492" s="62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61" t="n"/>
      <c r="N492" s="63" t="n"/>
      <c r="O492" s="8" t="n"/>
      <c r="P492" s="8" t="n"/>
      <c r="Q492" s="8" t="n"/>
      <c r="R492" s="8" t="n"/>
      <c r="S492" s="8" t="n"/>
      <c r="T492" s="8" t="n"/>
      <c r="U492" s="8" t="n"/>
      <c r="V492" s="8" t="n"/>
    </row>
    <row r="493">
      <c r="A493" s="8" t="n"/>
      <c r="B493" s="61" t="n"/>
      <c r="C493" s="8" t="n"/>
      <c r="D493" s="62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61" t="n"/>
      <c r="N493" s="63" t="n"/>
      <c r="O493" s="8" t="n"/>
      <c r="P493" s="8" t="n"/>
      <c r="Q493" s="8" t="n"/>
      <c r="R493" s="8" t="n"/>
      <c r="S493" s="8" t="n"/>
      <c r="T493" s="8" t="n"/>
      <c r="U493" s="8" t="n"/>
      <c r="V493" s="8" t="n"/>
    </row>
    <row r="494">
      <c r="A494" s="8" t="n"/>
      <c r="B494" s="61" t="n"/>
      <c r="C494" s="8" t="n"/>
      <c r="D494" s="62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61" t="n"/>
      <c r="N494" s="63" t="n"/>
      <c r="O494" s="8" t="n"/>
      <c r="P494" s="8" t="n"/>
      <c r="Q494" s="8" t="n"/>
      <c r="R494" s="8" t="n"/>
      <c r="S494" s="8" t="n"/>
      <c r="T494" s="8" t="n"/>
      <c r="U494" s="8" t="n"/>
      <c r="V494" s="8" t="n"/>
    </row>
    <row r="495">
      <c r="A495" s="8" t="n"/>
      <c r="B495" s="61" t="n"/>
      <c r="C495" s="8" t="n"/>
      <c r="D495" s="62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61" t="n"/>
      <c r="N495" s="63" t="n"/>
      <c r="O495" s="8" t="n"/>
      <c r="P495" s="8" t="n"/>
      <c r="Q495" s="8" t="n"/>
      <c r="R495" s="8" t="n"/>
      <c r="S495" s="8" t="n"/>
      <c r="T495" s="8" t="n"/>
      <c r="U495" s="8" t="n"/>
      <c r="V495" s="8" t="n"/>
    </row>
    <row r="496">
      <c r="A496" s="8" t="n"/>
      <c r="B496" s="61" t="n"/>
      <c r="C496" s="8" t="n"/>
      <c r="D496" s="62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61" t="n"/>
      <c r="N496" s="63" t="n"/>
      <c r="O496" s="8" t="n"/>
      <c r="P496" s="8" t="n"/>
      <c r="Q496" s="8" t="n"/>
      <c r="R496" s="8" t="n"/>
      <c r="S496" s="8" t="n"/>
      <c r="T496" s="8" t="n"/>
      <c r="U496" s="8" t="n"/>
      <c r="V496" s="8" t="n"/>
    </row>
    <row r="497">
      <c r="A497" s="8" t="n"/>
      <c r="B497" s="61" t="n"/>
      <c r="C497" s="8" t="n"/>
      <c r="D497" s="62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61" t="n"/>
      <c r="N497" s="63" t="n"/>
      <c r="O497" s="8" t="n"/>
      <c r="P497" s="8" t="n"/>
      <c r="Q497" s="8" t="n"/>
      <c r="R497" s="8" t="n"/>
      <c r="S497" s="8" t="n"/>
      <c r="T497" s="8" t="n"/>
      <c r="U497" s="8" t="n"/>
      <c r="V497" s="8" t="n"/>
    </row>
    <row r="498">
      <c r="A498" s="8" t="n"/>
      <c r="B498" s="61" t="n"/>
      <c r="C498" s="8" t="n"/>
      <c r="D498" s="62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61" t="n"/>
      <c r="N498" s="63" t="n"/>
      <c r="O498" s="8" t="n"/>
      <c r="P498" s="8" t="n"/>
      <c r="Q498" s="8" t="n"/>
      <c r="R498" s="8" t="n"/>
      <c r="S498" s="8" t="n"/>
      <c r="T498" s="8" t="n"/>
      <c r="U498" s="8" t="n"/>
      <c r="V498" s="8" t="n"/>
    </row>
    <row r="499">
      <c r="A499" s="8" t="n"/>
      <c r="B499" s="61" t="n"/>
      <c r="C499" s="8" t="n"/>
      <c r="D499" s="62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61" t="n"/>
      <c r="N499" s="63" t="n"/>
      <c r="O499" s="8" t="n"/>
      <c r="P499" s="8" t="n"/>
      <c r="Q499" s="8" t="n"/>
      <c r="R499" s="8" t="n"/>
      <c r="S499" s="8" t="n"/>
      <c r="T499" s="8" t="n"/>
      <c r="U499" s="8" t="n"/>
      <c r="V499" s="8" t="n"/>
    </row>
    <row r="500">
      <c r="A500" s="8" t="n"/>
      <c r="B500" s="61" t="n"/>
      <c r="C500" s="8" t="n"/>
      <c r="D500" s="62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61" t="n"/>
      <c r="N500" s="63" t="n"/>
      <c r="O500" s="8" t="n"/>
      <c r="P500" s="8" t="n"/>
      <c r="Q500" s="8" t="n"/>
      <c r="R500" s="8" t="n"/>
      <c r="S500" s="8" t="n"/>
      <c r="T500" s="8" t="n"/>
      <c r="U500" s="8" t="n"/>
      <c r="V500" s="8" t="n"/>
    </row>
    <row r="501">
      <c r="A501" s="8" t="n"/>
      <c r="B501" s="61" t="n"/>
      <c r="C501" s="8" t="n"/>
      <c r="D501" s="62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61" t="n"/>
      <c r="N501" s="63" t="n"/>
      <c r="O501" s="8" t="n"/>
      <c r="P501" s="8" t="n"/>
      <c r="Q501" s="8" t="n"/>
      <c r="R501" s="8" t="n"/>
      <c r="S501" s="8" t="n"/>
      <c r="T501" s="8" t="n"/>
      <c r="U501" s="8" t="n"/>
      <c r="V501" s="8" t="n"/>
    </row>
    <row r="502">
      <c r="A502" s="8" t="n"/>
      <c r="B502" s="61" t="n"/>
      <c r="C502" s="8" t="n"/>
      <c r="D502" s="62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61" t="n"/>
      <c r="N502" s="63" t="n"/>
      <c r="O502" s="8" t="n"/>
      <c r="P502" s="8" t="n"/>
      <c r="Q502" s="8" t="n"/>
      <c r="R502" s="8" t="n"/>
      <c r="S502" s="8" t="n"/>
      <c r="T502" s="8" t="n"/>
      <c r="U502" s="8" t="n"/>
      <c r="V502" s="8" t="n"/>
    </row>
    <row r="503">
      <c r="A503" s="8" t="n"/>
      <c r="B503" s="61" t="n"/>
      <c r="C503" s="8" t="n"/>
      <c r="D503" s="62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61" t="n"/>
      <c r="N503" s="63" t="n"/>
      <c r="O503" s="8" t="n"/>
      <c r="P503" s="8" t="n"/>
      <c r="Q503" s="8" t="n"/>
      <c r="R503" s="8" t="n"/>
      <c r="S503" s="8" t="n"/>
      <c r="T503" s="8" t="n"/>
      <c r="U503" s="8" t="n"/>
      <c r="V503" s="8" t="n"/>
    </row>
    <row r="504">
      <c r="A504" s="8" t="n"/>
      <c r="B504" s="61" t="n"/>
      <c r="C504" s="8" t="n"/>
      <c r="D504" s="62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61" t="n"/>
      <c r="N504" s="63" t="n"/>
      <c r="O504" s="8" t="n"/>
      <c r="P504" s="8" t="n"/>
      <c r="Q504" s="8" t="n"/>
      <c r="R504" s="8" t="n"/>
      <c r="S504" s="8" t="n"/>
      <c r="T504" s="8" t="n"/>
      <c r="U504" s="8" t="n"/>
      <c r="V504" s="8" t="n"/>
    </row>
    <row r="505">
      <c r="A505" s="8" t="n"/>
      <c r="B505" s="61" t="n"/>
      <c r="C505" s="8" t="n"/>
      <c r="D505" s="62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61" t="n"/>
      <c r="N505" s="63" t="n"/>
      <c r="O505" s="8" t="n"/>
      <c r="P505" s="8" t="n"/>
      <c r="Q505" s="8" t="n"/>
      <c r="R505" s="8" t="n"/>
      <c r="S505" s="8" t="n"/>
      <c r="T505" s="8" t="n"/>
      <c r="U505" s="8" t="n"/>
      <c r="V505" s="8" t="n"/>
    </row>
    <row r="506">
      <c r="A506" s="8" t="n"/>
      <c r="B506" s="61" t="n"/>
      <c r="C506" s="8" t="n"/>
      <c r="D506" s="62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61" t="n"/>
      <c r="N506" s="63" t="n"/>
      <c r="O506" s="8" t="n"/>
      <c r="P506" s="8" t="n"/>
      <c r="Q506" s="8" t="n"/>
      <c r="R506" s="8" t="n"/>
      <c r="S506" s="8" t="n"/>
      <c r="T506" s="8" t="n"/>
      <c r="U506" s="8" t="n"/>
      <c r="V506" s="8" t="n"/>
    </row>
    <row r="507">
      <c r="A507" s="8" t="n"/>
      <c r="B507" s="61" t="n"/>
      <c r="C507" s="8" t="n"/>
      <c r="D507" s="62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61" t="n"/>
      <c r="N507" s="63" t="n"/>
      <c r="O507" s="8" t="n"/>
      <c r="P507" s="8" t="n"/>
      <c r="Q507" s="8" t="n"/>
      <c r="R507" s="8" t="n"/>
      <c r="S507" s="8" t="n"/>
      <c r="T507" s="8" t="n"/>
      <c r="U507" s="8" t="n"/>
      <c r="V507" s="8" t="n"/>
    </row>
    <row r="508">
      <c r="A508" s="8" t="n"/>
      <c r="B508" s="61" t="n"/>
      <c r="C508" s="8" t="n"/>
      <c r="D508" s="62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61" t="n"/>
      <c r="N508" s="63" t="n"/>
      <c r="O508" s="8" t="n"/>
      <c r="P508" s="8" t="n"/>
      <c r="Q508" s="8" t="n"/>
      <c r="R508" s="8" t="n"/>
      <c r="S508" s="8" t="n"/>
      <c r="T508" s="8" t="n"/>
      <c r="U508" s="8" t="n"/>
      <c r="V508" s="8" t="n"/>
    </row>
    <row r="509">
      <c r="A509" s="8" t="n"/>
      <c r="B509" s="61" t="n"/>
      <c r="C509" s="8" t="n"/>
      <c r="D509" s="62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61" t="n"/>
      <c r="N509" s="63" t="n"/>
      <c r="O509" s="8" t="n"/>
      <c r="P509" s="8" t="n"/>
      <c r="Q509" s="8" t="n"/>
      <c r="R509" s="8" t="n"/>
      <c r="S509" s="8" t="n"/>
      <c r="T509" s="8" t="n"/>
      <c r="U509" s="8" t="n"/>
      <c r="V509" s="8" t="n"/>
    </row>
    <row r="510">
      <c r="A510" s="8" t="n"/>
      <c r="B510" s="61" t="n"/>
      <c r="C510" s="8" t="n"/>
      <c r="D510" s="62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61" t="n"/>
      <c r="N510" s="63" t="n"/>
      <c r="O510" s="8" t="n"/>
      <c r="P510" s="8" t="n"/>
      <c r="Q510" s="8" t="n"/>
      <c r="R510" s="8" t="n"/>
      <c r="S510" s="8" t="n"/>
      <c r="T510" s="8" t="n"/>
      <c r="U510" s="8" t="n"/>
      <c r="V510" s="8" t="n"/>
    </row>
    <row r="511">
      <c r="A511" s="8" t="n"/>
      <c r="B511" s="61" t="n"/>
      <c r="C511" s="8" t="n"/>
      <c r="D511" s="62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61" t="n"/>
      <c r="N511" s="63" t="n"/>
      <c r="O511" s="8" t="n"/>
      <c r="P511" s="8" t="n"/>
      <c r="Q511" s="8" t="n"/>
      <c r="R511" s="8" t="n"/>
      <c r="S511" s="8" t="n"/>
      <c r="T511" s="8" t="n"/>
      <c r="U511" s="8" t="n"/>
      <c r="V511" s="8" t="n"/>
    </row>
    <row r="512">
      <c r="A512" s="8" t="n"/>
      <c r="B512" s="61" t="n"/>
      <c r="C512" s="8" t="n"/>
      <c r="D512" s="62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61" t="n"/>
      <c r="N512" s="63" t="n"/>
      <c r="O512" s="8" t="n"/>
      <c r="P512" s="8" t="n"/>
      <c r="Q512" s="8" t="n"/>
      <c r="R512" s="8" t="n"/>
      <c r="S512" s="8" t="n"/>
      <c r="T512" s="8" t="n"/>
      <c r="U512" s="8" t="n"/>
      <c r="V512" s="8" t="n"/>
    </row>
    <row r="513">
      <c r="A513" s="8" t="n"/>
      <c r="B513" s="61" t="n"/>
      <c r="C513" s="8" t="n"/>
      <c r="D513" s="62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61" t="n"/>
      <c r="N513" s="63" t="n"/>
      <c r="O513" s="8" t="n"/>
      <c r="P513" s="8" t="n"/>
      <c r="Q513" s="8" t="n"/>
      <c r="R513" s="8" t="n"/>
      <c r="S513" s="8" t="n"/>
      <c r="T513" s="8" t="n"/>
      <c r="U513" s="8" t="n"/>
      <c r="V513" s="8" t="n"/>
    </row>
    <row r="514">
      <c r="A514" s="8" t="n"/>
      <c r="B514" s="61" t="n"/>
      <c r="C514" s="8" t="n"/>
      <c r="D514" s="62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61" t="n"/>
      <c r="N514" s="63" t="n"/>
      <c r="O514" s="8" t="n"/>
      <c r="P514" s="8" t="n"/>
      <c r="Q514" s="8" t="n"/>
      <c r="R514" s="8" t="n"/>
      <c r="S514" s="8" t="n"/>
      <c r="T514" s="8" t="n"/>
      <c r="U514" s="8" t="n"/>
      <c r="V514" s="8" t="n"/>
    </row>
    <row r="515">
      <c r="A515" s="8" t="n"/>
      <c r="B515" s="61" t="n"/>
      <c r="C515" s="8" t="n"/>
      <c r="D515" s="62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61" t="n"/>
      <c r="N515" s="63" t="n"/>
      <c r="O515" s="8" t="n"/>
      <c r="P515" s="8" t="n"/>
      <c r="Q515" s="8" t="n"/>
      <c r="R515" s="8" t="n"/>
      <c r="S515" s="8" t="n"/>
      <c r="T515" s="8" t="n"/>
      <c r="U515" s="8" t="n"/>
      <c r="V515" s="8" t="n"/>
    </row>
    <row r="516">
      <c r="A516" s="8" t="n"/>
      <c r="B516" s="61" t="n"/>
      <c r="C516" s="8" t="n"/>
      <c r="D516" s="62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61" t="n"/>
      <c r="N516" s="63" t="n"/>
      <c r="O516" s="8" t="n"/>
      <c r="P516" s="8" t="n"/>
      <c r="Q516" s="8" t="n"/>
      <c r="R516" s="8" t="n"/>
      <c r="S516" s="8" t="n"/>
      <c r="T516" s="8" t="n"/>
      <c r="U516" s="8" t="n"/>
      <c r="V516" s="8" t="n"/>
    </row>
    <row r="517">
      <c r="A517" s="8" t="n"/>
      <c r="B517" s="61" t="n"/>
      <c r="C517" s="8" t="n"/>
      <c r="D517" s="62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61" t="n"/>
      <c r="N517" s="63" t="n"/>
      <c r="O517" s="8" t="n"/>
      <c r="P517" s="8" t="n"/>
      <c r="Q517" s="8" t="n"/>
      <c r="R517" s="8" t="n"/>
      <c r="S517" s="8" t="n"/>
      <c r="T517" s="8" t="n"/>
      <c r="U517" s="8" t="n"/>
      <c r="V517" s="8" t="n"/>
    </row>
    <row r="518">
      <c r="A518" s="8" t="n"/>
      <c r="B518" s="61" t="n"/>
      <c r="C518" s="8" t="n"/>
      <c r="D518" s="62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61" t="n"/>
      <c r="N518" s="63" t="n"/>
      <c r="O518" s="8" t="n"/>
      <c r="P518" s="8" t="n"/>
      <c r="Q518" s="8" t="n"/>
      <c r="R518" s="8" t="n"/>
      <c r="S518" s="8" t="n"/>
      <c r="T518" s="8" t="n"/>
      <c r="U518" s="8" t="n"/>
      <c r="V518" s="8" t="n"/>
    </row>
    <row r="519">
      <c r="A519" s="8" t="n"/>
      <c r="B519" s="61" t="n"/>
      <c r="C519" s="8" t="n"/>
      <c r="D519" s="62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61" t="n"/>
      <c r="N519" s="63" t="n"/>
      <c r="O519" s="8" t="n"/>
      <c r="P519" s="8" t="n"/>
      <c r="Q519" s="8" t="n"/>
      <c r="R519" s="8" t="n"/>
      <c r="S519" s="8" t="n"/>
      <c r="T519" s="8" t="n"/>
      <c r="U519" s="8" t="n"/>
      <c r="V519" s="8" t="n"/>
    </row>
    <row r="520">
      <c r="A520" s="8" t="n"/>
      <c r="B520" s="61" t="n"/>
      <c r="C520" s="8" t="n"/>
      <c r="D520" s="62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61" t="n"/>
      <c r="N520" s="63" t="n"/>
      <c r="O520" s="8" t="n"/>
      <c r="P520" s="8" t="n"/>
      <c r="Q520" s="8" t="n"/>
      <c r="R520" s="8" t="n"/>
      <c r="S520" s="8" t="n"/>
      <c r="T520" s="8" t="n"/>
      <c r="U520" s="8" t="n"/>
      <c r="V520" s="8" t="n"/>
    </row>
    <row r="521">
      <c r="A521" s="8" t="n"/>
      <c r="B521" s="61" t="n"/>
      <c r="C521" s="8" t="n"/>
      <c r="D521" s="62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61" t="n"/>
      <c r="N521" s="63" t="n"/>
      <c r="O521" s="8" t="n"/>
      <c r="P521" s="8" t="n"/>
      <c r="Q521" s="8" t="n"/>
      <c r="R521" s="8" t="n"/>
      <c r="S521" s="8" t="n"/>
      <c r="T521" s="8" t="n"/>
      <c r="U521" s="8" t="n"/>
      <c r="V521" s="8" t="n"/>
    </row>
    <row r="522">
      <c r="A522" s="8" t="n"/>
      <c r="B522" s="61" t="n"/>
      <c r="C522" s="8" t="n"/>
      <c r="D522" s="62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61" t="n"/>
      <c r="N522" s="63" t="n"/>
      <c r="O522" s="8" t="n"/>
      <c r="P522" s="8" t="n"/>
      <c r="Q522" s="8" t="n"/>
      <c r="R522" s="8" t="n"/>
      <c r="S522" s="8" t="n"/>
      <c r="T522" s="8" t="n"/>
      <c r="U522" s="8" t="n"/>
      <c r="V522" s="8" t="n"/>
    </row>
    <row r="523">
      <c r="A523" s="8" t="n"/>
      <c r="B523" s="61" t="n"/>
      <c r="C523" s="8" t="n"/>
      <c r="D523" s="62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61" t="n"/>
      <c r="N523" s="63" t="n"/>
      <c r="O523" s="8" t="n"/>
      <c r="P523" s="8" t="n"/>
      <c r="Q523" s="8" t="n"/>
      <c r="R523" s="8" t="n"/>
      <c r="S523" s="8" t="n"/>
      <c r="T523" s="8" t="n"/>
      <c r="U523" s="8" t="n"/>
      <c r="V523" s="8" t="n"/>
    </row>
    <row r="524">
      <c r="A524" s="8" t="n"/>
      <c r="B524" s="61" t="n"/>
      <c r="C524" s="8" t="n"/>
      <c r="D524" s="62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61" t="n"/>
      <c r="N524" s="63" t="n"/>
      <c r="O524" s="8" t="n"/>
      <c r="P524" s="8" t="n"/>
      <c r="Q524" s="8" t="n"/>
      <c r="R524" s="8" t="n"/>
      <c r="S524" s="8" t="n"/>
      <c r="T524" s="8" t="n"/>
      <c r="U524" s="8" t="n"/>
      <c r="V524" s="8" t="n"/>
    </row>
    <row r="525">
      <c r="A525" s="8" t="n"/>
      <c r="B525" s="61" t="n"/>
      <c r="C525" s="8" t="n"/>
      <c r="D525" s="62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61" t="n"/>
      <c r="N525" s="63" t="n"/>
      <c r="O525" s="8" t="n"/>
      <c r="P525" s="8" t="n"/>
      <c r="Q525" s="8" t="n"/>
      <c r="R525" s="8" t="n"/>
      <c r="S525" s="8" t="n"/>
      <c r="T525" s="8" t="n"/>
      <c r="U525" s="8" t="n"/>
      <c r="V525" s="8" t="n"/>
    </row>
    <row r="526">
      <c r="A526" s="8" t="n"/>
      <c r="B526" s="61" t="n"/>
      <c r="C526" s="8" t="n"/>
      <c r="D526" s="62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61" t="n"/>
      <c r="N526" s="63" t="n"/>
      <c r="O526" s="8" t="n"/>
      <c r="P526" s="8" t="n"/>
      <c r="Q526" s="8" t="n"/>
      <c r="R526" s="8" t="n"/>
      <c r="S526" s="8" t="n"/>
      <c r="T526" s="8" t="n"/>
      <c r="U526" s="8" t="n"/>
      <c r="V526" s="8" t="n"/>
    </row>
    <row r="527">
      <c r="A527" s="8" t="n"/>
      <c r="B527" s="61" t="n"/>
      <c r="C527" s="8" t="n"/>
      <c r="D527" s="62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61" t="n"/>
      <c r="N527" s="63" t="n"/>
      <c r="O527" s="8" t="n"/>
      <c r="P527" s="8" t="n"/>
      <c r="Q527" s="8" t="n"/>
      <c r="R527" s="8" t="n"/>
      <c r="S527" s="8" t="n"/>
      <c r="T527" s="8" t="n"/>
      <c r="U527" s="8" t="n"/>
      <c r="V527" s="8" t="n"/>
    </row>
    <row r="528">
      <c r="A528" s="8" t="n"/>
      <c r="B528" s="61" t="n"/>
      <c r="C528" s="8" t="n"/>
      <c r="D528" s="62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61" t="n"/>
      <c r="N528" s="63" t="n"/>
      <c r="O528" s="8" t="n"/>
      <c r="P528" s="8" t="n"/>
      <c r="Q528" s="8" t="n"/>
      <c r="R528" s="8" t="n"/>
      <c r="S528" s="8" t="n"/>
      <c r="T528" s="8" t="n"/>
      <c r="U528" s="8" t="n"/>
      <c r="V528" s="8" t="n"/>
    </row>
    <row r="529">
      <c r="A529" s="8" t="n"/>
      <c r="B529" s="61" t="n"/>
      <c r="C529" s="8" t="n"/>
      <c r="D529" s="62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61" t="n"/>
      <c r="N529" s="63" t="n"/>
      <c r="O529" s="8" t="n"/>
      <c r="P529" s="8" t="n"/>
      <c r="Q529" s="8" t="n"/>
      <c r="R529" s="8" t="n"/>
      <c r="S529" s="8" t="n"/>
      <c r="T529" s="8" t="n"/>
      <c r="U529" s="8" t="n"/>
      <c r="V529" s="8" t="n"/>
    </row>
    <row r="530">
      <c r="A530" s="8" t="n"/>
      <c r="B530" s="61" t="n"/>
      <c r="C530" s="8" t="n"/>
      <c r="D530" s="62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61" t="n"/>
      <c r="N530" s="63" t="n"/>
      <c r="O530" s="8" t="n"/>
      <c r="P530" s="8" t="n"/>
      <c r="Q530" s="8" t="n"/>
      <c r="R530" s="8" t="n"/>
      <c r="S530" s="8" t="n"/>
      <c r="T530" s="8" t="n"/>
      <c r="U530" s="8" t="n"/>
      <c r="V530" s="8" t="n"/>
    </row>
    <row r="531">
      <c r="A531" s="8" t="n"/>
      <c r="B531" s="61" t="n"/>
      <c r="C531" s="8" t="n"/>
      <c r="D531" s="62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61" t="n"/>
      <c r="N531" s="63" t="n"/>
      <c r="O531" s="8" t="n"/>
      <c r="P531" s="8" t="n"/>
      <c r="Q531" s="8" t="n"/>
      <c r="R531" s="8" t="n"/>
      <c r="S531" s="8" t="n"/>
      <c r="T531" s="8" t="n"/>
      <c r="U531" s="8" t="n"/>
      <c r="V531" s="8" t="n"/>
    </row>
    <row r="532">
      <c r="A532" s="8" t="n"/>
      <c r="B532" s="61" t="n"/>
      <c r="C532" s="8" t="n"/>
      <c r="D532" s="62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61" t="n"/>
      <c r="N532" s="63" t="n"/>
      <c r="O532" s="8" t="n"/>
      <c r="P532" s="8" t="n"/>
      <c r="Q532" s="8" t="n"/>
      <c r="R532" s="8" t="n"/>
      <c r="S532" s="8" t="n"/>
      <c r="T532" s="8" t="n"/>
      <c r="U532" s="8" t="n"/>
      <c r="V532" s="8" t="n"/>
    </row>
    <row r="533">
      <c r="A533" s="8" t="n"/>
      <c r="B533" s="61" t="n"/>
      <c r="C533" s="8" t="n"/>
      <c r="D533" s="62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61" t="n"/>
      <c r="N533" s="63" t="n"/>
      <c r="O533" s="8" t="n"/>
      <c r="P533" s="8" t="n"/>
      <c r="Q533" s="8" t="n"/>
      <c r="R533" s="8" t="n"/>
      <c r="S533" s="8" t="n"/>
      <c r="T533" s="8" t="n"/>
      <c r="U533" s="8" t="n"/>
      <c r="V533" s="8" t="n"/>
    </row>
    <row r="534">
      <c r="A534" s="8" t="n"/>
      <c r="B534" s="61" t="n"/>
      <c r="C534" s="8" t="n"/>
      <c r="D534" s="62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61" t="n"/>
      <c r="N534" s="63" t="n"/>
      <c r="O534" s="8" t="n"/>
      <c r="P534" s="8" t="n"/>
      <c r="Q534" s="8" t="n"/>
      <c r="R534" s="8" t="n"/>
      <c r="S534" s="8" t="n"/>
      <c r="T534" s="8" t="n"/>
      <c r="U534" s="8" t="n"/>
      <c r="V534" s="8" t="n"/>
    </row>
    <row r="535">
      <c r="A535" s="8" t="n"/>
      <c r="B535" s="61" t="n"/>
      <c r="C535" s="8" t="n"/>
      <c r="D535" s="62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61" t="n"/>
      <c r="N535" s="63" t="n"/>
      <c r="O535" s="8" t="n"/>
      <c r="P535" s="8" t="n"/>
      <c r="Q535" s="8" t="n"/>
      <c r="R535" s="8" t="n"/>
      <c r="S535" s="8" t="n"/>
      <c r="T535" s="8" t="n"/>
      <c r="U535" s="8" t="n"/>
      <c r="V535" s="8" t="n"/>
    </row>
    <row r="536">
      <c r="A536" s="8" t="n"/>
      <c r="B536" s="61" t="n"/>
      <c r="C536" s="8" t="n"/>
      <c r="D536" s="62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61" t="n"/>
      <c r="N536" s="63" t="n"/>
      <c r="O536" s="8" t="n"/>
      <c r="P536" s="8" t="n"/>
      <c r="Q536" s="8" t="n"/>
      <c r="R536" s="8" t="n"/>
      <c r="S536" s="8" t="n"/>
      <c r="T536" s="8" t="n"/>
      <c r="U536" s="8" t="n"/>
      <c r="V536" s="8" t="n"/>
    </row>
    <row r="537">
      <c r="A537" s="8" t="n"/>
      <c r="B537" s="61" t="n"/>
      <c r="C537" s="8" t="n"/>
      <c r="D537" s="62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61" t="n"/>
      <c r="N537" s="63" t="n"/>
      <c r="O537" s="8" t="n"/>
      <c r="P537" s="8" t="n"/>
      <c r="Q537" s="8" t="n"/>
      <c r="R537" s="8" t="n"/>
      <c r="S537" s="8" t="n"/>
      <c r="T537" s="8" t="n"/>
      <c r="U537" s="8" t="n"/>
      <c r="V537" s="8" t="n"/>
    </row>
    <row r="538">
      <c r="A538" s="8" t="n"/>
      <c r="B538" s="61" t="n"/>
      <c r="C538" s="8" t="n"/>
      <c r="D538" s="62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61" t="n"/>
      <c r="N538" s="63" t="n"/>
      <c r="O538" s="8" t="n"/>
      <c r="P538" s="8" t="n"/>
      <c r="Q538" s="8" t="n"/>
      <c r="R538" s="8" t="n"/>
      <c r="S538" s="8" t="n"/>
      <c r="T538" s="8" t="n"/>
      <c r="U538" s="8" t="n"/>
      <c r="V538" s="8" t="n"/>
    </row>
    <row r="539">
      <c r="A539" s="8" t="n"/>
      <c r="B539" s="61" t="n"/>
      <c r="C539" s="8" t="n"/>
      <c r="D539" s="62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61" t="n"/>
      <c r="N539" s="63" t="n"/>
      <c r="O539" s="8" t="n"/>
      <c r="P539" s="8" t="n"/>
      <c r="Q539" s="8" t="n"/>
      <c r="R539" s="8" t="n"/>
      <c r="S539" s="8" t="n"/>
      <c r="T539" s="8" t="n"/>
      <c r="U539" s="8" t="n"/>
      <c r="V539" s="8" t="n"/>
    </row>
    <row r="540">
      <c r="A540" s="8" t="n"/>
      <c r="B540" s="61" t="n"/>
      <c r="C540" s="8" t="n"/>
      <c r="D540" s="62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61" t="n"/>
      <c r="N540" s="63" t="n"/>
      <c r="O540" s="8" t="n"/>
      <c r="P540" s="8" t="n"/>
      <c r="Q540" s="8" t="n"/>
      <c r="R540" s="8" t="n"/>
      <c r="S540" s="8" t="n"/>
      <c r="T540" s="8" t="n"/>
      <c r="U540" s="8" t="n"/>
      <c r="V540" s="8" t="n"/>
    </row>
    <row r="541">
      <c r="A541" s="8" t="n"/>
      <c r="B541" s="61" t="n"/>
      <c r="C541" s="8" t="n"/>
      <c r="D541" s="62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61" t="n"/>
      <c r="N541" s="63" t="n"/>
      <c r="O541" s="8" t="n"/>
      <c r="P541" s="8" t="n"/>
      <c r="Q541" s="8" t="n"/>
      <c r="R541" s="8" t="n"/>
      <c r="S541" s="8" t="n"/>
      <c r="T541" s="8" t="n"/>
      <c r="U541" s="8" t="n"/>
      <c r="V541" s="8" t="n"/>
    </row>
    <row r="542">
      <c r="A542" s="8" t="n"/>
      <c r="B542" s="61" t="n"/>
      <c r="C542" s="8" t="n"/>
      <c r="D542" s="62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61" t="n"/>
      <c r="N542" s="63" t="n"/>
      <c r="O542" s="8" t="n"/>
      <c r="P542" s="8" t="n"/>
      <c r="Q542" s="8" t="n"/>
      <c r="R542" s="8" t="n"/>
      <c r="S542" s="8" t="n"/>
      <c r="T542" s="8" t="n"/>
      <c r="U542" s="8" t="n"/>
      <c r="V542" s="8" t="n"/>
    </row>
    <row r="543">
      <c r="A543" s="8" t="n"/>
      <c r="B543" s="61" t="n"/>
      <c r="C543" s="8" t="n"/>
      <c r="D543" s="62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61" t="n"/>
      <c r="N543" s="63" t="n"/>
      <c r="O543" s="8" t="n"/>
      <c r="P543" s="8" t="n"/>
      <c r="Q543" s="8" t="n"/>
      <c r="R543" s="8" t="n"/>
      <c r="S543" s="8" t="n"/>
      <c r="T543" s="8" t="n"/>
      <c r="U543" s="8" t="n"/>
      <c r="V543" s="8" t="n"/>
    </row>
    <row r="544">
      <c r="A544" s="8" t="n"/>
      <c r="B544" s="61" t="n"/>
      <c r="C544" s="8" t="n"/>
      <c r="D544" s="62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61" t="n"/>
      <c r="N544" s="63" t="n"/>
      <c r="O544" s="8" t="n"/>
      <c r="P544" s="8" t="n"/>
      <c r="Q544" s="8" t="n"/>
      <c r="R544" s="8" t="n"/>
      <c r="S544" s="8" t="n"/>
      <c r="T544" s="8" t="n"/>
      <c r="U544" s="8" t="n"/>
      <c r="V544" s="8" t="n"/>
    </row>
    <row r="545">
      <c r="A545" s="8" t="n"/>
      <c r="B545" s="61" t="n"/>
      <c r="C545" s="8" t="n"/>
      <c r="D545" s="62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61" t="n"/>
      <c r="N545" s="63" t="n"/>
      <c r="O545" s="8" t="n"/>
      <c r="P545" s="8" t="n"/>
      <c r="Q545" s="8" t="n"/>
      <c r="R545" s="8" t="n"/>
      <c r="S545" s="8" t="n"/>
      <c r="T545" s="8" t="n"/>
      <c r="U545" s="8" t="n"/>
      <c r="V545" s="8" t="n"/>
    </row>
    <row r="546">
      <c r="A546" s="8" t="n"/>
      <c r="B546" s="61" t="n"/>
      <c r="C546" s="8" t="n"/>
      <c r="D546" s="62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61" t="n"/>
      <c r="N546" s="63" t="n"/>
      <c r="O546" s="8" t="n"/>
      <c r="P546" s="8" t="n"/>
      <c r="Q546" s="8" t="n"/>
      <c r="R546" s="8" t="n"/>
      <c r="S546" s="8" t="n"/>
      <c r="T546" s="8" t="n"/>
      <c r="U546" s="8" t="n"/>
      <c r="V546" s="8" t="n"/>
    </row>
    <row r="547">
      <c r="A547" s="8" t="n"/>
      <c r="B547" s="61" t="n"/>
      <c r="C547" s="8" t="n"/>
      <c r="D547" s="62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61" t="n"/>
      <c r="N547" s="63" t="n"/>
      <c r="O547" s="8" t="n"/>
      <c r="P547" s="8" t="n"/>
      <c r="Q547" s="8" t="n"/>
      <c r="R547" s="8" t="n"/>
      <c r="S547" s="8" t="n"/>
      <c r="T547" s="8" t="n"/>
      <c r="U547" s="8" t="n"/>
      <c r="V547" s="8" t="n"/>
    </row>
    <row r="548">
      <c r="A548" s="8" t="n"/>
      <c r="B548" s="61" t="n"/>
      <c r="C548" s="8" t="n"/>
      <c r="D548" s="62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61" t="n"/>
      <c r="N548" s="63" t="n"/>
      <c r="O548" s="8" t="n"/>
      <c r="P548" s="8" t="n"/>
      <c r="Q548" s="8" t="n"/>
      <c r="R548" s="8" t="n"/>
      <c r="S548" s="8" t="n"/>
      <c r="T548" s="8" t="n"/>
      <c r="U548" s="8" t="n"/>
      <c r="V548" s="8" t="n"/>
    </row>
    <row r="549">
      <c r="A549" s="8" t="n"/>
      <c r="B549" s="61" t="n"/>
      <c r="C549" s="8" t="n"/>
      <c r="D549" s="62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61" t="n"/>
      <c r="N549" s="63" t="n"/>
      <c r="O549" s="8" t="n"/>
      <c r="P549" s="8" t="n"/>
      <c r="Q549" s="8" t="n"/>
      <c r="R549" s="8" t="n"/>
      <c r="S549" s="8" t="n"/>
      <c r="T549" s="8" t="n"/>
      <c r="U549" s="8" t="n"/>
      <c r="V549" s="8" t="n"/>
    </row>
    <row r="550">
      <c r="A550" s="8" t="n"/>
      <c r="B550" s="61" t="n"/>
      <c r="C550" s="8" t="n"/>
      <c r="D550" s="62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61" t="n"/>
      <c r="N550" s="63" t="n"/>
      <c r="O550" s="8" t="n"/>
      <c r="P550" s="8" t="n"/>
      <c r="Q550" s="8" t="n"/>
      <c r="R550" s="8" t="n"/>
      <c r="S550" s="8" t="n"/>
      <c r="T550" s="8" t="n"/>
      <c r="U550" s="8" t="n"/>
      <c r="V550" s="8" t="n"/>
    </row>
    <row r="551">
      <c r="A551" s="8" t="n"/>
      <c r="B551" s="61" t="n"/>
      <c r="C551" s="8" t="n"/>
      <c r="D551" s="62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61" t="n"/>
      <c r="N551" s="63" t="n"/>
      <c r="O551" s="8" t="n"/>
      <c r="P551" s="8" t="n"/>
      <c r="Q551" s="8" t="n"/>
      <c r="R551" s="8" t="n"/>
      <c r="S551" s="8" t="n"/>
      <c r="T551" s="8" t="n"/>
      <c r="U551" s="8" t="n"/>
      <c r="V551" s="8" t="n"/>
    </row>
    <row r="552">
      <c r="A552" s="8" t="n"/>
      <c r="B552" s="61" t="n"/>
      <c r="C552" s="8" t="n"/>
      <c r="D552" s="62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61" t="n"/>
      <c r="N552" s="63" t="n"/>
      <c r="O552" s="8" t="n"/>
      <c r="P552" s="8" t="n"/>
      <c r="Q552" s="8" t="n"/>
      <c r="R552" s="8" t="n"/>
      <c r="S552" s="8" t="n"/>
      <c r="T552" s="8" t="n"/>
      <c r="U552" s="8" t="n"/>
      <c r="V552" s="8" t="n"/>
    </row>
    <row r="553">
      <c r="A553" s="8" t="n"/>
      <c r="B553" s="61" t="n"/>
      <c r="C553" s="8" t="n"/>
      <c r="D553" s="62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61" t="n"/>
      <c r="N553" s="63" t="n"/>
      <c r="O553" s="8" t="n"/>
      <c r="P553" s="8" t="n"/>
      <c r="Q553" s="8" t="n"/>
      <c r="R553" s="8" t="n"/>
      <c r="S553" s="8" t="n"/>
      <c r="T553" s="8" t="n"/>
      <c r="U553" s="8" t="n"/>
      <c r="V553" s="8" t="n"/>
    </row>
    <row r="554">
      <c r="A554" s="8" t="n"/>
      <c r="B554" s="61" t="n"/>
      <c r="C554" s="8" t="n"/>
      <c r="D554" s="62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61" t="n"/>
      <c r="N554" s="63" t="n"/>
      <c r="O554" s="8" t="n"/>
      <c r="P554" s="8" t="n"/>
      <c r="Q554" s="8" t="n"/>
      <c r="R554" s="8" t="n"/>
      <c r="S554" s="8" t="n"/>
      <c r="T554" s="8" t="n"/>
      <c r="U554" s="8" t="n"/>
      <c r="V554" s="8" t="n"/>
    </row>
    <row r="555">
      <c r="A555" s="8" t="n"/>
      <c r="B555" s="61" t="n"/>
      <c r="C555" s="8" t="n"/>
      <c r="D555" s="62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61" t="n"/>
      <c r="N555" s="63" t="n"/>
      <c r="O555" s="8" t="n"/>
      <c r="P555" s="8" t="n"/>
      <c r="Q555" s="8" t="n"/>
      <c r="R555" s="8" t="n"/>
      <c r="S555" s="8" t="n"/>
      <c r="T555" s="8" t="n"/>
      <c r="U555" s="8" t="n"/>
      <c r="V555" s="8" t="n"/>
    </row>
    <row r="556">
      <c r="A556" s="8" t="n"/>
      <c r="B556" s="61" t="n"/>
      <c r="C556" s="8" t="n"/>
      <c r="D556" s="62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61" t="n"/>
      <c r="N556" s="63" t="n"/>
      <c r="O556" s="8" t="n"/>
      <c r="P556" s="8" t="n"/>
      <c r="Q556" s="8" t="n"/>
      <c r="R556" s="8" t="n"/>
      <c r="S556" s="8" t="n"/>
      <c r="T556" s="8" t="n"/>
      <c r="U556" s="8" t="n"/>
      <c r="V556" s="8" t="n"/>
    </row>
    <row r="557">
      <c r="A557" s="8" t="n"/>
      <c r="B557" s="61" t="n"/>
      <c r="C557" s="8" t="n"/>
      <c r="D557" s="62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61" t="n"/>
      <c r="N557" s="63" t="n"/>
      <c r="O557" s="8" t="n"/>
      <c r="P557" s="8" t="n"/>
      <c r="Q557" s="8" t="n"/>
      <c r="R557" s="8" t="n"/>
      <c r="S557" s="8" t="n"/>
      <c r="T557" s="8" t="n"/>
      <c r="U557" s="8" t="n"/>
      <c r="V557" s="8" t="n"/>
    </row>
    <row r="558">
      <c r="A558" s="8" t="n"/>
      <c r="B558" s="61" t="n"/>
      <c r="C558" s="8" t="n"/>
      <c r="D558" s="62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61" t="n"/>
      <c r="N558" s="63" t="n"/>
      <c r="O558" s="8" t="n"/>
      <c r="P558" s="8" t="n"/>
      <c r="Q558" s="8" t="n"/>
      <c r="R558" s="8" t="n"/>
      <c r="S558" s="8" t="n"/>
      <c r="T558" s="8" t="n"/>
      <c r="U558" s="8" t="n"/>
      <c r="V558" s="8" t="n"/>
    </row>
    <row r="559">
      <c r="A559" s="8" t="n"/>
      <c r="B559" s="61" t="n"/>
      <c r="C559" s="8" t="n"/>
      <c r="D559" s="62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61" t="n"/>
      <c r="N559" s="63" t="n"/>
      <c r="O559" s="8" t="n"/>
      <c r="P559" s="8" t="n"/>
      <c r="Q559" s="8" t="n"/>
      <c r="R559" s="8" t="n"/>
      <c r="S559" s="8" t="n"/>
      <c r="T559" s="8" t="n"/>
      <c r="U559" s="8" t="n"/>
      <c r="V559" s="8" t="n"/>
    </row>
    <row r="560">
      <c r="A560" s="8" t="n"/>
      <c r="B560" s="61" t="n"/>
      <c r="C560" s="8" t="n"/>
      <c r="D560" s="62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61" t="n"/>
      <c r="N560" s="63" t="n"/>
      <c r="O560" s="8" t="n"/>
      <c r="P560" s="8" t="n"/>
      <c r="Q560" s="8" t="n"/>
      <c r="R560" s="8" t="n"/>
      <c r="S560" s="8" t="n"/>
      <c r="T560" s="8" t="n"/>
      <c r="U560" s="8" t="n"/>
      <c r="V560" s="8" t="n"/>
    </row>
    <row r="561">
      <c r="A561" s="8" t="n"/>
      <c r="B561" s="61" t="n"/>
      <c r="C561" s="8" t="n"/>
      <c r="D561" s="62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61" t="n"/>
      <c r="N561" s="63" t="n"/>
      <c r="O561" s="8" t="n"/>
      <c r="P561" s="8" t="n"/>
      <c r="Q561" s="8" t="n"/>
      <c r="R561" s="8" t="n"/>
      <c r="S561" s="8" t="n"/>
      <c r="T561" s="8" t="n"/>
      <c r="U561" s="8" t="n"/>
      <c r="V561" s="8" t="n"/>
    </row>
    <row r="562">
      <c r="A562" s="8" t="n"/>
      <c r="B562" s="61" t="n"/>
      <c r="C562" s="8" t="n"/>
      <c r="D562" s="62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61" t="n"/>
      <c r="N562" s="63" t="n"/>
      <c r="O562" s="8" t="n"/>
      <c r="P562" s="8" t="n"/>
      <c r="Q562" s="8" t="n"/>
      <c r="R562" s="8" t="n"/>
      <c r="S562" s="8" t="n"/>
      <c r="T562" s="8" t="n"/>
      <c r="U562" s="8" t="n"/>
      <c r="V562" s="8" t="n"/>
    </row>
    <row r="563">
      <c r="A563" s="8" t="n"/>
      <c r="B563" s="61" t="n"/>
      <c r="C563" s="8" t="n"/>
      <c r="D563" s="62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61" t="n"/>
      <c r="N563" s="63" t="n"/>
      <c r="O563" s="8" t="n"/>
      <c r="P563" s="8" t="n"/>
      <c r="Q563" s="8" t="n"/>
      <c r="R563" s="8" t="n"/>
      <c r="S563" s="8" t="n"/>
      <c r="T563" s="8" t="n"/>
      <c r="U563" s="8" t="n"/>
      <c r="V563" s="8" t="n"/>
    </row>
    <row r="564">
      <c r="A564" s="8" t="n"/>
      <c r="B564" s="61" t="n"/>
      <c r="C564" s="8" t="n"/>
      <c r="D564" s="62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61" t="n"/>
      <c r="N564" s="63" t="n"/>
      <c r="O564" s="8" t="n"/>
      <c r="P564" s="8" t="n"/>
      <c r="Q564" s="8" t="n"/>
      <c r="R564" s="8" t="n"/>
      <c r="S564" s="8" t="n"/>
      <c r="T564" s="8" t="n"/>
      <c r="U564" s="8" t="n"/>
      <c r="V564" s="8" t="n"/>
    </row>
    <row r="565">
      <c r="A565" s="8" t="n"/>
      <c r="B565" s="61" t="n"/>
      <c r="C565" s="8" t="n"/>
      <c r="D565" s="62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61" t="n"/>
      <c r="N565" s="63" t="n"/>
      <c r="O565" s="8" t="n"/>
      <c r="P565" s="8" t="n"/>
      <c r="Q565" s="8" t="n"/>
      <c r="R565" s="8" t="n"/>
      <c r="S565" s="8" t="n"/>
      <c r="T565" s="8" t="n"/>
      <c r="U565" s="8" t="n"/>
      <c r="V565" s="8" t="n"/>
    </row>
    <row r="566">
      <c r="A566" s="8" t="n"/>
      <c r="B566" s="61" t="n"/>
      <c r="C566" s="8" t="n"/>
      <c r="D566" s="62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61" t="n"/>
      <c r="N566" s="63" t="n"/>
      <c r="O566" s="8" t="n"/>
      <c r="P566" s="8" t="n"/>
      <c r="Q566" s="8" t="n"/>
      <c r="R566" s="8" t="n"/>
      <c r="S566" s="8" t="n"/>
      <c r="T566" s="8" t="n"/>
      <c r="U566" s="8" t="n"/>
      <c r="V566" s="8" t="n"/>
    </row>
    <row r="567">
      <c r="A567" s="8" t="n"/>
      <c r="B567" s="61" t="n"/>
      <c r="C567" s="8" t="n"/>
      <c r="D567" s="62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61" t="n"/>
      <c r="N567" s="63" t="n"/>
      <c r="O567" s="8" t="n"/>
      <c r="P567" s="8" t="n"/>
      <c r="Q567" s="8" t="n"/>
      <c r="R567" s="8" t="n"/>
      <c r="S567" s="8" t="n"/>
      <c r="T567" s="8" t="n"/>
      <c r="U567" s="8" t="n"/>
      <c r="V567" s="8" t="n"/>
    </row>
    <row r="568">
      <c r="A568" s="8" t="n"/>
      <c r="B568" s="61" t="n"/>
      <c r="C568" s="8" t="n"/>
      <c r="D568" s="62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61" t="n"/>
      <c r="N568" s="63" t="n"/>
      <c r="O568" s="8" t="n"/>
      <c r="P568" s="8" t="n"/>
      <c r="Q568" s="8" t="n"/>
      <c r="R568" s="8" t="n"/>
      <c r="S568" s="8" t="n"/>
      <c r="T568" s="8" t="n"/>
      <c r="U568" s="8" t="n"/>
      <c r="V568" s="8" t="n"/>
    </row>
    <row r="569">
      <c r="A569" s="8" t="n"/>
      <c r="B569" s="61" t="n"/>
      <c r="C569" s="8" t="n"/>
      <c r="D569" s="62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61" t="n"/>
      <c r="N569" s="63" t="n"/>
      <c r="O569" s="8" t="n"/>
      <c r="P569" s="8" t="n"/>
      <c r="Q569" s="8" t="n"/>
      <c r="R569" s="8" t="n"/>
      <c r="S569" s="8" t="n"/>
      <c r="T569" s="8" t="n"/>
      <c r="U569" s="8" t="n"/>
      <c r="V569" s="8" t="n"/>
    </row>
    <row r="570">
      <c r="A570" s="8" t="n"/>
      <c r="B570" s="61" t="n"/>
      <c r="C570" s="8" t="n"/>
      <c r="D570" s="62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61" t="n"/>
      <c r="N570" s="63" t="n"/>
      <c r="O570" s="8" t="n"/>
      <c r="P570" s="8" t="n"/>
      <c r="Q570" s="8" t="n"/>
      <c r="R570" s="8" t="n"/>
      <c r="S570" s="8" t="n"/>
      <c r="T570" s="8" t="n"/>
      <c r="U570" s="8" t="n"/>
      <c r="V570" s="8" t="n"/>
    </row>
    <row r="571">
      <c r="A571" s="8" t="n"/>
      <c r="B571" s="61" t="n"/>
      <c r="C571" s="8" t="n"/>
      <c r="D571" s="62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61" t="n"/>
      <c r="N571" s="63" t="n"/>
      <c r="O571" s="8" t="n"/>
      <c r="P571" s="8" t="n"/>
      <c r="Q571" s="8" t="n"/>
      <c r="R571" s="8" t="n"/>
      <c r="S571" s="8" t="n"/>
      <c r="T571" s="8" t="n"/>
      <c r="U571" s="8" t="n"/>
      <c r="V571" s="8" t="n"/>
    </row>
    <row r="572">
      <c r="A572" s="8" t="n"/>
      <c r="B572" s="61" t="n"/>
      <c r="C572" s="8" t="n"/>
      <c r="D572" s="62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61" t="n"/>
      <c r="N572" s="63" t="n"/>
      <c r="O572" s="8" t="n"/>
      <c r="P572" s="8" t="n"/>
      <c r="Q572" s="8" t="n"/>
      <c r="R572" s="8" t="n"/>
      <c r="S572" s="8" t="n"/>
      <c r="T572" s="8" t="n"/>
      <c r="U572" s="8" t="n"/>
      <c r="V572" s="8" t="n"/>
    </row>
    <row r="573">
      <c r="A573" s="8" t="n"/>
      <c r="B573" s="61" t="n"/>
      <c r="C573" s="8" t="n"/>
      <c r="D573" s="62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61" t="n"/>
      <c r="N573" s="63" t="n"/>
      <c r="O573" s="8" t="n"/>
      <c r="P573" s="8" t="n"/>
      <c r="Q573" s="8" t="n"/>
      <c r="R573" s="8" t="n"/>
      <c r="S573" s="8" t="n"/>
      <c r="T573" s="8" t="n"/>
      <c r="U573" s="8" t="n"/>
      <c r="V573" s="8" t="n"/>
    </row>
    <row r="574">
      <c r="A574" s="8" t="n"/>
      <c r="B574" s="61" t="n"/>
      <c r="C574" s="8" t="n"/>
      <c r="D574" s="62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61" t="n"/>
      <c r="N574" s="63" t="n"/>
      <c r="O574" s="8" t="n"/>
      <c r="P574" s="8" t="n"/>
      <c r="Q574" s="8" t="n"/>
      <c r="R574" s="8" t="n"/>
      <c r="S574" s="8" t="n"/>
      <c r="T574" s="8" t="n"/>
      <c r="U574" s="8" t="n"/>
      <c r="V574" s="8" t="n"/>
    </row>
    <row r="575">
      <c r="A575" s="8" t="n"/>
      <c r="B575" s="61" t="n"/>
      <c r="C575" s="8" t="n"/>
      <c r="D575" s="62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61" t="n"/>
      <c r="N575" s="63" t="n"/>
      <c r="O575" s="8" t="n"/>
      <c r="P575" s="8" t="n"/>
      <c r="Q575" s="8" t="n"/>
      <c r="R575" s="8" t="n"/>
      <c r="S575" s="8" t="n"/>
      <c r="T575" s="8" t="n"/>
      <c r="U575" s="8" t="n"/>
      <c r="V575" s="8" t="n"/>
    </row>
    <row r="576">
      <c r="A576" s="8" t="n"/>
      <c r="B576" s="61" t="n"/>
      <c r="C576" s="8" t="n"/>
      <c r="D576" s="62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61" t="n"/>
      <c r="N576" s="63" t="n"/>
      <c r="O576" s="8" t="n"/>
      <c r="P576" s="8" t="n"/>
      <c r="Q576" s="8" t="n"/>
      <c r="R576" s="8" t="n"/>
      <c r="S576" s="8" t="n"/>
      <c r="T576" s="8" t="n"/>
      <c r="U576" s="8" t="n"/>
      <c r="V576" s="8" t="n"/>
    </row>
    <row r="577">
      <c r="A577" s="8" t="n"/>
      <c r="B577" s="61" t="n"/>
      <c r="C577" s="8" t="n"/>
      <c r="D577" s="62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61" t="n"/>
      <c r="N577" s="63" t="n"/>
      <c r="O577" s="8" t="n"/>
      <c r="P577" s="8" t="n"/>
      <c r="Q577" s="8" t="n"/>
      <c r="R577" s="8" t="n"/>
      <c r="S577" s="8" t="n"/>
      <c r="T577" s="8" t="n"/>
      <c r="U577" s="8" t="n"/>
      <c r="V577" s="8" t="n"/>
    </row>
    <row r="578">
      <c r="A578" s="8" t="n"/>
      <c r="B578" s="61" t="n"/>
      <c r="C578" s="8" t="n"/>
      <c r="D578" s="62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61" t="n"/>
      <c r="N578" s="63" t="n"/>
      <c r="O578" s="8" t="n"/>
      <c r="P578" s="8" t="n"/>
      <c r="Q578" s="8" t="n"/>
      <c r="R578" s="8" t="n"/>
      <c r="S578" s="8" t="n"/>
      <c r="T578" s="8" t="n"/>
      <c r="U578" s="8" t="n"/>
      <c r="V578" s="8" t="n"/>
    </row>
    <row r="579">
      <c r="A579" s="8" t="n"/>
      <c r="B579" s="61" t="n"/>
      <c r="C579" s="8" t="n"/>
      <c r="D579" s="62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61" t="n"/>
      <c r="N579" s="63" t="n"/>
      <c r="O579" s="8" t="n"/>
      <c r="P579" s="8" t="n"/>
      <c r="Q579" s="8" t="n"/>
      <c r="R579" s="8" t="n"/>
      <c r="S579" s="8" t="n"/>
      <c r="T579" s="8" t="n"/>
      <c r="U579" s="8" t="n"/>
      <c r="V579" s="8" t="n"/>
    </row>
    <row r="580">
      <c r="A580" s="8" t="n"/>
      <c r="B580" s="61" t="n"/>
      <c r="C580" s="8" t="n"/>
      <c r="D580" s="62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61" t="n"/>
      <c r="N580" s="63" t="n"/>
      <c r="O580" s="8" t="n"/>
      <c r="P580" s="8" t="n"/>
      <c r="Q580" s="8" t="n"/>
      <c r="R580" s="8" t="n"/>
      <c r="S580" s="8" t="n"/>
      <c r="T580" s="8" t="n"/>
      <c r="U580" s="8" t="n"/>
      <c r="V580" s="8" t="n"/>
    </row>
    <row r="581">
      <c r="A581" s="8" t="n"/>
      <c r="B581" s="61" t="n"/>
      <c r="C581" s="8" t="n"/>
      <c r="D581" s="62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61" t="n"/>
      <c r="N581" s="63" t="n"/>
      <c r="O581" s="8" t="n"/>
      <c r="P581" s="8" t="n"/>
      <c r="Q581" s="8" t="n"/>
      <c r="R581" s="8" t="n"/>
      <c r="S581" s="8" t="n"/>
      <c r="T581" s="8" t="n"/>
      <c r="U581" s="8" t="n"/>
      <c r="V581" s="8" t="n"/>
    </row>
    <row r="582">
      <c r="A582" s="8" t="n"/>
      <c r="B582" s="61" t="n"/>
      <c r="C582" s="8" t="n"/>
      <c r="D582" s="62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61" t="n"/>
      <c r="N582" s="63" t="n"/>
      <c r="O582" s="8" t="n"/>
      <c r="P582" s="8" t="n"/>
      <c r="Q582" s="8" t="n"/>
      <c r="R582" s="8" t="n"/>
      <c r="S582" s="8" t="n"/>
      <c r="T582" s="8" t="n"/>
      <c r="U582" s="8" t="n"/>
      <c r="V582" s="8" t="n"/>
    </row>
    <row r="583">
      <c r="A583" s="8" t="n"/>
      <c r="B583" s="61" t="n"/>
      <c r="C583" s="8" t="n"/>
      <c r="D583" s="62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61" t="n"/>
      <c r="N583" s="63" t="n"/>
      <c r="O583" s="8" t="n"/>
      <c r="P583" s="8" t="n"/>
      <c r="Q583" s="8" t="n"/>
      <c r="R583" s="8" t="n"/>
      <c r="S583" s="8" t="n"/>
      <c r="T583" s="8" t="n"/>
      <c r="U583" s="8" t="n"/>
      <c r="V583" s="8" t="n"/>
    </row>
    <row r="584">
      <c r="A584" s="8" t="n"/>
      <c r="B584" s="61" t="n"/>
      <c r="C584" s="8" t="n"/>
      <c r="D584" s="62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61" t="n"/>
      <c r="N584" s="63" t="n"/>
      <c r="O584" s="8" t="n"/>
      <c r="P584" s="8" t="n"/>
      <c r="Q584" s="8" t="n"/>
      <c r="R584" s="8" t="n"/>
      <c r="S584" s="8" t="n"/>
      <c r="T584" s="8" t="n"/>
      <c r="U584" s="8" t="n"/>
      <c r="V584" s="8" t="n"/>
    </row>
    <row r="585">
      <c r="A585" s="8" t="n"/>
      <c r="B585" s="61" t="n"/>
      <c r="C585" s="8" t="n"/>
      <c r="D585" s="62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61" t="n"/>
      <c r="N585" s="63" t="n"/>
      <c r="O585" s="8" t="n"/>
      <c r="P585" s="8" t="n"/>
      <c r="Q585" s="8" t="n"/>
      <c r="R585" s="8" t="n"/>
      <c r="S585" s="8" t="n"/>
      <c r="T585" s="8" t="n"/>
      <c r="U585" s="8" t="n"/>
      <c r="V585" s="8" t="n"/>
    </row>
    <row r="586">
      <c r="A586" s="8" t="n"/>
      <c r="B586" s="61" t="n"/>
      <c r="C586" s="8" t="n"/>
      <c r="D586" s="62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61" t="n"/>
      <c r="N586" s="63" t="n"/>
      <c r="O586" s="8" t="n"/>
      <c r="P586" s="8" t="n"/>
      <c r="Q586" s="8" t="n"/>
      <c r="R586" s="8" t="n"/>
      <c r="S586" s="8" t="n"/>
      <c r="T586" s="8" t="n"/>
      <c r="U586" s="8" t="n"/>
      <c r="V586" s="8" t="n"/>
    </row>
    <row r="587">
      <c r="A587" s="8" t="n"/>
      <c r="B587" s="61" t="n"/>
      <c r="C587" s="8" t="n"/>
      <c r="D587" s="62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61" t="n"/>
      <c r="N587" s="63" t="n"/>
      <c r="O587" s="8" t="n"/>
      <c r="P587" s="8" t="n"/>
      <c r="Q587" s="8" t="n"/>
      <c r="R587" s="8" t="n"/>
      <c r="S587" s="8" t="n"/>
      <c r="T587" s="8" t="n"/>
      <c r="U587" s="8" t="n"/>
      <c r="V587" s="8" t="n"/>
    </row>
    <row r="588">
      <c r="A588" s="8" t="n"/>
      <c r="B588" s="61" t="n"/>
      <c r="C588" s="8" t="n"/>
      <c r="D588" s="62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61" t="n"/>
      <c r="N588" s="63" t="n"/>
      <c r="O588" s="8" t="n"/>
      <c r="P588" s="8" t="n"/>
      <c r="Q588" s="8" t="n"/>
      <c r="R588" s="8" t="n"/>
      <c r="S588" s="8" t="n"/>
      <c r="T588" s="8" t="n"/>
      <c r="U588" s="8" t="n"/>
      <c r="V588" s="8" t="n"/>
    </row>
    <row r="589">
      <c r="A589" s="8" t="n"/>
      <c r="B589" s="61" t="n"/>
      <c r="C589" s="8" t="n"/>
      <c r="D589" s="62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61" t="n"/>
      <c r="N589" s="63" t="n"/>
      <c r="O589" s="8" t="n"/>
      <c r="P589" s="8" t="n"/>
      <c r="Q589" s="8" t="n"/>
      <c r="R589" s="8" t="n"/>
      <c r="S589" s="8" t="n"/>
      <c r="T589" s="8" t="n"/>
      <c r="U589" s="8" t="n"/>
      <c r="V589" s="8" t="n"/>
    </row>
    <row r="590">
      <c r="A590" s="8" t="n"/>
      <c r="B590" s="61" t="n"/>
      <c r="C590" s="8" t="n"/>
      <c r="D590" s="62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61" t="n"/>
      <c r="N590" s="63" t="n"/>
      <c r="O590" s="8" t="n"/>
      <c r="P590" s="8" t="n"/>
      <c r="Q590" s="8" t="n"/>
      <c r="R590" s="8" t="n"/>
      <c r="S590" s="8" t="n"/>
      <c r="T590" s="8" t="n"/>
      <c r="U590" s="8" t="n"/>
      <c r="V590" s="8" t="n"/>
    </row>
    <row r="591">
      <c r="A591" s="8" t="n"/>
      <c r="B591" s="61" t="n"/>
      <c r="C591" s="8" t="n"/>
      <c r="D591" s="62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61" t="n"/>
      <c r="N591" s="63" t="n"/>
      <c r="O591" s="8" t="n"/>
      <c r="P591" s="8" t="n"/>
      <c r="Q591" s="8" t="n"/>
      <c r="R591" s="8" t="n"/>
      <c r="S591" s="8" t="n"/>
      <c r="T591" s="8" t="n"/>
      <c r="U591" s="8" t="n"/>
      <c r="V591" s="8" t="n"/>
    </row>
    <row r="592">
      <c r="A592" s="8" t="n"/>
      <c r="B592" s="61" t="n"/>
      <c r="C592" s="8" t="n"/>
      <c r="D592" s="62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61" t="n"/>
      <c r="N592" s="63" t="n"/>
      <c r="O592" s="8" t="n"/>
      <c r="P592" s="8" t="n"/>
      <c r="Q592" s="8" t="n"/>
      <c r="R592" s="8" t="n"/>
      <c r="S592" s="8" t="n"/>
      <c r="T592" s="8" t="n"/>
      <c r="U592" s="8" t="n"/>
      <c r="V592" s="8" t="n"/>
    </row>
    <row r="593">
      <c r="A593" s="8" t="n"/>
      <c r="B593" s="61" t="n"/>
      <c r="C593" s="8" t="n"/>
      <c r="D593" s="62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61" t="n"/>
      <c r="N593" s="63" t="n"/>
      <c r="O593" s="8" t="n"/>
      <c r="P593" s="8" t="n"/>
      <c r="Q593" s="8" t="n"/>
      <c r="R593" s="8" t="n"/>
      <c r="S593" s="8" t="n"/>
      <c r="T593" s="8" t="n"/>
      <c r="U593" s="8" t="n"/>
      <c r="V593" s="8" t="n"/>
    </row>
    <row r="594">
      <c r="A594" s="8" t="n"/>
      <c r="B594" s="61" t="n"/>
      <c r="C594" s="8" t="n"/>
      <c r="D594" s="62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61" t="n"/>
      <c r="N594" s="63" t="n"/>
      <c r="O594" s="8" t="n"/>
      <c r="P594" s="8" t="n"/>
      <c r="Q594" s="8" t="n"/>
      <c r="R594" s="8" t="n"/>
      <c r="S594" s="8" t="n"/>
      <c r="T594" s="8" t="n"/>
      <c r="U594" s="8" t="n"/>
      <c r="V594" s="8" t="n"/>
    </row>
    <row r="595">
      <c r="A595" s="8" t="n"/>
      <c r="B595" s="61" t="n"/>
      <c r="C595" s="8" t="n"/>
      <c r="D595" s="62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61" t="n"/>
      <c r="N595" s="63" t="n"/>
      <c r="O595" s="8" t="n"/>
      <c r="P595" s="8" t="n"/>
      <c r="Q595" s="8" t="n"/>
      <c r="R595" s="8" t="n"/>
      <c r="S595" s="8" t="n"/>
      <c r="T595" s="8" t="n"/>
      <c r="U595" s="8" t="n"/>
      <c r="V595" s="8" t="n"/>
    </row>
    <row r="596">
      <c r="A596" s="8" t="n"/>
      <c r="B596" s="61" t="n"/>
      <c r="C596" s="8" t="n"/>
      <c r="D596" s="62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61" t="n"/>
      <c r="N596" s="63" t="n"/>
      <c r="O596" s="8" t="n"/>
      <c r="P596" s="8" t="n"/>
      <c r="Q596" s="8" t="n"/>
      <c r="R596" s="8" t="n"/>
      <c r="S596" s="8" t="n"/>
      <c r="T596" s="8" t="n"/>
      <c r="U596" s="8" t="n"/>
      <c r="V596" s="8" t="n"/>
    </row>
    <row r="597">
      <c r="A597" s="8" t="n"/>
      <c r="B597" s="61" t="n"/>
      <c r="C597" s="8" t="n"/>
      <c r="D597" s="62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61" t="n"/>
      <c r="N597" s="63" t="n"/>
      <c r="O597" s="8" t="n"/>
      <c r="P597" s="8" t="n"/>
      <c r="Q597" s="8" t="n"/>
      <c r="R597" s="8" t="n"/>
      <c r="S597" s="8" t="n"/>
      <c r="T597" s="8" t="n"/>
      <c r="U597" s="8" t="n"/>
      <c r="V597" s="8" t="n"/>
    </row>
    <row r="598">
      <c r="A598" s="8" t="n"/>
      <c r="B598" s="61" t="n"/>
      <c r="C598" s="8" t="n"/>
      <c r="D598" s="62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61" t="n"/>
      <c r="N598" s="63" t="n"/>
      <c r="O598" s="8" t="n"/>
      <c r="P598" s="8" t="n"/>
      <c r="Q598" s="8" t="n"/>
      <c r="R598" s="8" t="n"/>
      <c r="S598" s="8" t="n"/>
      <c r="T598" s="8" t="n"/>
      <c r="U598" s="8" t="n"/>
      <c r="V598" s="8" t="n"/>
    </row>
    <row r="599">
      <c r="A599" s="8" t="n"/>
      <c r="B599" s="61" t="n"/>
      <c r="C599" s="8" t="n"/>
      <c r="D599" s="62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61" t="n"/>
      <c r="N599" s="63" t="n"/>
      <c r="O599" s="8" t="n"/>
      <c r="P599" s="8" t="n"/>
      <c r="Q599" s="8" t="n"/>
      <c r="R599" s="8" t="n"/>
      <c r="S599" s="8" t="n"/>
      <c r="T599" s="8" t="n"/>
      <c r="U599" s="8" t="n"/>
      <c r="V599" s="8" t="n"/>
    </row>
    <row r="600">
      <c r="A600" s="8" t="n"/>
      <c r="B600" s="61" t="n"/>
      <c r="C600" s="8" t="n"/>
      <c r="D600" s="62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61" t="n"/>
      <c r="N600" s="63" t="n"/>
      <c r="O600" s="8" t="n"/>
      <c r="P600" s="8" t="n"/>
      <c r="Q600" s="8" t="n"/>
      <c r="R600" s="8" t="n"/>
      <c r="S600" s="8" t="n"/>
      <c r="T600" s="8" t="n"/>
      <c r="U600" s="8" t="n"/>
      <c r="V600" s="8" t="n"/>
    </row>
    <row r="601">
      <c r="A601" s="8" t="n"/>
      <c r="B601" s="61" t="n"/>
      <c r="C601" s="8" t="n"/>
      <c r="D601" s="62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61" t="n"/>
      <c r="N601" s="63" t="n"/>
      <c r="O601" s="8" t="n"/>
      <c r="P601" s="8" t="n"/>
      <c r="Q601" s="8" t="n"/>
      <c r="R601" s="8" t="n"/>
      <c r="S601" s="8" t="n"/>
      <c r="T601" s="8" t="n"/>
      <c r="U601" s="8" t="n"/>
      <c r="V601" s="8" t="n"/>
    </row>
    <row r="602">
      <c r="A602" s="8" t="n"/>
      <c r="B602" s="61" t="n"/>
      <c r="C602" s="8" t="n"/>
      <c r="D602" s="62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61" t="n"/>
      <c r="N602" s="63" t="n"/>
      <c r="O602" s="8" t="n"/>
      <c r="P602" s="8" t="n"/>
      <c r="Q602" s="8" t="n"/>
      <c r="R602" s="8" t="n"/>
      <c r="S602" s="8" t="n"/>
      <c r="T602" s="8" t="n"/>
      <c r="U602" s="8" t="n"/>
      <c r="V602" s="8" t="n"/>
    </row>
    <row r="603">
      <c r="A603" s="8" t="n"/>
      <c r="B603" s="61" t="n"/>
      <c r="C603" s="8" t="n"/>
      <c r="D603" s="62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61" t="n"/>
      <c r="N603" s="63" t="n"/>
      <c r="O603" s="8" t="n"/>
      <c r="P603" s="8" t="n"/>
      <c r="Q603" s="8" t="n"/>
      <c r="R603" s="8" t="n"/>
      <c r="S603" s="8" t="n"/>
      <c r="T603" s="8" t="n"/>
      <c r="U603" s="8" t="n"/>
      <c r="V603" s="8" t="n"/>
    </row>
    <row r="604">
      <c r="A604" s="8" t="n"/>
      <c r="B604" s="61" t="n"/>
      <c r="C604" s="8" t="n"/>
      <c r="D604" s="62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61" t="n"/>
      <c r="N604" s="63" t="n"/>
      <c r="O604" s="8" t="n"/>
      <c r="P604" s="8" t="n"/>
      <c r="Q604" s="8" t="n"/>
      <c r="R604" s="8" t="n"/>
      <c r="S604" s="8" t="n"/>
      <c r="T604" s="8" t="n"/>
      <c r="U604" s="8" t="n"/>
      <c r="V604" s="8" t="n"/>
    </row>
    <row r="605">
      <c r="A605" s="8" t="n"/>
      <c r="B605" s="61" t="n"/>
      <c r="C605" s="8" t="n"/>
      <c r="D605" s="62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61" t="n"/>
      <c r="N605" s="63" t="n"/>
      <c r="O605" s="8" t="n"/>
      <c r="P605" s="8" t="n"/>
      <c r="Q605" s="8" t="n"/>
      <c r="R605" s="8" t="n"/>
      <c r="S605" s="8" t="n"/>
      <c r="T605" s="8" t="n"/>
      <c r="U605" s="8" t="n"/>
      <c r="V605" s="8" t="n"/>
    </row>
    <row r="606">
      <c r="A606" s="8" t="n"/>
      <c r="B606" s="61" t="n"/>
      <c r="C606" s="8" t="n"/>
      <c r="D606" s="62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61" t="n"/>
      <c r="N606" s="63" t="n"/>
      <c r="O606" s="8" t="n"/>
      <c r="P606" s="8" t="n"/>
      <c r="Q606" s="8" t="n"/>
      <c r="R606" s="8" t="n"/>
      <c r="S606" s="8" t="n"/>
      <c r="T606" s="8" t="n"/>
      <c r="U606" s="8" t="n"/>
      <c r="V606" s="8" t="n"/>
    </row>
    <row r="607">
      <c r="A607" s="8" t="n"/>
      <c r="B607" s="61" t="n"/>
      <c r="C607" s="8" t="n"/>
      <c r="D607" s="62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61" t="n"/>
      <c r="N607" s="63" t="n"/>
      <c r="O607" s="8" t="n"/>
      <c r="P607" s="8" t="n"/>
      <c r="Q607" s="8" t="n"/>
      <c r="R607" s="8" t="n"/>
      <c r="S607" s="8" t="n"/>
      <c r="T607" s="8" t="n"/>
      <c r="U607" s="8" t="n"/>
      <c r="V607" s="8" t="n"/>
    </row>
    <row r="608">
      <c r="A608" s="8" t="n"/>
      <c r="B608" s="61" t="n"/>
      <c r="C608" s="8" t="n"/>
      <c r="D608" s="62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61" t="n"/>
      <c r="N608" s="63" t="n"/>
      <c r="O608" s="8" t="n"/>
      <c r="P608" s="8" t="n"/>
      <c r="Q608" s="8" t="n"/>
      <c r="R608" s="8" t="n"/>
      <c r="S608" s="8" t="n"/>
      <c r="T608" s="8" t="n"/>
      <c r="U608" s="8" t="n"/>
      <c r="V608" s="8" t="n"/>
    </row>
    <row r="609">
      <c r="A609" s="8" t="n"/>
      <c r="B609" s="61" t="n"/>
      <c r="C609" s="8" t="n"/>
      <c r="D609" s="62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61" t="n"/>
      <c r="N609" s="63" t="n"/>
      <c r="O609" s="8" t="n"/>
      <c r="P609" s="8" t="n"/>
      <c r="Q609" s="8" t="n"/>
      <c r="R609" s="8" t="n"/>
      <c r="S609" s="8" t="n"/>
      <c r="T609" s="8" t="n"/>
      <c r="U609" s="8" t="n"/>
      <c r="V609" s="8" t="n"/>
    </row>
    <row r="610">
      <c r="A610" s="8" t="n"/>
      <c r="B610" s="61" t="n"/>
      <c r="C610" s="8" t="n"/>
      <c r="D610" s="62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61" t="n"/>
      <c r="N610" s="63" t="n"/>
      <c r="O610" s="8" t="n"/>
      <c r="P610" s="8" t="n"/>
      <c r="Q610" s="8" t="n"/>
      <c r="R610" s="8" t="n"/>
      <c r="S610" s="8" t="n"/>
      <c r="T610" s="8" t="n"/>
      <c r="U610" s="8" t="n"/>
      <c r="V610" s="8" t="n"/>
    </row>
    <row r="611">
      <c r="A611" s="8" t="n"/>
      <c r="B611" s="61" t="n"/>
      <c r="C611" s="8" t="n"/>
      <c r="D611" s="62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61" t="n"/>
      <c r="N611" s="63" t="n"/>
      <c r="O611" s="8" t="n"/>
      <c r="P611" s="8" t="n"/>
      <c r="Q611" s="8" t="n"/>
      <c r="R611" s="8" t="n"/>
      <c r="S611" s="8" t="n"/>
      <c r="T611" s="8" t="n"/>
      <c r="U611" s="8" t="n"/>
      <c r="V611" s="8" t="n"/>
    </row>
    <row r="612">
      <c r="A612" s="8" t="n"/>
      <c r="B612" s="61" t="n"/>
      <c r="C612" s="8" t="n"/>
      <c r="D612" s="62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61" t="n"/>
      <c r="N612" s="63" t="n"/>
      <c r="O612" s="8" t="n"/>
      <c r="P612" s="8" t="n"/>
      <c r="Q612" s="8" t="n"/>
      <c r="R612" s="8" t="n"/>
      <c r="S612" s="8" t="n"/>
      <c r="T612" s="8" t="n"/>
      <c r="U612" s="8" t="n"/>
      <c r="V612" s="8" t="n"/>
    </row>
    <row r="613">
      <c r="A613" s="8" t="n"/>
      <c r="B613" s="61" t="n"/>
      <c r="C613" s="8" t="n"/>
      <c r="D613" s="62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61" t="n"/>
      <c r="N613" s="63" t="n"/>
      <c r="O613" s="8" t="n"/>
      <c r="P613" s="8" t="n"/>
      <c r="Q613" s="8" t="n"/>
      <c r="R613" s="8" t="n"/>
      <c r="S613" s="8" t="n"/>
      <c r="T613" s="8" t="n"/>
      <c r="U613" s="8" t="n"/>
      <c r="V613" s="8" t="n"/>
    </row>
    <row r="614">
      <c r="A614" s="8" t="n"/>
      <c r="B614" s="61" t="n"/>
      <c r="C614" s="8" t="n"/>
      <c r="D614" s="62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61" t="n"/>
      <c r="N614" s="63" t="n"/>
      <c r="O614" s="8" t="n"/>
      <c r="P614" s="8" t="n"/>
      <c r="Q614" s="8" t="n"/>
      <c r="R614" s="8" t="n"/>
      <c r="S614" s="8" t="n"/>
      <c r="T614" s="8" t="n"/>
      <c r="U614" s="8" t="n"/>
      <c r="V614" s="8" t="n"/>
    </row>
    <row r="615">
      <c r="A615" s="8" t="n"/>
      <c r="B615" s="61" t="n"/>
      <c r="C615" s="8" t="n"/>
      <c r="D615" s="62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61" t="n"/>
      <c r="N615" s="63" t="n"/>
      <c r="O615" s="8" t="n"/>
      <c r="P615" s="8" t="n"/>
      <c r="Q615" s="8" t="n"/>
      <c r="R615" s="8" t="n"/>
      <c r="S615" s="8" t="n"/>
      <c r="T615" s="8" t="n"/>
      <c r="U615" s="8" t="n"/>
      <c r="V615" s="8" t="n"/>
    </row>
    <row r="616">
      <c r="A616" s="8" t="n"/>
      <c r="B616" s="61" t="n"/>
      <c r="C616" s="8" t="n"/>
      <c r="D616" s="62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61" t="n"/>
      <c r="N616" s="63" t="n"/>
      <c r="O616" s="8" t="n"/>
      <c r="P616" s="8" t="n"/>
      <c r="Q616" s="8" t="n"/>
      <c r="R616" s="8" t="n"/>
      <c r="S616" s="8" t="n"/>
      <c r="T616" s="8" t="n"/>
      <c r="U616" s="8" t="n"/>
      <c r="V616" s="8" t="n"/>
    </row>
    <row r="617">
      <c r="A617" s="8" t="n"/>
      <c r="B617" s="61" t="n"/>
      <c r="C617" s="8" t="n"/>
      <c r="D617" s="62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61" t="n"/>
      <c r="N617" s="63" t="n"/>
      <c r="O617" s="8" t="n"/>
      <c r="P617" s="8" t="n"/>
      <c r="Q617" s="8" t="n"/>
      <c r="R617" s="8" t="n"/>
      <c r="S617" s="8" t="n"/>
      <c r="T617" s="8" t="n"/>
      <c r="U617" s="8" t="n"/>
      <c r="V617" s="8" t="n"/>
    </row>
    <row r="618">
      <c r="A618" s="8" t="n"/>
      <c r="B618" s="61" t="n"/>
      <c r="C618" s="8" t="n"/>
      <c r="D618" s="62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61" t="n"/>
      <c r="N618" s="63" t="n"/>
      <c r="O618" s="8" t="n"/>
      <c r="P618" s="8" t="n"/>
      <c r="Q618" s="8" t="n"/>
      <c r="R618" s="8" t="n"/>
      <c r="S618" s="8" t="n"/>
      <c r="T618" s="8" t="n"/>
      <c r="U618" s="8" t="n"/>
      <c r="V618" s="8" t="n"/>
    </row>
    <row r="619">
      <c r="A619" s="8" t="n"/>
      <c r="B619" s="61" t="n"/>
      <c r="C619" s="8" t="n"/>
      <c r="D619" s="62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61" t="n"/>
      <c r="N619" s="63" t="n"/>
      <c r="O619" s="8" t="n"/>
      <c r="P619" s="8" t="n"/>
      <c r="Q619" s="8" t="n"/>
      <c r="R619" s="8" t="n"/>
      <c r="S619" s="8" t="n"/>
      <c r="T619" s="8" t="n"/>
      <c r="U619" s="8" t="n"/>
      <c r="V619" s="8" t="n"/>
    </row>
    <row r="620">
      <c r="A620" s="8" t="n"/>
      <c r="B620" s="61" t="n"/>
      <c r="C620" s="8" t="n"/>
      <c r="D620" s="62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61" t="n"/>
      <c r="N620" s="63" t="n"/>
      <c r="O620" s="8" t="n"/>
      <c r="P620" s="8" t="n"/>
      <c r="Q620" s="8" t="n"/>
      <c r="R620" s="8" t="n"/>
      <c r="S620" s="8" t="n"/>
      <c r="T620" s="8" t="n"/>
      <c r="U620" s="8" t="n"/>
      <c r="V620" s="8" t="n"/>
    </row>
    <row r="621">
      <c r="A621" s="8" t="n"/>
      <c r="B621" s="61" t="n"/>
      <c r="C621" s="8" t="n"/>
      <c r="D621" s="62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61" t="n"/>
      <c r="N621" s="63" t="n"/>
      <c r="O621" s="8" t="n"/>
      <c r="P621" s="8" t="n"/>
      <c r="Q621" s="8" t="n"/>
      <c r="R621" s="8" t="n"/>
      <c r="S621" s="8" t="n"/>
      <c r="T621" s="8" t="n"/>
      <c r="U621" s="8" t="n"/>
      <c r="V621" s="8" t="n"/>
    </row>
    <row r="622">
      <c r="A622" s="8" t="n"/>
      <c r="B622" s="61" t="n"/>
      <c r="C622" s="8" t="n"/>
      <c r="D622" s="62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61" t="n"/>
      <c r="N622" s="63" t="n"/>
      <c r="O622" s="8" t="n"/>
      <c r="P622" s="8" t="n"/>
      <c r="Q622" s="8" t="n"/>
      <c r="R622" s="8" t="n"/>
      <c r="S622" s="8" t="n"/>
      <c r="T622" s="8" t="n"/>
      <c r="U622" s="8" t="n"/>
      <c r="V622" s="8" t="n"/>
    </row>
    <row r="623">
      <c r="A623" s="8" t="n"/>
      <c r="B623" s="61" t="n"/>
      <c r="C623" s="8" t="n"/>
      <c r="D623" s="62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61" t="n"/>
      <c r="N623" s="63" t="n"/>
      <c r="O623" s="8" t="n"/>
      <c r="P623" s="8" t="n"/>
      <c r="Q623" s="8" t="n"/>
      <c r="R623" s="8" t="n"/>
      <c r="S623" s="8" t="n"/>
      <c r="T623" s="8" t="n"/>
      <c r="U623" s="8" t="n"/>
      <c r="V623" s="8" t="n"/>
    </row>
    <row r="624">
      <c r="A624" s="8" t="n"/>
      <c r="B624" s="61" t="n"/>
      <c r="C624" s="8" t="n"/>
      <c r="D624" s="62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61" t="n"/>
      <c r="N624" s="63" t="n"/>
      <c r="O624" s="8" t="n"/>
      <c r="P624" s="8" t="n"/>
      <c r="Q624" s="8" t="n"/>
      <c r="R624" s="8" t="n"/>
      <c r="S624" s="8" t="n"/>
      <c r="T624" s="8" t="n"/>
      <c r="U624" s="8" t="n"/>
      <c r="V624" s="8" t="n"/>
    </row>
    <row r="625">
      <c r="A625" s="8" t="n"/>
      <c r="B625" s="61" t="n"/>
      <c r="C625" s="8" t="n"/>
      <c r="D625" s="62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61" t="n"/>
      <c r="N625" s="63" t="n"/>
      <c r="O625" s="8" t="n"/>
      <c r="P625" s="8" t="n"/>
      <c r="Q625" s="8" t="n"/>
      <c r="R625" s="8" t="n"/>
      <c r="S625" s="8" t="n"/>
      <c r="T625" s="8" t="n"/>
      <c r="U625" s="8" t="n"/>
      <c r="V625" s="8" t="n"/>
    </row>
    <row r="626">
      <c r="A626" s="8" t="n"/>
      <c r="B626" s="61" t="n"/>
      <c r="C626" s="8" t="n"/>
      <c r="D626" s="62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61" t="n"/>
      <c r="N626" s="63" t="n"/>
      <c r="O626" s="8" t="n"/>
      <c r="P626" s="8" t="n"/>
      <c r="Q626" s="8" t="n"/>
      <c r="R626" s="8" t="n"/>
      <c r="S626" s="8" t="n"/>
      <c r="T626" s="8" t="n"/>
      <c r="U626" s="8" t="n"/>
      <c r="V626" s="8" t="n"/>
    </row>
    <row r="627">
      <c r="A627" s="8" t="n"/>
      <c r="B627" s="61" t="n"/>
      <c r="C627" s="8" t="n"/>
      <c r="D627" s="62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61" t="n"/>
      <c r="N627" s="63" t="n"/>
      <c r="O627" s="8" t="n"/>
      <c r="P627" s="8" t="n"/>
      <c r="Q627" s="8" t="n"/>
      <c r="R627" s="8" t="n"/>
      <c r="S627" s="8" t="n"/>
      <c r="T627" s="8" t="n"/>
      <c r="U627" s="8" t="n"/>
      <c r="V627" s="8" t="n"/>
    </row>
    <row r="628">
      <c r="A628" s="8" t="n"/>
      <c r="B628" s="61" t="n"/>
      <c r="C628" s="8" t="n"/>
      <c r="D628" s="62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61" t="n"/>
      <c r="N628" s="63" t="n"/>
      <c r="O628" s="8" t="n"/>
      <c r="P628" s="8" t="n"/>
      <c r="Q628" s="8" t="n"/>
      <c r="R628" s="8" t="n"/>
      <c r="S628" s="8" t="n"/>
      <c r="T628" s="8" t="n"/>
      <c r="U628" s="8" t="n"/>
      <c r="V628" s="8" t="n"/>
    </row>
    <row r="629">
      <c r="A629" s="8" t="n"/>
      <c r="B629" s="61" t="n"/>
      <c r="C629" s="8" t="n"/>
      <c r="D629" s="62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61" t="n"/>
      <c r="N629" s="63" t="n"/>
      <c r="O629" s="8" t="n"/>
      <c r="P629" s="8" t="n"/>
      <c r="Q629" s="8" t="n"/>
      <c r="R629" s="8" t="n"/>
      <c r="S629" s="8" t="n"/>
      <c r="T629" s="8" t="n"/>
      <c r="U629" s="8" t="n"/>
      <c r="V629" s="8" t="n"/>
    </row>
    <row r="630">
      <c r="A630" s="8" t="n"/>
      <c r="B630" s="61" t="n"/>
      <c r="C630" s="8" t="n"/>
      <c r="D630" s="62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61" t="n"/>
      <c r="N630" s="63" t="n"/>
      <c r="O630" s="8" t="n"/>
      <c r="P630" s="8" t="n"/>
      <c r="Q630" s="8" t="n"/>
      <c r="R630" s="8" t="n"/>
      <c r="S630" s="8" t="n"/>
      <c r="T630" s="8" t="n"/>
      <c r="U630" s="8" t="n"/>
      <c r="V630" s="8" t="n"/>
    </row>
    <row r="631">
      <c r="A631" s="8" t="n"/>
      <c r="B631" s="61" t="n"/>
      <c r="C631" s="8" t="n"/>
      <c r="D631" s="62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61" t="n"/>
      <c r="N631" s="63" t="n"/>
      <c r="O631" s="8" t="n"/>
      <c r="P631" s="8" t="n"/>
      <c r="Q631" s="8" t="n"/>
      <c r="R631" s="8" t="n"/>
      <c r="S631" s="8" t="n"/>
      <c r="T631" s="8" t="n"/>
      <c r="U631" s="8" t="n"/>
      <c r="V631" s="8" t="n"/>
    </row>
    <row r="632">
      <c r="A632" s="8" t="n"/>
      <c r="B632" s="61" t="n"/>
      <c r="C632" s="8" t="n"/>
      <c r="D632" s="62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61" t="n"/>
      <c r="N632" s="63" t="n"/>
      <c r="O632" s="8" t="n"/>
      <c r="P632" s="8" t="n"/>
      <c r="Q632" s="8" t="n"/>
      <c r="R632" s="8" t="n"/>
      <c r="S632" s="8" t="n"/>
      <c r="T632" s="8" t="n"/>
      <c r="U632" s="8" t="n"/>
      <c r="V632" s="8" t="n"/>
    </row>
    <row r="633">
      <c r="A633" s="8" t="n"/>
      <c r="B633" s="61" t="n"/>
      <c r="C633" s="8" t="n"/>
      <c r="D633" s="62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61" t="n"/>
      <c r="N633" s="63" t="n"/>
      <c r="O633" s="8" t="n"/>
      <c r="P633" s="8" t="n"/>
      <c r="Q633" s="8" t="n"/>
      <c r="R633" s="8" t="n"/>
      <c r="S633" s="8" t="n"/>
      <c r="T633" s="8" t="n"/>
      <c r="U633" s="8" t="n"/>
      <c r="V633" s="8" t="n"/>
    </row>
    <row r="634">
      <c r="A634" s="8" t="n"/>
      <c r="B634" s="61" t="n"/>
      <c r="C634" s="8" t="n"/>
      <c r="D634" s="62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61" t="n"/>
      <c r="N634" s="63" t="n"/>
      <c r="O634" s="8" t="n"/>
      <c r="P634" s="8" t="n"/>
      <c r="Q634" s="8" t="n"/>
      <c r="R634" s="8" t="n"/>
      <c r="S634" s="8" t="n"/>
      <c r="T634" s="8" t="n"/>
      <c r="U634" s="8" t="n"/>
      <c r="V634" s="8" t="n"/>
    </row>
    <row r="635">
      <c r="A635" s="8" t="n"/>
      <c r="B635" s="61" t="n"/>
      <c r="C635" s="8" t="n"/>
      <c r="D635" s="62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61" t="n"/>
      <c r="N635" s="63" t="n"/>
      <c r="O635" s="8" t="n"/>
      <c r="P635" s="8" t="n"/>
      <c r="Q635" s="8" t="n"/>
      <c r="R635" s="8" t="n"/>
      <c r="S635" s="8" t="n"/>
      <c r="T635" s="8" t="n"/>
      <c r="U635" s="8" t="n"/>
      <c r="V635" s="8" t="n"/>
    </row>
    <row r="636">
      <c r="A636" s="8" t="n"/>
      <c r="B636" s="61" t="n"/>
      <c r="C636" s="8" t="n"/>
      <c r="D636" s="62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61" t="n"/>
      <c r="N636" s="63" t="n"/>
      <c r="O636" s="8" t="n"/>
      <c r="P636" s="8" t="n"/>
      <c r="Q636" s="8" t="n"/>
      <c r="R636" s="8" t="n"/>
      <c r="S636" s="8" t="n"/>
      <c r="T636" s="8" t="n"/>
      <c r="U636" s="8" t="n"/>
      <c r="V636" s="8" t="n"/>
    </row>
    <row r="637">
      <c r="A637" s="8" t="n"/>
      <c r="B637" s="61" t="n"/>
      <c r="C637" s="8" t="n"/>
      <c r="D637" s="62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61" t="n"/>
      <c r="N637" s="63" t="n"/>
      <c r="O637" s="8" t="n"/>
      <c r="P637" s="8" t="n"/>
      <c r="Q637" s="8" t="n"/>
      <c r="R637" s="8" t="n"/>
      <c r="S637" s="8" t="n"/>
      <c r="T637" s="8" t="n"/>
      <c r="U637" s="8" t="n"/>
      <c r="V637" s="8" t="n"/>
    </row>
    <row r="638">
      <c r="A638" s="8" t="n"/>
      <c r="B638" s="61" t="n"/>
      <c r="C638" s="8" t="n"/>
      <c r="D638" s="62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61" t="n"/>
      <c r="N638" s="63" t="n"/>
      <c r="O638" s="8" t="n"/>
      <c r="P638" s="8" t="n"/>
      <c r="Q638" s="8" t="n"/>
      <c r="R638" s="8" t="n"/>
      <c r="S638" s="8" t="n"/>
      <c r="T638" s="8" t="n"/>
      <c r="U638" s="8" t="n"/>
      <c r="V638" s="8" t="n"/>
    </row>
    <row r="639">
      <c r="A639" s="8" t="n"/>
      <c r="B639" s="61" t="n"/>
      <c r="C639" s="8" t="n"/>
      <c r="D639" s="62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61" t="n"/>
      <c r="N639" s="63" t="n"/>
      <c r="O639" s="8" t="n"/>
      <c r="P639" s="8" t="n"/>
      <c r="Q639" s="8" t="n"/>
      <c r="R639" s="8" t="n"/>
      <c r="S639" s="8" t="n"/>
      <c r="T639" s="8" t="n"/>
      <c r="U639" s="8" t="n"/>
      <c r="V639" s="8" t="n"/>
    </row>
    <row r="640">
      <c r="A640" s="8" t="n"/>
      <c r="B640" s="61" t="n"/>
      <c r="C640" s="8" t="n"/>
      <c r="D640" s="62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61" t="n"/>
      <c r="N640" s="63" t="n"/>
      <c r="O640" s="8" t="n"/>
      <c r="P640" s="8" t="n"/>
      <c r="Q640" s="8" t="n"/>
      <c r="R640" s="8" t="n"/>
      <c r="S640" s="8" t="n"/>
      <c r="T640" s="8" t="n"/>
      <c r="U640" s="8" t="n"/>
      <c r="V640" s="8" t="n"/>
    </row>
    <row r="641">
      <c r="A641" s="8" t="n"/>
      <c r="B641" s="61" t="n"/>
      <c r="C641" s="8" t="n"/>
      <c r="D641" s="62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61" t="n"/>
      <c r="N641" s="63" t="n"/>
      <c r="O641" s="8" t="n"/>
      <c r="P641" s="8" t="n"/>
      <c r="Q641" s="8" t="n"/>
      <c r="R641" s="8" t="n"/>
      <c r="S641" s="8" t="n"/>
      <c r="T641" s="8" t="n"/>
      <c r="U641" s="8" t="n"/>
      <c r="V641" s="8" t="n"/>
    </row>
    <row r="642">
      <c r="A642" s="8" t="n"/>
      <c r="B642" s="61" t="n"/>
      <c r="C642" s="8" t="n"/>
      <c r="D642" s="62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61" t="n"/>
      <c r="N642" s="63" t="n"/>
      <c r="O642" s="8" t="n"/>
      <c r="P642" s="8" t="n"/>
      <c r="Q642" s="8" t="n"/>
      <c r="R642" s="8" t="n"/>
      <c r="S642" s="8" t="n"/>
      <c r="T642" s="8" t="n"/>
      <c r="U642" s="8" t="n"/>
      <c r="V642" s="8" t="n"/>
    </row>
    <row r="643">
      <c r="A643" s="8" t="n"/>
      <c r="B643" s="61" t="n"/>
      <c r="C643" s="8" t="n"/>
      <c r="D643" s="62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61" t="n"/>
      <c r="N643" s="63" t="n"/>
      <c r="O643" s="8" t="n"/>
      <c r="P643" s="8" t="n"/>
      <c r="Q643" s="8" t="n"/>
      <c r="R643" s="8" t="n"/>
      <c r="S643" s="8" t="n"/>
      <c r="T643" s="8" t="n"/>
      <c r="U643" s="8" t="n"/>
      <c r="V643" s="8" t="n"/>
    </row>
    <row r="644">
      <c r="A644" s="8" t="n"/>
      <c r="B644" s="61" t="n"/>
      <c r="C644" s="8" t="n"/>
      <c r="D644" s="62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61" t="n"/>
      <c r="N644" s="63" t="n"/>
      <c r="O644" s="8" t="n"/>
      <c r="P644" s="8" t="n"/>
      <c r="Q644" s="8" t="n"/>
      <c r="R644" s="8" t="n"/>
      <c r="S644" s="8" t="n"/>
      <c r="T644" s="8" t="n"/>
      <c r="U644" s="8" t="n"/>
      <c r="V644" s="8" t="n"/>
    </row>
    <row r="645">
      <c r="A645" s="8" t="n"/>
      <c r="B645" s="61" t="n"/>
      <c r="C645" s="8" t="n"/>
      <c r="D645" s="62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61" t="n"/>
      <c r="N645" s="63" t="n"/>
      <c r="O645" s="8" t="n"/>
      <c r="P645" s="8" t="n"/>
      <c r="Q645" s="8" t="n"/>
      <c r="R645" s="8" t="n"/>
      <c r="S645" s="8" t="n"/>
      <c r="T645" s="8" t="n"/>
      <c r="U645" s="8" t="n"/>
      <c r="V645" s="8" t="n"/>
    </row>
    <row r="646">
      <c r="A646" s="8" t="n"/>
      <c r="B646" s="61" t="n"/>
      <c r="C646" s="8" t="n"/>
      <c r="D646" s="62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61" t="n"/>
      <c r="N646" s="63" t="n"/>
      <c r="O646" s="8" t="n"/>
      <c r="P646" s="8" t="n"/>
      <c r="Q646" s="8" t="n"/>
      <c r="R646" s="8" t="n"/>
      <c r="S646" s="8" t="n"/>
      <c r="T646" s="8" t="n"/>
      <c r="U646" s="8" t="n"/>
      <c r="V646" s="8" t="n"/>
    </row>
    <row r="647">
      <c r="A647" s="8" t="n"/>
      <c r="B647" s="61" t="n"/>
      <c r="C647" s="8" t="n"/>
      <c r="D647" s="62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61" t="n"/>
      <c r="N647" s="63" t="n"/>
      <c r="O647" s="8" t="n"/>
      <c r="P647" s="8" t="n"/>
      <c r="Q647" s="8" t="n"/>
      <c r="R647" s="8" t="n"/>
      <c r="S647" s="8" t="n"/>
      <c r="T647" s="8" t="n"/>
      <c r="U647" s="8" t="n"/>
      <c r="V647" s="8" t="n"/>
    </row>
    <row r="648">
      <c r="A648" s="8" t="n"/>
      <c r="B648" s="61" t="n"/>
      <c r="C648" s="8" t="n"/>
      <c r="D648" s="62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61" t="n"/>
      <c r="N648" s="63" t="n"/>
      <c r="O648" s="8" t="n"/>
      <c r="P648" s="8" t="n"/>
      <c r="Q648" s="8" t="n"/>
      <c r="R648" s="8" t="n"/>
      <c r="S648" s="8" t="n"/>
      <c r="T648" s="8" t="n"/>
      <c r="U648" s="8" t="n"/>
      <c r="V648" s="8" t="n"/>
    </row>
    <row r="649">
      <c r="A649" s="8" t="n"/>
      <c r="B649" s="61" t="n"/>
      <c r="C649" s="8" t="n"/>
      <c r="D649" s="62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61" t="n"/>
      <c r="N649" s="63" t="n"/>
      <c r="O649" s="8" t="n"/>
      <c r="P649" s="8" t="n"/>
      <c r="Q649" s="8" t="n"/>
      <c r="R649" s="8" t="n"/>
      <c r="S649" s="8" t="n"/>
      <c r="T649" s="8" t="n"/>
      <c r="U649" s="8" t="n"/>
      <c r="V649" s="8" t="n"/>
    </row>
    <row r="650">
      <c r="A650" s="8" t="n"/>
      <c r="B650" s="61" t="n"/>
      <c r="C650" s="8" t="n"/>
      <c r="D650" s="62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61" t="n"/>
      <c r="N650" s="63" t="n"/>
      <c r="O650" s="8" t="n"/>
      <c r="P650" s="8" t="n"/>
      <c r="Q650" s="8" t="n"/>
      <c r="R650" s="8" t="n"/>
      <c r="S650" s="8" t="n"/>
      <c r="T650" s="8" t="n"/>
      <c r="U650" s="8" t="n"/>
      <c r="V650" s="8" t="n"/>
    </row>
    <row r="651">
      <c r="A651" s="8" t="n"/>
      <c r="B651" s="61" t="n"/>
      <c r="C651" s="8" t="n"/>
      <c r="D651" s="62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61" t="n"/>
      <c r="N651" s="63" t="n"/>
      <c r="O651" s="8" t="n"/>
      <c r="P651" s="8" t="n"/>
      <c r="Q651" s="8" t="n"/>
      <c r="R651" s="8" t="n"/>
      <c r="S651" s="8" t="n"/>
      <c r="T651" s="8" t="n"/>
      <c r="U651" s="8" t="n"/>
      <c r="V651" s="8" t="n"/>
    </row>
    <row r="652">
      <c r="A652" s="8" t="n"/>
      <c r="B652" s="61" t="n"/>
      <c r="C652" s="8" t="n"/>
      <c r="D652" s="62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61" t="n"/>
      <c r="N652" s="63" t="n"/>
      <c r="O652" s="8" t="n"/>
      <c r="P652" s="8" t="n"/>
      <c r="Q652" s="8" t="n"/>
      <c r="R652" s="8" t="n"/>
      <c r="S652" s="8" t="n"/>
      <c r="T652" s="8" t="n"/>
      <c r="U652" s="8" t="n"/>
      <c r="V652" s="8" t="n"/>
    </row>
    <row r="653">
      <c r="A653" s="8" t="n"/>
      <c r="B653" s="61" t="n"/>
      <c r="C653" s="8" t="n"/>
      <c r="D653" s="62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61" t="n"/>
      <c r="N653" s="63" t="n"/>
      <c r="O653" s="8" t="n"/>
      <c r="P653" s="8" t="n"/>
      <c r="Q653" s="8" t="n"/>
      <c r="R653" s="8" t="n"/>
      <c r="S653" s="8" t="n"/>
      <c r="T653" s="8" t="n"/>
      <c r="U653" s="8" t="n"/>
      <c r="V653" s="8" t="n"/>
    </row>
    <row r="654">
      <c r="A654" s="8" t="n"/>
      <c r="B654" s="61" t="n"/>
      <c r="C654" s="8" t="n"/>
      <c r="D654" s="62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61" t="n"/>
      <c r="N654" s="63" t="n"/>
      <c r="O654" s="8" t="n"/>
      <c r="P654" s="8" t="n"/>
      <c r="Q654" s="8" t="n"/>
      <c r="R654" s="8" t="n"/>
      <c r="S654" s="8" t="n"/>
      <c r="T654" s="8" t="n"/>
      <c r="U654" s="8" t="n"/>
      <c r="V654" s="8" t="n"/>
    </row>
    <row r="655">
      <c r="A655" s="8" t="n"/>
      <c r="B655" s="61" t="n"/>
      <c r="C655" s="8" t="n"/>
      <c r="D655" s="62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61" t="n"/>
      <c r="N655" s="63" t="n"/>
      <c r="O655" s="8" t="n"/>
      <c r="P655" s="8" t="n"/>
      <c r="Q655" s="8" t="n"/>
      <c r="R655" s="8" t="n"/>
      <c r="S655" s="8" t="n"/>
      <c r="T655" s="8" t="n"/>
      <c r="U655" s="8" t="n"/>
      <c r="V655" s="8" t="n"/>
    </row>
    <row r="656">
      <c r="A656" s="8" t="n"/>
      <c r="B656" s="61" t="n"/>
      <c r="C656" s="8" t="n"/>
      <c r="D656" s="62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61" t="n"/>
      <c r="N656" s="63" t="n"/>
      <c r="O656" s="8" t="n"/>
      <c r="P656" s="8" t="n"/>
      <c r="Q656" s="8" t="n"/>
      <c r="R656" s="8" t="n"/>
      <c r="S656" s="8" t="n"/>
      <c r="T656" s="8" t="n"/>
      <c r="U656" s="8" t="n"/>
      <c r="V656" s="8" t="n"/>
    </row>
    <row r="657">
      <c r="A657" s="8" t="n"/>
      <c r="B657" s="61" t="n"/>
      <c r="C657" s="8" t="n"/>
      <c r="D657" s="62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61" t="n"/>
      <c r="N657" s="63" t="n"/>
      <c r="O657" s="8" t="n"/>
      <c r="P657" s="8" t="n"/>
      <c r="Q657" s="8" t="n"/>
      <c r="R657" s="8" t="n"/>
      <c r="S657" s="8" t="n"/>
      <c r="T657" s="8" t="n"/>
      <c r="U657" s="8" t="n"/>
      <c r="V657" s="8" t="n"/>
    </row>
    <row r="658">
      <c r="A658" s="8" t="n"/>
      <c r="B658" s="61" t="n"/>
      <c r="C658" s="8" t="n"/>
      <c r="D658" s="62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61" t="n"/>
      <c r="N658" s="63" t="n"/>
      <c r="O658" s="8" t="n"/>
      <c r="P658" s="8" t="n"/>
      <c r="Q658" s="8" t="n"/>
      <c r="R658" s="8" t="n"/>
      <c r="S658" s="8" t="n"/>
      <c r="T658" s="8" t="n"/>
      <c r="U658" s="8" t="n"/>
      <c r="V658" s="8" t="n"/>
    </row>
    <row r="659">
      <c r="A659" s="8" t="n"/>
      <c r="B659" s="61" t="n"/>
      <c r="C659" s="8" t="n"/>
      <c r="D659" s="62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61" t="n"/>
      <c r="N659" s="63" t="n"/>
      <c r="O659" s="8" t="n"/>
      <c r="P659" s="8" t="n"/>
      <c r="Q659" s="8" t="n"/>
      <c r="R659" s="8" t="n"/>
      <c r="S659" s="8" t="n"/>
      <c r="T659" s="8" t="n"/>
      <c r="U659" s="8" t="n"/>
      <c r="V659" s="8" t="n"/>
    </row>
    <row r="660">
      <c r="A660" s="8" t="n"/>
      <c r="B660" s="61" t="n"/>
      <c r="C660" s="8" t="n"/>
      <c r="D660" s="62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61" t="n"/>
      <c r="N660" s="63" t="n"/>
      <c r="O660" s="8" t="n"/>
      <c r="P660" s="8" t="n"/>
      <c r="Q660" s="8" t="n"/>
      <c r="R660" s="8" t="n"/>
      <c r="S660" s="8" t="n"/>
      <c r="T660" s="8" t="n"/>
      <c r="U660" s="8" t="n"/>
      <c r="V660" s="8" t="n"/>
    </row>
    <row r="661">
      <c r="A661" s="8" t="n"/>
      <c r="B661" s="61" t="n"/>
      <c r="C661" s="8" t="n"/>
      <c r="D661" s="62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61" t="n"/>
      <c r="N661" s="63" t="n"/>
      <c r="O661" s="8" t="n"/>
      <c r="P661" s="8" t="n"/>
      <c r="Q661" s="8" t="n"/>
      <c r="R661" s="8" t="n"/>
      <c r="S661" s="8" t="n"/>
      <c r="T661" s="8" t="n"/>
      <c r="U661" s="8" t="n"/>
      <c r="V661" s="8" t="n"/>
    </row>
    <row r="662">
      <c r="A662" s="8" t="n"/>
      <c r="B662" s="61" t="n"/>
      <c r="C662" s="8" t="n"/>
      <c r="D662" s="62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61" t="n"/>
      <c r="N662" s="63" t="n"/>
      <c r="O662" s="8" t="n"/>
      <c r="P662" s="8" t="n"/>
      <c r="Q662" s="8" t="n"/>
      <c r="R662" s="8" t="n"/>
      <c r="S662" s="8" t="n"/>
      <c r="T662" s="8" t="n"/>
      <c r="U662" s="8" t="n"/>
      <c r="V662" s="8" t="n"/>
    </row>
    <row r="663">
      <c r="A663" s="8" t="n"/>
      <c r="B663" s="61" t="n"/>
      <c r="C663" s="8" t="n"/>
      <c r="D663" s="62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61" t="n"/>
      <c r="N663" s="63" t="n"/>
      <c r="O663" s="8" t="n"/>
      <c r="P663" s="8" t="n"/>
      <c r="Q663" s="8" t="n"/>
      <c r="R663" s="8" t="n"/>
      <c r="S663" s="8" t="n"/>
      <c r="T663" s="8" t="n"/>
      <c r="U663" s="8" t="n"/>
      <c r="V663" s="8" t="n"/>
    </row>
    <row r="664">
      <c r="A664" s="8" t="n"/>
      <c r="B664" s="61" t="n"/>
      <c r="C664" s="8" t="n"/>
      <c r="D664" s="62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61" t="n"/>
      <c r="N664" s="63" t="n"/>
      <c r="O664" s="8" t="n"/>
      <c r="P664" s="8" t="n"/>
      <c r="Q664" s="8" t="n"/>
      <c r="R664" s="8" t="n"/>
      <c r="S664" s="8" t="n"/>
      <c r="T664" s="8" t="n"/>
      <c r="U664" s="8" t="n"/>
      <c r="V664" s="8" t="n"/>
    </row>
    <row r="665">
      <c r="A665" s="8" t="n"/>
      <c r="B665" s="61" t="n"/>
      <c r="C665" s="8" t="n"/>
      <c r="D665" s="62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61" t="n"/>
      <c r="N665" s="63" t="n"/>
      <c r="O665" s="8" t="n"/>
      <c r="P665" s="8" t="n"/>
      <c r="Q665" s="8" t="n"/>
      <c r="R665" s="8" t="n"/>
      <c r="S665" s="8" t="n"/>
      <c r="T665" s="8" t="n"/>
      <c r="U665" s="8" t="n"/>
      <c r="V665" s="8" t="n"/>
    </row>
    <row r="666">
      <c r="A666" s="8" t="n"/>
      <c r="B666" s="61" t="n"/>
      <c r="C666" s="8" t="n"/>
      <c r="D666" s="62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61" t="n"/>
      <c r="N666" s="63" t="n"/>
      <c r="O666" s="8" t="n"/>
      <c r="P666" s="8" t="n"/>
      <c r="Q666" s="8" t="n"/>
      <c r="R666" s="8" t="n"/>
      <c r="S666" s="8" t="n"/>
      <c r="T666" s="8" t="n"/>
      <c r="U666" s="8" t="n"/>
      <c r="V666" s="8" t="n"/>
    </row>
    <row r="667">
      <c r="A667" s="8" t="n"/>
      <c r="B667" s="61" t="n"/>
      <c r="C667" s="8" t="n"/>
      <c r="D667" s="62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61" t="n"/>
      <c r="N667" s="63" t="n"/>
      <c r="O667" s="8" t="n"/>
      <c r="P667" s="8" t="n"/>
      <c r="Q667" s="8" t="n"/>
      <c r="R667" s="8" t="n"/>
      <c r="S667" s="8" t="n"/>
      <c r="T667" s="8" t="n"/>
      <c r="U667" s="8" t="n"/>
      <c r="V667" s="8" t="n"/>
    </row>
    <row r="668">
      <c r="A668" s="8" t="n"/>
      <c r="B668" s="61" t="n"/>
      <c r="C668" s="8" t="n"/>
      <c r="D668" s="62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61" t="n"/>
      <c r="N668" s="63" t="n"/>
      <c r="O668" s="8" t="n"/>
      <c r="P668" s="8" t="n"/>
      <c r="Q668" s="8" t="n"/>
      <c r="R668" s="8" t="n"/>
      <c r="S668" s="8" t="n"/>
      <c r="T668" s="8" t="n"/>
      <c r="U668" s="8" t="n"/>
      <c r="V668" s="8" t="n"/>
    </row>
    <row r="669">
      <c r="A669" s="8" t="n"/>
      <c r="B669" s="61" t="n"/>
      <c r="C669" s="8" t="n"/>
      <c r="D669" s="62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61" t="n"/>
      <c r="N669" s="63" t="n"/>
      <c r="O669" s="8" t="n"/>
      <c r="P669" s="8" t="n"/>
      <c r="Q669" s="8" t="n"/>
      <c r="R669" s="8" t="n"/>
      <c r="S669" s="8" t="n"/>
      <c r="T669" s="8" t="n"/>
      <c r="U669" s="8" t="n"/>
      <c r="V669" s="8" t="n"/>
    </row>
    <row r="670">
      <c r="A670" s="8" t="n"/>
      <c r="B670" s="61" t="n"/>
      <c r="C670" s="8" t="n"/>
      <c r="D670" s="62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61" t="n"/>
      <c r="N670" s="63" t="n"/>
      <c r="O670" s="8" t="n"/>
      <c r="P670" s="8" t="n"/>
      <c r="Q670" s="8" t="n"/>
      <c r="R670" s="8" t="n"/>
      <c r="S670" s="8" t="n"/>
      <c r="T670" s="8" t="n"/>
      <c r="U670" s="8" t="n"/>
      <c r="V670" s="8" t="n"/>
    </row>
    <row r="671">
      <c r="A671" s="8" t="n"/>
      <c r="B671" s="61" t="n"/>
      <c r="C671" s="8" t="n"/>
      <c r="D671" s="62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61" t="n"/>
      <c r="N671" s="63" t="n"/>
      <c r="O671" s="8" t="n"/>
      <c r="P671" s="8" t="n"/>
      <c r="Q671" s="8" t="n"/>
      <c r="R671" s="8" t="n"/>
      <c r="S671" s="8" t="n"/>
      <c r="T671" s="8" t="n"/>
      <c r="U671" s="8" t="n"/>
      <c r="V671" s="8" t="n"/>
    </row>
    <row r="672">
      <c r="A672" s="8" t="n"/>
      <c r="B672" s="61" t="n"/>
      <c r="C672" s="8" t="n"/>
      <c r="D672" s="62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61" t="n"/>
      <c r="N672" s="63" t="n"/>
      <c r="O672" s="8" t="n"/>
      <c r="P672" s="8" t="n"/>
      <c r="Q672" s="8" t="n"/>
      <c r="R672" s="8" t="n"/>
      <c r="S672" s="8" t="n"/>
      <c r="T672" s="8" t="n"/>
      <c r="U672" s="8" t="n"/>
      <c r="V672" s="8" t="n"/>
    </row>
    <row r="673">
      <c r="A673" s="8" t="n"/>
      <c r="B673" s="61" t="n"/>
      <c r="C673" s="8" t="n"/>
      <c r="D673" s="62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61" t="n"/>
      <c r="N673" s="63" t="n"/>
      <c r="O673" s="8" t="n"/>
      <c r="P673" s="8" t="n"/>
      <c r="Q673" s="8" t="n"/>
      <c r="R673" s="8" t="n"/>
      <c r="S673" s="8" t="n"/>
      <c r="T673" s="8" t="n"/>
      <c r="U673" s="8" t="n"/>
      <c r="V673" s="8" t="n"/>
    </row>
    <row r="674">
      <c r="A674" s="8" t="n"/>
      <c r="B674" s="61" t="n"/>
      <c r="C674" s="8" t="n"/>
      <c r="D674" s="62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61" t="n"/>
      <c r="N674" s="63" t="n"/>
      <c r="O674" s="8" t="n"/>
      <c r="P674" s="8" t="n"/>
      <c r="Q674" s="8" t="n"/>
      <c r="R674" s="8" t="n"/>
      <c r="S674" s="8" t="n"/>
      <c r="T674" s="8" t="n"/>
      <c r="U674" s="8" t="n"/>
      <c r="V674" s="8" t="n"/>
    </row>
    <row r="675">
      <c r="A675" s="8" t="n"/>
      <c r="B675" s="61" t="n"/>
      <c r="C675" s="8" t="n"/>
      <c r="D675" s="62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61" t="n"/>
      <c r="N675" s="63" t="n"/>
      <c r="O675" s="8" t="n"/>
      <c r="P675" s="8" t="n"/>
      <c r="Q675" s="8" t="n"/>
      <c r="R675" s="8" t="n"/>
      <c r="S675" s="8" t="n"/>
      <c r="T675" s="8" t="n"/>
      <c r="U675" s="8" t="n"/>
      <c r="V675" s="8" t="n"/>
    </row>
    <row r="676">
      <c r="A676" s="8" t="n"/>
      <c r="B676" s="61" t="n"/>
      <c r="C676" s="8" t="n"/>
      <c r="D676" s="62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61" t="n"/>
      <c r="N676" s="63" t="n"/>
      <c r="O676" s="8" t="n"/>
      <c r="P676" s="8" t="n"/>
      <c r="Q676" s="8" t="n"/>
      <c r="R676" s="8" t="n"/>
      <c r="S676" s="8" t="n"/>
      <c r="T676" s="8" t="n"/>
      <c r="U676" s="8" t="n"/>
      <c r="V676" s="8" t="n"/>
    </row>
    <row r="677">
      <c r="A677" s="8" t="n"/>
      <c r="B677" s="61" t="n"/>
      <c r="C677" s="8" t="n"/>
      <c r="D677" s="62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61" t="n"/>
      <c r="N677" s="63" t="n"/>
      <c r="O677" s="8" t="n"/>
      <c r="P677" s="8" t="n"/>
      <c r="Q677" s="8" t="n"/>
      <c r="R677" s="8" t="n"/>
      <c r="S677" s="8" t="n"/>
      <c r="T677" s="8" t="n"/>
      <c r="U677" s="8" t="n"/>
      <c r="V677" s="8" t="n"/>
    </row>
    <row r="678">
      <c r="A678" s="8" t="n"/>
      <c r="B678" s="61" t="n"/>
      <c r="C678" s="8" t="n"/>
      <c r="D678" s="62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61" t="n"/>
      <c r="N678" s="63" t="n"/>
      <c r="O678" s="8" t="n"/>
      <c r="P678" s="8" t="n"/>
      <c r="Q678" s="8" t="n"/>
      <c r="R678" s="8" t="n"/>
      <c r="S678" s="8" t="n"/>
      <c r="T678" s="8" t="n"/>
      <c r="U678" s="8" t="n"/>
      <c r="V678" s="8" t="n"/>
    </row>
    <row r="679">
      <c r="A679" s="8" t="n"/>
      <c r="B679" s="61" t="n"/>
      <c r="C679" s="8" t="n"/>
      <c r="D679" s="62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61" t="n"/>
      <c r="N679" s="63" t="n"/>
      <c r="O679" s="8" t="n"/>
      <c r="P679" s="8" t="n"/>
      <c r="Q679" s="8" t="n"/>
      <c r="R679" s="8" t="n"/>
      <c r="S679" s="8" t="n"/>
      <c r="T679" s="8" t="n"/>
      <c r="U679" s="8" t="n"/>
      <c r="V679" s="8" t="n"/>
    </row>
    <row r="680">
      <c r="A680" s="8" t="n"/>
      <c r="B680" s="61" t="n"/>
      <c r="C680" s="8" t="n"/>
      <c r="D680" s="62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61" t="n"/>
      <c r="N680" s="63" t="n"/>
      <c r="O680" s="8" t="n"/>
      <c r="P680" s="8" t="n"/>
      <c r="Q680" s="8" t="n"/>
      <c r="R680" s="8" t="n"/>
      <c r="S680" s="8" t="n"/>
      <c r="T680" s="8" t="n"/>
      <c r="U680" s="8" t="n"/>
      <c r="V680" s="8" t="n"/>
    </row>
    <row r="681">
      <c r="A681" s="8" t="n"/>
      <c r="B681" s="61" t="n"/>
      <c r="C681" s="8" t="n"/>
      <c r="D681" s="62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61" t="n"/>
      <c r="N681" s="63" t="n"/>
      <c r="O681" s="8" t="n"/>
      <c r="P681" s="8" t="n"/>
      <c r="Q681" s="8" t="n"/>
      <c r="R681" s="8" t="n"/>
      <c r="S681" s="8" t="n"/>
      <c r="T681" s="8" t="n"/>
      <c r="U681" s="8" t="n"/>
      <c r="V681" s="8" t="n"/>
    </row>
    <row r="682">
      <c r="A682" s="8" t="n"/>
      <c r="B682" s="61" t="n"/>
      <c r="C682" s="8" t="n"/>
      <c r="D682" s="62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61" t="n"/>
      <c r="N682" s="63" t="n"/>
      <c r="O682" s="8" t="n"/>
      <c r="P682" s="8" t="n"/>
      <c r="Q682" s="8" t="n"/>
      <c r="R682" s="8" t="n"/>
      <c r="S682" s="8" t="n"/>
      <c r="T682" s="8" t="n"/>
      <c r="U682" s="8" t="n"/>
      <c r="V682" s="8" t="n"/>
    </row>
    <row r="683">
      <c r="A683" s="8" t="n"/>
      <c r="B683" s="61" t="n"/>
      <c r="C683" s="8" t="n"/>
      <c r="D683" s="62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61" t="n"/>
      <c r="N683" s="63" t="n"/>
      <c r="O683" s="8" t="n"/>
      <c r="P683" s="8" t="n"/>
      <c r="Q683" s="8" t="n"/>
      <c r="R683" s="8" t="n"/>
      <c r="S683" s="8" t="n"/>
      <c r="T683" s="8" t="n"/>
      <c r="U683" s="8" t="n"/>
      <c r="V683" s="8" t="n"/>
    </row>
    <row r="684">
      <c r="A684" s="8" t="n"/>
      <c r="B684" s="61" t="n"/>
      <c r="C684" s="8" t="n"/>
      <c r="D684" s="62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61" t="n"/>
      <c r="N684" s="63" t="n"/>
      <c r="O684" s="8" t="n"/>
      <c r="P684" s="8" t="n"/>
      <c r="Q684" s="8" t="n"/>
      <c r="R684" s="8" t="n"/>
      <c r="S684" s="8" t="n"/>
      <c r="T684" s="8" t="n"/>
      <c r="U684" s="8" t="n"/>
      <c r="V684" s="8" t="n"/>
    </row>
    <row r="685">
      <c r="A685" s="8" t="n"/>
      <c r="B685" s="61" t="n"/>
      <c r="C685" s="8" t="n"/>
      <c r="D685" s="62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61" t="n"/>
      <c r="N685" s="63" t="n"/>
      <c r="O685" s="8" t="n"/>
      <c r="P685" s="8" t="n"/>
      <c r="Q685" s="8" t="n"/>
      <c r="R685" s="8" t="n"/>
      <c r="S685" s="8" t="n"/>
      <c r="T685" s="8" t="n"/>
      <c r="U685" s="8" t="n"/>
      <c r="V685" s="8" t="n"/>
    </row>
    <row r="686">
      <c r="A686" s="8" t="n"/>
      <c r="B686" s="61" t="n"/>
      <c r="C686" s="8" t="n"/>
      <c r="D686" s="62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61" t="n"/>
      <c r="N686" s="63" t="n"/>
      <c r="O686" s="8" t="n"/>
      <c r="P686" s="8" t="n"/>
      <c r="Q686" s="8" t="n"/>
      <c r="R686" s="8" t="n"/>
      <c r="S686" s="8" t="n"/>
      <c r="T686" s="8" t="n"/>
      <c r="U686" s="8" t="n"/>
      <c r="V686" s="8" t="n"/>
    </row>
    <row r="687">
      <c r="A687" s="8" t="n"/>
      <c r="B687" s="61" t="n"/>
      <c r="C687" s="8" t="n"/>
      <c r="D687" s="62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61" t="n"/>
      <c r="N687" s="63" t="n"/>
      <c r="O687" s="8" t="n"/>
      <c r="P687" s="8" t="n"/>
      <c r="Q687" s="8" t="n"/>
      <c r="R687" s="8" t="n"/>
      <c r="S687" s="8" t="n"/>
      <c r="T687" s="8" t="n"/>
      <c r="U687" s="8" t="n"/>
      <c r="V687" s="8" t="n"/>
    </row>
    <row r="688">
      <c r="A688" s="8" t="n"/>
      <c r="B688" s="61" t="n"/>
      <c r="C688" s="8" t="n"/>
      <c r="D688" s="62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61" t="n"/>
      <c r="N688" s="63" t="n"/>
      <c r="O688" s="8" t="n"/>
      <c r="P688" s="8" t="n"/>
      <c r="Q688" s="8" t="n"/>
      <c r="R688" s="8" t="n"/>
      <c r="S688" s="8" t="n"/>
      <c r="T688" s="8" t="n"/>
      <c r="U688" s="8" t="n"/>
      <c r="V688" s="8" t="n"/>
    </row>
    <row r="689">
      <c r="A689" s="8" t="n"/>
      <c r="B689" s="61" t="n"/>
      <c r="C689" s="8" t="n"/>
      <c r="D689" s="62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61" t="n"/>
      <c r="N689" s="63" t="n"/>
      <c r="O689" s="8" t="n"/>
      <c r="P689" s="8" t="n"/>
      <c r="Q689" s="8" t="n"/>
      <c r="R689" s="8" t="n"/>
      <c r="S689" s="8" t="n"/>
      <c r="T689" s="8" t="n"/>
      <c r="U689" s="8" t="n"/>
      <c r="V689" s="8" t="n"/>
    </row>
    <row r="690">
      <c r="A690" s="8" t="n"/>
      <c r="B690" s="61" t="n"/>
      <c r="C690" s="8" t="n"/>
      <c r="D690" s="62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61" t="n"/>
      <c r="N690" s="63" t="n"/>
      <c r="O690" s="8" t="n"/>
      <c r="P690" s="8" t="n"/>
      <c r="Q690" s="8" t="n"/>
      <c r="R690" s="8" t="n"/>
      <c r="S690" s="8" t="n"/>
      <c r="T690" s="8" t="n"/>
      <c r="U690" s="8" t="n"/>
      <c r="V690" s="8" t="n"/>
    </row>
    <row r="691">
      <c r="A691" s="8" t="n"/>
      <c r="B691" s="61" t="n"/>
      <c r="C691" s="8" t="n"/>
      <c r="D691" s="62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61" t="n"/>
      <c r="N691" s="63" t="n"/>
      <c r="O691" s="8" t="n"/>
      <c r="P691" s="8" t="n"/>
      <c r="Q691" s="8" t="n"/>
      <c r="R691" s="8" t="n"/>
      <c r="S691" s="8" t="n"/>
      <c r="T691" s="8" t="n"/>
      <c r="U691" s="8" t="n"/>
      <c r="V691" s="8" t="n"/>
    </row>
    <row r="692">
      <c r="A692" s="8" t="n"/>
      <c r="B692" s="61" t="n"/>
      <c r="C692" s="8" t="n"/>
      <c r="D692" s="62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61" t="n"/>
      <c r="N692" s="63" t="n"/>
      <c r="O692" s="8" t="n"/>
      <c r="P692" s="8" t="n"/>
      <c r="Q692" s="8" t="n"/>
      <c r="R692" s="8" t="n"/>
      <c r="S692" s="8" t="n"/>
      <c r="T692" s="8" t="n"/>
      <c r="U692" s="8" t="n"/>
      <c r="V692" s="8" t="n"/>
    </row>
    <row r="693">
      <c r="A693" s="8" t="n"/>
      <c r="B693" s="61" t="n"/>
      <c r="C693" s="8" t="n"/>
      <c r="D693" s="62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61" t="n"/>
      <c r="N693" s="63" t="n"/>
      <c r="O693" s="8" t="n"/>
      <c r="P693" s="8" t="n"/>
      <c r="Q693" s="8" t="n"/>
      <c r="R693" s="8" t="n"/>
      <c r="S693" s="8" t="n"/>
      <c r="T693" s="8" t="n"/>
      <c r="U693" s="8" t="n"/>
      <c r="V693" s="8" t="n"/>
    </row>
    <row r="694">
      <c r="A694" s="8" t="n"/>
      <c r="B694" s="61" t="n"/>
      <c r="C694" s="8" t="n"/>
      <c r="D694" s="62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61" t="n"/>
      <c r="N694" s="63" t="n"/>
      <c r="O694" s="8" t="n"/>
      <c r="P694" s="8" t="n"/>
      <c r="Q694" s="8" t="n"/>
      <c r="R694" s="8" t="n"/>
      <c r="S694" s="8" t="n"/>
      <c r="T694" s="8" t="n"/>
      <c r="U694" s="8" t="n"/>
      <c r="V694" s="8" t="n"/>
    </row>
    <row r="695">
      <c r="A695" s="8" t="n"/>
      <c r="B695" s="61" t="n"/>
      <c r="C695" s="8" t="n"/>
      <c r="D695" s="62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61" t="n"/>
      <c r="N695" s="63" t="n"/>
      <c r="O695" s="8" t="n"/>
      <c r="P695" s="8" t="n"/>
      <c r="Q695" s="8" t="n"/>
      <c r="R695" s="8" t="n"/>
      <c r="S695" s="8" t="n"/>
      <c r="T695" s="8" t="n"/>
      <c r="U695" s="8" t="n"/>
      <c r="V695" s="8" t="n"/>
    </row>
    <row r="696">
      <c r="A696" s="8" t="n"/>
      <c r="B696" s="61" t="n"/>
      <c r="C696" s="8" t="n"/>
      <c r="D696" s="62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61" t="n"/>
      <c r="N696" s="63" t="n"/>
      <c r="O696" s="8" t="n"/>
      <c r="P696" s="8" t="n"/>
      <c r="Q696" s="8" t="n"/>
      <c r="R696" s="8" t="n"/>
      <c r="S696" s="8" t="n"/>
      <c r="T696" s="8" t="n"/>
      <c r="U696" s="8" t="n"/>
      <c r="V696" s="8" t="n"/>
    </row>
    <row r="697">
      <c r="A697" s="8" t="n"/>
      <c r="B697" s="61" t="n"/>
      <c r="C697" s="8" t="n"/>
      <c r="D697" s="62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61" t="n"/>
      <c r="N697" s="63" t="n"/>
      <c r="O697" s="8" t="n"/>
      <c r="P697" s="8" t="n"/>
      <c r="Q697" s="8" t="n"/>
      <c r="R697" s="8" t="n"/>
      <c r="S697" s="8" t="n"/>
      <c r="T697" s="8" t="n"/>
      <c r="U697" s="8" t="n"/>
      <c r="V697" s="8" t="n"/>
    </row>
    <row r="698">
      <c r="A698" s="8" t="n"/>
      <c r="B698" s="61" t="n"/>
      <c r="C698" s="8" t="n"/>
      <c r="D698" s="62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61" t="n"/>
      <c r="N698" s="63" t="n"/>
      <c r="O698" s="8" t="n"/>
      <c r="P698" s="8" t="n"/>
      <c r="Q698" s="8" t="n"/>
      <c r="R698" s="8" t="n"/>
      <c r="S698" s="8" t="n"/>
      <c r="T698" s="8" t="n"/>
      <c r="U698" s="8" t="n"/>
      <c r="V698" s="8" t="n"/>
    </row>
    <row r="699">
      <c r="A699" s="8" t="n"/>
      <c r="B699" s="61" t="n"/>
      <c r="C699" s="8" t="n"/>
      <c r="D699" s="62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61" t="n"/>
      <c r="N699" s="63" t="n"/>
      <c r="O699" s="8" t="n"/>
      <c r="P699" s="8" t="n"/>
      <c r="Q699" s="8" t="n"/>
      <c r="R699" s="8" t="n"/>
      <c r="S699" s="8" t="n"/>
      <c r="T699" s="8" t="n"/>
      <c r="U699" s="8" t="n"/>
      <c r="V699" s="8" t="n"/>
    </row>
    <row r="700">
      <c r="A700" s="8" t="n"/>
      <c r="B700" s="61" t="n"/>
      <c r="C700" s="8" t="n"/>
      <c r="D700" s="62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61" t="n"/>
      <c r="N700" s="63" t="n"/>
      <c r="O700" s="8" t="n"/>
      <c r="P700" s="8" t="n"/>
      <c r="Q700" s="8" t="n"/>
      <c r="R700" s="8" t="n"/>
      <c r="S700" s="8" t="n"/>
      <c r="T700" s="8" t="n"/>
      <c r="U700" s="8" t="n"/>
      <c r="V700" s="8" t="n"/>
    </row>
    <row r="701">
      <c r="A701" s="8" t="n"/>
      <c r="B701" s="61" t="n"/>
      <c r="C701" s="8" t="n"/>
      <c r="D701" s="62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61" t="n"/>
      <c r="N701" s="63" t="n"/>
      <c r="O701" s="8" t="n"/>
      <c r="P701" s="8" t="n"/>
      <c r="Q701" s="8" t="n"/>
      <c r="R701" s="8" t="n"/>
      <c r="S701" s="8" t="n"/>
      <c r="T701" s="8" t="n"/>
      <c r="U701" s="8" t="n"/>
      <c r="V701" s="8" t="n"/>
    </row>
    <row r="702">
      <c r="A702" s="8" t="n"/>
      <c r="B702" s="61" t="n"/>
      <c r="C702" s="8" t="n"/>
      <c r="D702" s="62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61" t="n"/>
      <c r="N702" s="63" t="n"/>
      <c r="O702" s="8" t="n"/>
      <c r="P702" s="8" t="n"/>
      <c r="Q702" s="8" t="n"/>
      <c r="R702" s="8" t="n"/>
      <c r="S702" s="8" t="n"/>
      <c r="T702" s="8" t="n"/>
      <c r="U702" s="8" t="n"/>
      <c r="V702" s="8" t="n"/>
    </row>
    <row r="703">
      <c r="A703" s="8" t="n"/>
      <c r="B703" s="61" t="n"/>
      <c r="C703" s="8" t="n"/>
      <c r="D703" s="62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61" t="n"/>
      <c r="N703" s="63" t="n"/>
      <c r="O703" s="8" t="n"/>
      <c r="P703" s="8" t="n"/>
      <c r="Q703" s="8" t="n"/>
      <c r="R703" s="8" t="n"/>
      <c r="S703" s="8" t="n"/>
      <c r="T703" s="8" t="n"/>
      <c r="U703" s="8" t="n"/>
      <c r="V703" s="8" t="n"/>
    </row>
    <row r="704">
      <c r="A704" s="8" t="n"/>
      <c r="B704" s="61" t="n"/>
      <c r="C704" s="8" t="n"/>
      <c r="D704" s="62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61" t="n"/>
      <c r="N704" s="63" t="n"/>
      <c r="O704" s="8" t="n"/>
      <c r="P704" s="8" t="n"/>
      <c r="Q704" s="8" t="n"/>
      <c r="R704" s="8" t="n"/>
      <c r="S704" s="8" t="n"/>
      <c r="T704" s="8" t="n"/>
      <c r="U704" s="8" t="n"/>
      <c r="V704" s="8" t="n"/>
    </row>
    <row r="705">
      <c r="A705" s="8" t="n"/>
      <c r="B705" s="61" t="n"/>
      <c r="C705" s="8" t="n"/>
      <c r="D705" s="62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61" t="n"/>
      <c r="N705" s="63" t="n"/>
      <c r="O705" s="8" t="n"/>
      <c r="P705" s="8" t="n"/>
      <c r="Q705" s="8" t="n"/>
      <c r="R705" s="8" t="n"/>
      <c r="S705" s="8" t="n"/>
      <c r="T705" s="8" t="n"/>
      <c r="U705" s="8" t="n"/>
      <c r="V705" s="8" t="n"/>
    </row>
    <row r="706">
      <c r="A706" s="8" t="n"/>
      <c r="B706" s="61" t="n"/>
      <c r="C706" s="8" t="n"/>
      <c r="D706" s="62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61" t="n"/>
      <c r="N706" s="63" t="n"/>
      <c r="O706" s="8" t="n"/>
      <c r="P706" s="8" t="n"/>
      <c r="Q706" s="8" t="n"/>
      <c r="R706" s="8" t="n"/>
      <c r="S706" s="8" t="n"/>
      <c r="T706" s="8" t="n"/>
      <c r="U706" s="8" t="n"/>
      <c r="V706" s="8" t="n"/>
    </row>
    <row r="707">
      <c r="A707" s="8" t="n"/>
      <c r="B707" s="61" t="n"/>
      <c r="C707" s="8" t="n"/>
      <c r="D707" s="62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61" t="n"/>
      <c r="N707" s="63" t="n"/>
      <c r="O707" s="8" t="n"/>
      <c r="P707" s="8" t="n"/>
      <c r="Q707" s="8" t="n"/>
      <c r="R707" s="8" t="n"/>
      <c r="S707" s="8" t="n"/>
      <c r="T707" s="8" t="n"/>
      <c r="U707" s="8" t="n"/>
      <c r="V707" s="8" t="n"/>
    </row>
    <row r="708">
      <c r="A708" s="8" t="n"/>
      <c r="B708" s="61" t="n"/>
      <c r="C708" s="8" t="n"/>
      <c r="D708" s="62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61" t="n"/>
      <c r="N708" s="63" t="n"/>
      <c r="O708" s="8" t="n"/>
      <c r="P708" s="8" t="n"/>
      <c r="Q708" s="8" t="n"/>
      <c r="R708" s="8" t="n"/>
      <c r="S708" s="8" t="n"/>
      <c r="T708" s="8" t="n"/>
      <c r="U708" s="8" t="n"/>
      <c r="V708" s="8" t="n"/>
    </row>
    <row r="709">
      <c r="A709" s="8" t="n"/>
      <c r="B709" s="61" t="n"/>
      <c r="C709" s="8" t="n"/>
      <c r="D709" s="62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61" t="n"/>
      <c r="N709" s="63" t="n"/>
      <c r="O709" s="8" t="n"/>
      <c r="P709" s="8" t="n"/>
      <c r="Q709" s="8" t="n"/>
      <c r="R709" s="8" t="n"/>
      <c r="S709" s="8" t="n"/>
      <c r="T709" s="8" t="n"/>
      <c r="U709" s="8" t="n"/>
      <c r="V709" s="8" t="n"/>
    </row>
    <row r="710">
      <c r="A710" s="8" t="n"/>
      <c r="B710" s="61" t="n"/>
      <c r="C710" s="8" t="n"/>
      <c r="D710" s="62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61" t="n"/>
      <c r="N710" s="63" t="n"/>
      <c r="O710" s="8" t="n"/>
      <c r="P710" s="8" t="n"/>
      <c r="Q710" s="8" t="n"/>
      <c r="R710" s="8" t="n"/>
      <c r="S710" s="8" t="n"/>
      <c r="T710" s="8" t="n"/>
      <c r="U710" s="8" t="n"/>
      <c r="V710" s="8" t="n"/>
    </row>
    <row r="711">
      <c r="A711" s="8" t="n"/>
      <c r="B711" s="61" t="n"/>
      <c r="C711" s="8" t="n"/>
      <c r="D711" s="62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61" t="n"/>
      <c r="N711" s="63" t="n"/>
      <c r="O711" s="8" t="n"/>
      <c r="P711" s="8" t="n"/>
      <c r="Q711" s="8" t="n"/>
      <c r="R711" s="8" t="n"/>
      <c r="S711" s="8" t="n"/>
      <c r="T711" s="8" t="n"/>
      <c r="U711" s="8" t="n"/>
      <c r="V711" s="8" t="n"/>
    </row>
    <row r="712">
      <c r="A712" s="8" t="n"/>
      <c r="B712" s="61" t="n"/>
      <c r="C712" s="8" t="n"/>
      <c r="D712" s="62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61" t="n"/>
      <c r="N712" s="63" t="n"/>
      <c r="O712" s="8" t="n"/>
      <c r="P712" s="8" t="n"/>
      <c r="Q712" s="8" t="n"/>
      <c r="R712" s="8" t="n"/>
      <c r="S712" s="8" t="n"/>
      <c r="T712" s="8" t="n"/>
      <c r="U712" s="8" t="n"/>
      <c r="V712" s="8" t="n"/>
    </row>
    <row r="713">
      <c r="A713" s="8" t="n"/>
      <c r="B713" s="61" t="n"/>
      <c r="C713" s="8" t="n"/>
      <c r="D713" s="62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61" t="n"/>
      <c r="N713" s="63" t="n"/>
      <c r="O713" s="8" t="n"/>
      <c r="P713" s="8" t="n"/>
      <c r="Q713" s="8" t="n"/>
      <c r="R713" s="8" t="n"/>
      <c r="S713" s="8" t="n"/>
      <c r="T713" s="8" t="n"/>
      <c r="U713" s="8" t="n"/>
      <c r="V713" s="8" t="n"/>
    </row>
    <row r="714">
      <c r="A714" s="8" t="n"/>
      <c r="B714" s="61" t="n"/>
      <c r="C714" s="8" t="n"/>
      <c r="D714" s="62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61" t="n"/>
      <c r="N714" s="63" t="n"/>
      <c r="O714" s="8" t="n"/>
      <c r="P714" s="8" t="n"/>
      <c r="Q714" s="8" t="n"/>
      <c r="R714" s="8" t="n"/>
      <c r="S714" s="8" t="n"/>
      <c r="T714" s="8" t="n"/>
      <c r="U714" s="8" t="n"/>
      <c r="V714" s="8" t="n"/>
    </row>
    <row r="715">
      <c r="A715" s="8" t="n"/>
      <c r="B715" s="61" t="n"/>
      <c r="C715" s="8" t="n"/>
      <c r="D715" s="62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61" t="n"/>
      <c r="N715" s="63" t="n"/>
      <c r="O715" s="8" t="n"/>
      <c r="P715" s="8" t="n"/>
      <c r="Q715" s="8" t="n"/>
      <c r="R715" s="8" t="n"/>
      <c r="S715" s="8" t="n"/>
      <c r="T715" s="8" t="n"/>
      <c r="U715" s="8" t="n"/>
      <c r="V715" s="8" t="n"/>
    </row>
    <row r="716">
      <c r="A716" s="8" t="n"/>
      <c r="B716" s="61" t="n"/>
      <c r="C716" s="8" t="n"/>
      <c r="D716" s="62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61" t="n"/>
      <c r="N716" s="63" t="n"/>
      <c r="O716" s="8" t="n"/>
      <c r="P716" s="8" t="n"/>
      <c r="Q716" s="8" t="n"/>
      <c r="R716" s="8" t="n"/>
      <c r="S716" s="8" t="n"/>
      <c r="T716" s="8" t="n"/>
      <c r="U716" s="8" t="n"/>
      <c r="V716" s="8" t="n"/>
    </row>
    <row r="717">
      <c r="A717" s="8" t="n"/>
      <c r="B717" s="61" t="n"/>
      <c r="C717" s="8" t="n"/>
      <c r="D717" s="62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61" t="n"/>
      <c r="N717" s="63" t="n"/>
      <c r="O717" s="8" t="n"/>
      <c r="P717" s="8" t="n"/>
      <c r="Q717" s="8" t="n"/>
      <c r="R717" s="8" t="n"/>
      <c r="S717" s="8" t="n"/>
      <c r="T717" s="8" t="n"/>
      <c r="U717" s="8" t="n"/>
      <c r="V717" s="8" t="n"/>
    </row>
    <row r="718">
      <c r="A718" s="8" t="n"/>
      <c r="B718" s="61" t="n"/>
      <c r="C718" s="8" t="n"/>
      <c r="D718" s="62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61" t="n"/>
      <c r="N718" s="63" t="n"/>
      <c r="O718" s="8" t="n"/>
      <c r="P718" s="8" t="n"/>
      <c r="Q718" s="8" t="n"/>
      <c r="R718" s="8" t="n"/>
      <c r="S718" s="8" t="n"/>
      <c r="T718" s="8" t="n"/>
      <c r="U718" s="8" t="n"/>
      <c r="V718" s="8" t="n"/>
    </row>
    <row r="719">
      <c r="A719" s="8" t="n"/>
      <c r="B719" s="61" t="n"/>
      <c r="C719" s="8" t="n"/>
      <c r="D719" s="62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61" t="n"/>
      <c r="N719" s="63" t="n"/>
      <c r="O719" s="8" t="n"/>
      <c r="P719" s="8" t="n"/>
      <c r="Q719" s="8" t="n"/>
      <c r="R719" s="8" t="n"/>
      <c r="S719" s="8" t="n"/>
      <c r="T719" s="8" t="n"/>
      <c r="U719" s="8" t="n"/>
      <c r="V719" s="8" t="n"/>
    </row>
    <row r="720">
      <c r="A720" s="8" t="n"/>
      <c r="B720" s="61" t="n"/>
      <c r="C720" s="8" t="n"/>
      <c r="D720" s="62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61" t="n"/>
      <c r="N720" s="63" t="n"/>
      <c r="O720" s="8" t="n"/>
      <c r="P720" s="8" t="n"/>
      <c r="Q720" s="8" t="n"/>
      <c r="R720" s="8" t="n"/>
      <c r="S720" s="8" t="n"/>
      <c r="T720" s="8" t="n"/>
      <c r="U720" s="8" t="n"/>
      <c r="V720" s="8" t="n"/>
    </row>
    <row r="721">
      <c r="A721" s="8" t="n"/>
      <c r="B721" s="61" t="n"/>
      <c r="C721" s="8" t="n"/>
      <c r="D721" s="62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61" t="n"/>
      <c r="N721" s="63" t="n"/>
      <c r="O721" s="8" t="n"/>
      <c r="P721" s="8" t="n"/>
      <c r="Q721" s="8" t="n"/>
      <c r="R721" s="8" t="n"/>
      <c r="S721" s="8" t="n"/>
      <c r="T721" s="8" t="n"/>
      <c r="U721" s="8" t="n"/>
      <c r="V721" s="8" t="n"/>
    </row>
    <row r="722">
      <c r="A722" s="8" t="n"/>
      <c r="B722" s="61" t="n"/>
      <c r="C722" s="8" t="n"/>
      <c r="D722" s="62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61" t="n"/>
      <c r="N722" s="63" t="n"/>
      <c r="O722" s="8" t="n"/>
      <c r="P722" s="8" t="n"/>
      <c r="Q722" s="8" t="n"/>
      <c r="R722" s="8" t="n"/>
      <c r="S722" s="8" t="n"/>
      <c r="T722" s="8" t="n"/>
      <c r="U722" s="8" t="n"/>
      <c r="V722" s="8" t="n"/>
    </row>
    <row r="723">
      <c r="A723" s="8" t="n"/>
      <c r="B723" s="61" t="n"/>
      <c r="C723" s="8" t="n"/>
      <c r="D723" s="62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61" t="n"/>
      <c r="N723" s="63" t="n"/>
      <c r="O723" s="8" t="n"/>
      <c r="P723" s="8" t="n"/>
      <c r="Q723" s="8" t="n"/>
      <c r="R723" s="8" t="n"/>
      <c r="S723" s="8" t="n"/>
      <c r="T723" s="8" t="n"/>
      <c r="U723" s="8" t="n"/>
      <c r="V723" s="8" t="n"/>
    </row>
    <row r="724">
      <c r="A724" s="8" t="n"/>
      <c r="B724" s="61" t="n"/>
      <c r="C724" s="8" t="n"/>
      <c r="D724" s="62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61" t="n"/>
      <c r="N724" s="63" t="n"/>
      <c r="O724" s="8" t="n"/>
      <c r="P724" s="8" t="n"/>
      <c r="Q724" s="8" t="n"/>
      <c r="R724" s="8" t="n"/>
      <c r="S724" s="8" t="n"/>
      <c r="T724" s="8" t="n"/>
      <c r="U724" s="8" t="n"/>
      <c r="V724" s="8" t="n"/>
    </row>
    <row r="725">
      <c r="A725" s="8" t="n"/>
      <c r="B725" s="61" t="n"/>
      <c r="C725" s="8" t="n"/>
      <c r="D725" s="62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61" t="n"/>
      <c r="N725" s="63" t="n"/>
      <c r="O725" s="8" t="n"/>
      <c r="P725" s="8" t="n"/>
      <c r="Q725" s="8" t="n"/>
      <c r="R725" s="8" t="n"/>
      <c r="S725" s="8" t="n"/>
      <c r="T725" s="8" t="n"/>
      <c r="U725" s="8" t="n"/>
      <c r="V725" s="8" t="n"/>
    </row>
    <row r="726">
      <c r="A726" s="8" t="n"/>
      <c r="B726" s="61" t="n"/>
      <c r="C726" s="8" t="n"/>
      <c r="D726" s="62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61" t="n"/>
      <c r="N726" s="63" t="n"/>
      <c r="O726" s="8" t="n"/>
      <c r="P726" s="8" t="n"/>
      <c r="Q726" s="8" t="n"/>
      <c r="R726" s="8" t="n"/>
      <c r="S726" s="8" t="n"/>
      <c r="T726" s="8" t="n"/>
      <c r="U726" s="8" t="n"/>
      <c r="V726" s="8" t="n"/>
    </row>
    <row r="727">
      <c r="A727" s="8" t="n"/>
      <c r="B727" s="61" t="n"/>
      <c r="C727" s="8" t="n"/>
      <c r="D727" s="62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61" t="n"/>
      <c r="N727" s="63" t="n"/>
      <c r="O727" s="8" t="n"/>
      <c r="P727" s="8" t="n"/>
      <c r="Q727" s="8" t="n"/>
      <c r="R727" s="8" t="n"/>
      <c r="S727" s="8" t="n"/>
      <c r="T727" s="8" t="n"/>
      <c r="U727" s="8" t="n"/>
      <c r="V727" s="8" t="n"/>
    </row>
    <row r="728">
      <c r="A728" s="8" t="n"/>
      <c r="B728" s="61" t="n"/>
      <c r="C728" s="8" t="n"/>
      <c r="D728" s="62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61" t="n"/>
      <c r="N728" s="63" t="n"/>
      <c r="O728" s="8" t="n"/>
      <c r="P728" s="8" t="n"/>
      <c r="Q728" s="8" t="n"/>
      <c r="R728" s="8" t="n"/>
      <c r="S728" s="8" t="n"/>
      <c r="T728" s="8" t="n"/>
      <c r="U728" s="8" t="n"/>
      <c r="V728" s="8" t="n"/>
    </row>
    <row r="729">
      <c r="A729" s="8" t="n"/>
      <c r="B729" s="61" t="n"/>
      <c r="C729" s="8" t="n"/>
      <c r="D729" s="62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61" t="n"/>
      <c r="N729" s="63" t="n"/>
      <c r="O729" s="8" t="n"/>
      <c r="P729" s="8" t="n"/>
      <c r="Q729" s="8" t="n"/>
      <c r="R729" s="8" t="n"/>
      <c r="S729" s="8" t="n"/>
      <c r="T729" s="8" t="n"/>
      <c r="U729" s="8" t="n"/>
      <c r="V729" s="8" t="n"/>
    </row>
    <row r="730">
      <c r="A730" s="8" t="n"/>
      <c r="B730" s="61" t="n"/>
      <c r="C730" s="8" t="n"/>
      <c r="D730" s="62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61" t="n"/>
      <c r="N730" s="63" t="n"/>
      <c r="O730" s="8" t="n"/>
      <c r="P730" s="8" t="n"/>
      <c r="Q730" s="8" t="n"/>
      <c r="R730" s="8" t="n"/>
      <c r="S730" s="8" t="n"/>
      <c r="T730" s="8" t="n"/>
      <c r="U730" s="8" t="n"/>
      <c r="V730" s="8" t="n"/>
    </row>
    <row r="731">
      <c r="A731" s="8" t="n"/>
      <c r="B731" s="61" t="n"/>
      <c r="C731" s="8" t="n"/>
      <c r="D731" s="62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61" t="n"/>
      <c r="N731" s="63" t="n"/>
      <c r="O731" s="8" t="n"/>
      <c r="P731" s="8" t="n"/>
      <c r="Q731" s="8" t="n"/>
      <c r="R731" s="8" t="n"/>
      <c r="S731" s="8" t="n"/>
      <c r="T731" s="8" t="n"/>
      <c r="U731" s="8" t="n"/>
      <c r="V731" s="8" t="n"/>
    </row>
    <row r="732">
      <c r="A732" s="8" t="n"/>
      <c r="B732" s="61" t="n"/>
      <c r="C732" s="8" t="n"/>
      <c r="D732" s="62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61" t="n"/>
      <c r="N732" s="63" t="n"/>
      <c r="O732" s="8" t="n"/>
      <c r="P732" s="8" t="n"/>
      <c r="Q732" s="8" t="n"/>
      <c r="R732" s="8" t="n"/>
      <c r="S732" s="8" t="n"/>
      <c r="T732" s="8" t="n"/>
      <c r="U732" s="8" t="n"/>
      <c r="V732" s="8" t="n"/>
    </row>
    <row r="733">
      <c r="A733" s="8" t="n"/>
      <c r="B733" s="61" t="n"/>
      <c r="C733" s="8" t="n"/>
      <c r="D733" s="62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61" t="n"/>
      <c r="N733" s="63" t="n"/>
      <c r="O733" s="8" t="n"/>
      <c r="P733" s="8" t="n"/>
      <c r="Q733" s="8" t="n"/>
      <c r="R733" s="8" t="n"/>
      <c r="S733" s="8" t="n"/>
      <c r="T733" s="8" t="n"/>
      <c r="U733" s="8" t="n"/>
      <c r="V733" s="8" t="n"/>
    </row>
    <row r="734">
      <c r="A734" s="8" t="n"/>
      <c r="B734" s="61" t="n"/>
      <c r="C734" s="8" t="n"/>
      <c r="D734" s="62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61" t="n"/>
      <c r="N734" s="63" t="n"/>
      <c r="O734" s="8" t="n"/>
      <c r="P734" s="8" t="n"/>
      <c r="Q734" s="8" t="n"/>
      <c r="R734" s="8" t="n"/>
      <c r="S734" s="8" t="n"/>
      <c r="T734" s="8" t="n"/>
      <c r="U734" s="8" t="n"/>
      <c r="V734" s="8" t="n"/>
    </row>
    <row r="735">
      <c r="A735" s="8" t="n"/>
      <c r="B735" s="61" t="n"/>
      <c r="C735" s="8" t="n"/>
      <c r="D735" s="62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61" t="n"/>
      <c r="N735" s="63" t="n"/>
      <c r="O735" s="8" t="n"/>
      <c r="P735" s="8" t="n"/>
      <c r="Q735" s="8" t="n"/>
      <c r="R735" s="8" t="n"/>
      <c r="S735" s="8" t="n"/>
      <c r="T735" s="8" t="n"/>
      <c r="U735" s="8" t="n"/>
      <c r="V735" s="8" t="n"/>
    </row>
    <row r="736">
      <c r="A736" s="8" t="n"/>
      <c r="B736" s="61" t="n"/>
      <c r="C736" s="8" t="n"/>
      <c r="D736" s="62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61" t="n"/>
      <c r="N736" s="63" t="n"/>
      <c r="O736" s="8" t="n"/>
      <c r="P736" s="8" t="n"/>
      <c r="Q736" s="8" t="n"/>
      <c r="R736" s="8" t="n"/>
      <c r="S736" s="8" t="n"/>
      <c r="T736" s="8" t="n"/>
      <c r="U736" s="8" t="n"/>
      <c r="V736" s="8" t="n"/>
    </row>
    <row r="737">
      <c r="A737" s="8" t="n"/>
      <c r="B737" s="61" t="n"/>
      <c r="C737" s="8" t="n"/>
      <c r="D737" s="62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61" t="n"/>
      <c r="N737" s="63" t="n"/>
      <c r="O737" s="8" t="n"/>
      <c r="P737" s="8" t="n"/>
      <c r="Q737" s="8" t="n"/>
      <c r="R737" s="8" t="n"/>
      <c r="S737" s="8" t="n"/>
      <c r="T737" s="8" t="n"/>
      <c r="U737" s="8" t="n"/>
      <c r="V737" s="8" t="n"/>
    </row>
    <row r="738">
      <c r="A738" s="8" t="n"/>
      <c r="B738" s="61" t="n"/>
      <c r="C738" s="8" t="n"/>
      <c r="D738" s="62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61" t="n"/>
      <c r="N738" s="63" t="n"/>
      <c r="O738" s="8" t="n"/>
      <c r="P738" s="8" t="n"/>
      <c r="Q738" s="8" t="n"/>
      <c r="R738" s="8" t="n"/>
      <c r="S738" s="8" t="n"/>
      <c r="T738" s="8" t="n"/>
      <c r="U738" s="8" t="n"/>
      <c r="V738" s="8" t="n"/>
    </row>
    <row r="739">
      <c r="A739" s="8" t="n"/>
      <c r="B739" s="61" t="n"/>
      <c r="C739" s="8" t="n"/>
      <c r="D739" s="62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61" t="n"/>
      <c r="N739" s="63" t="n"/>
      <c r="O739" s="8" t="n"/>
      <c r="P739" s="8" t="n"/>
      <c r="Q739" s="8" t="n"/>
      <c r="R739" s="8" t="n"/>
      <c r="S739" s="8" t="n"/>
      <c r="T739" s="8" t="n"/>
      <c r="U739" s="8" t="n"/>
      <c r="V739" s="8" t="n"/>
    </row>
    <row r="740">
      <c r="A740" s="8" t="n"/>
      <c r="B740" s="61" t="n"/>
      <c r="C740" s="8" t="n"/>
      <c r="D740" s="62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61" t="n"/>
      <c r="N740" s="63" t="n"/>
      <c r="O740" s="8" t="n"/>
      <c r="P740" s="8" t="n"/>
      <c r="Q740" s="8" t="n"/>
      <c r="R740" s="8" t="n"/>
      <c r="S740" s="8" t="n"/>
      <c r="T740" s="8" t="n"/>
      <c r="U740" s="8" t="n"/>
      <c r="V740" s="8" t="n"/>
    </row>
    <row r="741">
      <c r="A741" s="8" t="n"/>
      <c r="B741" s="61" t="n"/>
      <c r="C741" s="8" t="n"/>
      <c r="D741" s="62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61" t="n"/>
      <c r="N741" s="63" t="n"/>
      <c r="O741" s="8" t="n"/>
      <c r="P741" s="8" t="n"/>
      <c r="Q741" s="8" t="n"/>
      <c r="R741" s="8" t="n"/>
      <c r="S741" s="8" t="n"/>
      <c r="T741" s="8" t="n"/>
      <c r="U741" s="8" t="n"/>
      <c r="V741" s="8" t="n"/>
    </row>
    <row r="742">
      <c r="A742" s="8" t="n"/>
      <c r="B742" s="61" t="n"/>
      <c r="C742" s="8" t="n"/>
      <c r="D742" s="62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61" t="n"/>
      <c r="N742" s="63" t="n"/>
      <c r="O742" s="8" t="n"/>
      <c r="P742" s="8" t="n"/>
      <c r="Q742" s="8" t="n"/>
      <c r="R742" s="8" t="n"/>
      <c r="S742" s="8" t="n"/>
      <c r="T742" s="8" t="n"/>
      <c r="U742" s="8" t="n"/>
      <c r="V742" s="8" t="n"/>
    </row>
    <row r="743">
      <c r="A743" s="8" t="n"/>
      <c r="B743" s="61" t="n"/>
      <c r="C743" s="8" t="n"/>
      <c r="D743" s="62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61" t="n"/>
      <c r="N743" s="63" t="n"/>
      <c r="O743" s="8" t="n"/>
      <c r="P743" s="8" t="n"/>
      <c r="Q743" s="8" t="n"/>
      <c r="R743" s="8" t="n"/>
      <c r="S743" s="8" t="n"/>
      <c r="T743" s="8" t="n"/>
      <c r="U743" s="8" t="n"/>
      <c r="V743" s="8" t="n"/>
    </row>
    <row r="744">
      <c r="A744" s="8" t="n"/>
      <c r="B744" s="61" t="n"/>
      <c r="C744" s="8" t="n"/>
      <c r="D744" s="62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61" t="n"/>
      <c r="N744" s="63" t="n"/>
      <c r="O744" s="8" t="n"/>
      <c r="P744" s="8" t="n"/>
      <c r="Q744" s="8" t="n"/>
      <c r="R744" s="8" t="n"/>
      <c r="S744" s="8" t="n"/>
      <c r="T744" s="8" t="n"/>
      <c r="U744" s="8" t="n"/>
      <c r="V744" s="8" t="n"/>
    </row>
    <row r="745">
      <c r="A745" s="8" t="n"/>
      <c r="B745" s="61" t="n"/>
      <c r="C745" s="8" t="n"/>
      <c r="D745" s="62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61" t="n"/>
      <c r="N745" s="63" t="n"/>
      <c r="O745" s="8" t="n"/>
      <c r="P745" s="8" t="n"/>
      <c r="Q745" s="8" t="n"/>
      <c r="R745" s="8" t="n"/>
      <c r="S745" s="8" t="n"/>
      <c r="T745" s="8" t="n"/>
      <c r="U745" s="8" t="n"/>
      <c r="V745" s="8" t="n"/>
    </row>
    <row r="746">
      <c r="A746" s="8" t="n"/>
      <c r="B746" s="61" t="n"/>
      <c r="C746" s="8" t="n"/>
      <c r="D746" s="62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61" t="n"/>
      <c r="N746" s="63" t="n"/>
      <c r="O746" s="8" t="n"/>
      <c r="P746" s="8" t="n"/>
      <c r="Q746" s="8" t="n"/>
      <c r="R746" s="8" t="n"/>
      <c r="S746" s="8" t="n"/>
      <c r="T746" s="8" t="n"/>
      <c r="U746" s="8" t="n"/>
      <c r="V746" s="8" t="n"/>
    </row>
    <row r="747">
      <c r="A747" s="8" t="n"/>
      <c r="B747" s="61" t="n"/>
      <c r="C747" s="8" t="n"/>
      <c r="D747" s="62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61" t="n"/>
      <c r="N747" s="63" t="n"/>
      <c r="O747" s="8" t="n"/>
      <c r="P747" s="8" t="n"/>
      <c r="Q747" s="8" t="n"/>
      <c r="R747" s="8" t="n"/>
      <c r="S747" s="8" t="n"/>
      <c r="T747" s="8" t="n"/>
      <c r="U747" s="8" t="n"/>
      <c r="V747" s="8" t="n"/>
    </row>
    <row r="748">
      <c r="A748" s="8" t="n"/>
      <c r="B748" s="61" t="n"/>
      <c r="C748" s="8" t="n"/>
      <c r="D748" s="62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61" t="n"/>
      <c r="N748" s="63" t="n"/>
      <c r="O748" s="8" t="n"/>
      <c r="P748" s="8" t="n"/>
      <c r="Q748" s="8" t="n"/>
      <c r="R748" s="8" t="n"/>
      <c r="S748" s="8" t="n"/>
      <c r="T748" s="8" t="n"/>
      <c r="U748" s="8" t="n"/>
      <c r="V748" s="8" t="n"/>
    </row>
    <row r="749">
      <c r="A749" s="8" t="n"/>
      <c r="B749" s="61" t="n"/>
      <c r="C749" s="8" t="n"/>
      <c r="D749" s="62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61" t="n"/>
      <c r="N749" s="63" t="n"/>
      <c r="O749" s="8" t="n"/>
      <c r="P749" s="8" t="n"/>
      <c r="Q749" s="8" t="n"/>
      <c r="R749" s="8" t="n"/>
      <c r="S749" s="8" t="n"/>
      <c r="T749" s="8" t="n"/>
      <c r="U749" s="8" t="n"/>
      <c r="V749" s="8" t="n"/>
    </row>
    <row r="750">
      <c r="A750" s="8" t="n"/>
      <c r="B750" s="61" t="n"/>
      <c r="C750" s="8" t="n"/>
      <c r="D750" s="62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61" t="n"/>
      <c r="N750" s="63" t="n"/>
      <c r="O750" s="8" t="n"/>
      <c r="P750" s="8" t="n"/>
      <c r="Q750" s="8" t="n"/>
      <c r="R750" s="8" t="n"/>
      <c r="S750" s="8" t="n"/>
      <c r="T750" s="8" t="n"/>
      <c r="U750" s="8" t="n"/>
      <c r="V750" s="8" t="n"/>
    </row>
    <row r="751">
      <c r="A751" s="8" t="n"/>
      <c r="B751" s="61" t="n"/>
      <c r="C751" s="8" t="n"/>
      <c r="D751" s="62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61" t="n"/>
      <c r="N751" s="63" t="n"/>
      <c r="O751" s="8" t="n"/>
      <c r="P751" s="8" t="n"/>
      <c r="Q751" s="8" t="n"/>
      <c r="R751" s="8" t="n"/>
      <c r="S751" s="8" t="n"/>
      <c r="T751" s="8" t="n"/>
      <c r="U751" s="8" t="n"/>
      <c r="V751" s="8" t="n"/>
    </row>
    <row r="752">
      <c r="A752" s="8" t="n"/>
      <c r="B752" s="61" t="n"/>
      <c r="C752" s="8" t="n"/>
      <c r="D752" s="62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61" t="n"/>
      <c r="N752" s="63" t="n"/>
      <c r="O752" s="8" t="n"/>
      <c r="P752" s="8" t="n"/>
      <c r="Q752" s="8" t="n"/>
      <c r="R752" s="8" t="n"/>
      <c r="S752" s="8" t="n"/>
      <c r="T752" s="8" t="n"/>
      <c r="U752" s="8" t="n"/>
      <c r="V752" s="8" t="n"/>
    </row>
    <row r="753">
      <c r="A753" s="8" t="n"/>
      <c r="B753" s="61" t="n"/>
      <c r="C753" s="8" t="n"/>
      <c r="D753" s="62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61" t="n"/>
      <c r="N753" s="63" t="n"/>
      <c r="O753" s="8" t="n"/>
      <c r="P753" s="8" t="n"/>
      <c r="Q753" s="8" t="n"/>
      <c r="R753" s="8" t="n"/>
      <c r="S753" s="8" t="n"/>
      <c r="T753" s="8" t="n"/>
      <c r="U753" s="8" t="n"/>
      <c r="V753" s="8" t="n"/>
    </row>
    <row r="754">
      <c r="A754" s="8" t="n"/>
      <c r="B754" s="61" t="n"/>
      <c r="C754" s="8" t="n"/>
      <c r="D754" s="62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61" t="n"/>
      <c r="N754" s="63" t="n"/>
      <c r="O754" s="8" t="n"/>
      <c r="P754" s="8" t="n"/>
      <c r="Q754" s="8" t="n"/>
      <c r="R754" s="8" t="n"/>
      <c r="S754" s="8" t="n"/>
      <c r="T754" s="8" t="n"/>
      <c r="U754" s="8" t="n"/>
      <c r="V754" s="8" t="n"/>
    </row>
    <row r="755">
      <c r="A755" s="8" t="n"/>
      <c r="B755" s="61" t="n"/>
      <c r="C755" s="8" t="n"/>
      <c r="D755" s="62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61" t="n"/>
      <c r="N755" s="63" t="n"/>
      <c r="O755" s="8" t="n"/>
      <c r="P755" s="8" t="n"/>
      <c r="Q755" s="8" t="n"/>
      <c r="R755" s="8" t="n"/>
      <c r="S755" s="8" t="n"/>
      <c r="T755" s="8" t="n"/>
      <c r="U755" s="8" t="n"/>
      <c r="V755" s="8" t="n"/>
    </row>
    <row r="756">
      <c r="A756" s="8" t="n"/>
      <c r="B756" s="61" t="n"/>
      <c r="C756" s="8" t="n"/>
      <c r="D756" s="62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61" t="n"/>
      <c r="N756" s="63" t="n"/>
      <c r="O756" s="8" t="n"/>
      <c r="P756" s="8" t="n"/>
      <c r="Q756" s="8" t="n"/>
      <c r="R756" s="8" t="n"/>
      <c r="S756" s="8" t="n"/>
      <c r="T756" s="8" t="n"/>
      <c r="U756" s="8" t="n"/>
      <c r="V756" s="8" t="n"/>
    </row>
    <row r="757">
      <c r="A757" s="8" t="n"/>
      <c r="B757" s="61" t="n"/>
      <c r="C757" s="8" t="n"/>
      <c r="D757" s="62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61" t="n"/>
      <c r="N757" s="63" t="n"/>
      <c r="O757" s="8" t="n"/>
      <c r="P757" s="8" t="n"/>
      <c r="Q757" s="8" t="n"/>
      <c r="R757" s="8" t="n"/>
      <c r="S757" s="8" t="n"/>
      <c r="T757" s="8" t="n"/>
      <c r="U757" s="8" t="n"/>
      <c r="V757" s="8" t="n"/>
    </row>
    <row r="758">
      <c r="A758" s="8" t="n"/>
      <c r="B758" s="61" t="n"/>
      <c r="C758" s="8" t="n"/>
      <c r="D758" s="62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61" t="n"/>
      <c r="N758" s="63" t="n"/>
      <c r="O758" s="8" t="n"/>
      <c r="P758" s="8" t="n"/>
      <c r="Q758" s="8" t="n"/>
      <c r="R758" s="8" t="n"/>
      <c r="S758" s="8" t="n"/>
      <c r="T758" s="8" t="n"/>
      <c r="U758" s="8" t="n"/>
      <c r="V758" s="8" t="n"/>
    </row>
    <row r="759">
      <c r="A759" s="8" t="n"/>
      <c r="B759" s="61" t="n"/>
      <c r="C759" s="8" t="n"/>
      <c r="D759" s="62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61" t="n"/>
      <c r="N759" s="63" t="n"/>
      <c r="O759" s="8" t="n"/>
      <c r="P759" s="8" t="n"/>
      <c r="Q759" s="8" t="n"/>
      <c r="R759" s="8" t="n"/>
      <c r="S759" s="8" t="n"/>
      <c r="T759" s="8" t="n"/>
      <c r="U759" s="8" t="n"/>
      <c r="V759" s="8" t="n"/>
    </row>
    <row r="760">
      <c r="A760" s="8" t="n"/>
      <c r="B760" s="61" t="n"/>
      <c r="C760" s="8" t="n"/>
      <c r="D760" s="62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61" t="n"/>
      <c r="N760" s="63" t="n"/>
      <c r="O760" s="8" t="n"/>
      <c r="P760" s="8" t="n"/>
      <c r="Q760" s="8" t="n"/>
      <c r="R760" s="8" t="n"/>
      <c r="S760" s="8" t="n"/>
      <c r="T760" s="8" t="n"/>
      <c r="U760" s="8" t="n"/>
      <c r="V760" s="8" t="n"/>
    </row>
    <row r="761">
      <c r="A761" s="8" t="n"/>
      <c r="B761" s="61" t="n"/>
      <c r="C761" s="8" t="n"/>
      <c r="D761" s="62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61" t="n"/>
      <c r="N761" s="63" t="n"/>
      <c r="O761" s="8" t="n"/>
      <c r="P761" s="8" t="n"/>
      <c r="Q761" s="8" t="n"/>
      <c r="R761" s="8" t="n"/>
      <c r="S761" s="8" t="n"/>
      <c r="T761" s="8" t="n"/>
      <c r="U761" s="8" t="n"/>
      <c r="V761" s="8" t="n"/>
    </row>
    <row r="762">
      <c r="A762" s="8" t="n"/>
      <c r="B762" s="61" t="n"/>
      <c r="C762" s="8" t="n"/>
      <c r="D762" s="62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61" t="n"/>
      <c r="N762" s="63" t="n"/>
      <c r="O762" s="8" t="n"/>
      <c r="P762" s="8" t="n"/>
      <c r="Q762" s="8" t="n"/>
      <c r="R762" s="8" t="n"/>
      <c r="S762" s="8" t="n"/>
      <c r="T762" s="8" t="n"/>
      <c r="U762" s="8" t="n"/>
      <c r="V762" s="8" t="n"/>
    </row>
    <row r="763">
      <c r="A763" s="8" t="n"/>
      <c r="B763" s="61" t="n"/>
      <c r="C763" s="8" t="n"/>
      <c r="D763" s="62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61" t="n"/>
      <c r="N763" s="63" t="n"/>
      <c r="O763" s="8" t="n"/>
      <c r="P763" s="8" t="n"/>
      <c r="Q763" s="8" t="n"/>
      <c r="R763" s="8" t="n"/>
      <c r="S763" s="8" t="n"/>
      <c r="T763" s="8" t="n"/>
      <c r="U763" s="8" t="n"/>
      <c r="V763" s="8" t="n"/>
    </row>
    <row r="764">
      <c r="A764" s="8" t="n"/>
      <c r="B764" s="61" t="n"/>
      <c r="C764" s="8" t="n"/>
      <c r="D764" s="62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61" t="n"/>
      <c r="N764" s="63" t="n"/>
      <c r="O764" s="8" t="n"/>
      <c r="P764" s="8" t="n"/>
      <c r="Q764" s="8" t="n"/>
      <c r="R764" s="8" t="n"/>
      <c r="S764" s="8" t="n"/>
      <c r="T764" s="8" t="n"/>
      <c r="U764" s="8" t="n"/>
      <c r="V764" s="8" t="n"/>
    </row>
    <row r="765">
      <c r="A765" s="8" t="n"/>
      <c r="B765" s="61" t="n"/>
      <c r="C765" s="8" t="n"/>
      <c r="D765" s="62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61" t="n"/>
      <c r="N765" s="63" t="n"/>
      <c r="O765" s="8" t="n"/>
      <c r="P765" s="8" t="n"/>
      <c r="Q765" s="8" t="n"/>
      <c r="R765" s="8" t="n"/>
      <c r="S765" s="8" t="n"/>
      <c r="T765" s="8" t="n"/>
      <c r="U765" s="8" t="n"/>
      <c r="V765" s="8" t="n"/>
    </row>
    <row r="766">
      <c r="A766" s="8" t="n"/>
      <c r="B766" s="61" t="n"/>
      <c r="C766" s="8" t="n"/>
      <c r="D766" s="62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61" t="n"/>
      <c r="N766" s="63" t="n"/>
      <c r="O766" s="8" t="n"/>
      <c r="P766" s="8" t="n"/>
      <c r="Q766" s="8" t="n"/>
      <c r="R766" s="8" t="n"/>
      <c r="S766" s="8" t="n"/>
      <c r="T766" s="8" t="n"/>
      <c r="U766" s="8" t="n"/>
      <c r="V766" s="8" t="n"/>
    </row>
    <row r="767">
      <c r="A767" s="8" t="n"/>
      <c r="B767" s="61" t="n"/>
      <c r="C767" s="8" t="n"/>
      <c r="D767" s="62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61" t="n"/>
      <c r="N767" s="63" t="n"/>
      <c r="O767" s="8" t="n"/>
      <c r="P767" s="8" t="n"/>
      <c r="Q767" s="8" t="n"/>
      <c r="R767" s="8" t="n"/>
      <c r="S767" s="8" t="n"/>
      <c r="T767" s="8" t="n"/>
      <c r="U767" s="8" t="n"/>
      <c r="V767" s="8" t="n"/>
    </row>
    <row r="768">
      <c r="A768" s="8" t="n"/>
      <c r="B768" s="61" t="n"/>
      <c r="C768" s="8" t="n"/>
      <c r="D768" s="62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61" t="n"/>
      <c r="N768" s="63" t="n"/>
      <c r="O768" s="8" t="n"/>
      <c r="P768" s="8" t="n"/>
      <c r="Q768" s="8" t="n"/>
      <c r="R768" s="8" t="n"/>
      <c r="S768" s="8" t="n"/>
      <c r="T768" s="8" t="n"/>
      <c r="U768" s="8" t="n"/>
      <c r="V768" s="8" t="n"/>
    </row>
    <row r="769">
      <c r="A769" s="8" t="n"/>
      <c r="B769" s="61" t="n"/>
      <c r="C769" s="8" t="n"/>
      <c r="D769" s="62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61" t="n"/>
      <c r="N769" s="63" t="n"/>
      <c r="O769" s="8" t="n"/>
      <c r="P769" s="8" t="n"/>
      <c r="Q769" s="8" t="n"/>
      <c r="R769" s="8" t="n"/>
      <c r="S769" s="8" t="n"/>
      <c r="T769" s="8" t="n"/>
      <c r="U769" s="8" t="n"/>
      <c r="V769" s="8" t="n"/>
    </row>
    <row r="770">
      <c r="A770" s="8" t="n"/>
      <c r="B770" s="61" t="n"/>
      <c r="C770" s="8" t="n"/>
      <c r="D770" s="62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61" t="n"/>
      <c r="N770" s="63" t="n"/>
      <c r="O770" s="8" t="n"/>
      <c r="P770" s="8" t="n"/>
      <c r="Q770" s="8" t="n"/>
      <c r="R770" s="8" t="n"/>
      <c r="S770" s="8" t="n"/>
      <c r="T770" s="8" t="n"/>
      <c r="U770" s="8" t="n"/>
      <c r="V770" s="8" t="n"/>
    </row>
    <row r="771">
      <c r="A771" s="8" t="n"/>
      <c r="B771" s="61" t="n"/>
      <c r="C771" s="8" t="n"/>
      <c r="D771" s="62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61" t="n"/>
      <c r="N771" s="63" t="n"/>
      <c r="O771" s="8" t="n"/>
      <c r="P771" s="8" t="n"/>
      <c r="Q771" s="8" t="n"/>
      <c r="R771" s="8" t="n"/>
      <c r="S771" s="8" t="n"/>
      <c r="T771" s="8" t="n"/>
      <c r="U771" s="8" t="n"/>
      <c r="V771" s="8" t="n"/>
    </row>
    <row r="772">
      <c r="A772" s="8" t="n"/>
      <c r="B772" s="61" t="n"/>
      <c r="C772" s="8" t="n"/>
      <c r="D772" s="62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61" t="n"/>
      <c r="N772" s="63" t="n"/>
      <c r="O772" s="8" t="n"/>
      <c r="P772" s="8" t="n"/>
      <c r="Q772" s="8" t="n"/>
      <c r="R772" s="8" t="n"/>
      <c r="S772" s="8" t="n"/>
      <c r="T772" s="8" t="n"/>
      <c r="U772" s="8" t="n"/>
      <c r="V772" s="8" t="n"/>
    </row>
    <row r="773">
      <c r="A773" s="8" t="n"/>
      <c r="B773" s="61" t="n"/>
      <c r="C773" s="8" t="n"/>
      <c r="D773" s="62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61" t="n"/>
      <c r="N773" s="63" t="n"/>
      <c r="O773" s="8" t="n"/>
      <c r="P773" s="8" t="n"/>
      <c r="Q773" s="8" t="n"/>
      <c r="R773" s="8" t="n"/>
      <c r="S773" s="8" t="n"/>
      <c r="T773" s="8" t="n"/>
      <c r="U773" s="8" t="n"/>
      <c r="V773" s="8" t="n"/>
    </row>
    <row r="774">
      <c r="A774" s="8" t="n"/>
      <c r="B774" s="61" t="n"/>
      <c r="C774" s="8" t="n"/>
      <c r="D774" s="62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61" t="n"/>
      <c r="N774" s="63" t="n"/>
      <c r="O774" s="8" t="n"/>
      <c r="P774" s="8" t="n"/>
      <c r="Q774" s="8" t="n"/>
      <c r="R774" s="8" t="n"/>
      <c r="S774" s="8" t="n"/>
      <c r="T774" s="8" t="n"/>
      <c r="U774" s="8" t="n"/>
      <c r="V774" s="8" t="n"/>
    </row>
    <row r="775">
      <c r="A775" s="8" t="n"/>
      <c r="B775" s="61" t="n"/>
      <c r="C775" s="8" t="n"/>
      <c r="D775" s="62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61" t="n"/>
      <c r="N775" s="63" t="n"/>
      <c r="O775" s="8" t="n"/>
      <c r="P775" s="8" t="n"/>
      <c r="Q775" s="8" t="n"/>
      <c r="R775" s="8" t="n"/>
      <c r="S775" s="8" t="n"/>
      <c r="T775" s="8" t="n"/>
      <c r="U775" s="8" t="n"/>
      <c r="V775" s="8" t="n"/>
    </row>
    <row r="776">
      <c r="A776" s="8" t="n"/>
      <c r="B776" s="61" t="n"/>
      <c r="C776" s="8" t="n"/>
      <c r="D776" s="62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61" t="n"/>
      <c r="N776" s="63" t="n"/>
      <c r="O776" s="8" t="n"/>
      <c r="P776" s="8" t="n"/>
      <c r="Q776" s="8" t="n"/>
      <c r="R776" s="8" t="n"/>
      <c r="S776" s="8" t="n"/>
      <c r="T776" s="8" t="n"/>
      <c r="U776" s="8" t="n"/>
      <c r="V776" s="8" t="n"/>
    </row>
    <row r="777">
      <c r="A777" s="8" t="n"/>
      <c r="B777" s="61" t="n"/>
      <c r="C777" s="8" t="n"/>
      <c r="D777" s="62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61" t="n"/>
      <c r="N777" s="63" t="n"/>
      <c r="O777" s="8" t="n"/>
      <c r="P777" s="8" t="n"/>
      <c r="Q777" s="8" t="n"/>
      <c r="R777" s="8" t="n"/>
      <c r="S777" s="8" t="n"/>
      <c r="T777" s="8" t="n"/>
      <c r="U777" s="8" t="n"/>
      <c r="V777" s="8" t="n"/>
    </row>
    <row r="778">
      <c r="A778" s="8" t="n"/>
      <c r="B778" s="61" t="n"/>
      <c r="C778" s="8" t="n"/>
      <c r="D778" s="62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61" t="n"/>
      <c r="N778" s="63" t="n"/>
      <c r="O778" s="8" t="n"/>
      <c r="P778" s="8" t="n"/>
      <c r="Q778" s="8" t="n"/>
      <c r="R778" s="8" t="n"/>
      <c r="S778" s="8" t="n"/>
      <c r="T778" s="8" t="n"/>
      <c r="U778" s="8" t="n"/>
      <c r="V778" s="8" t="n"/>
    </row>
    <row r="779">
      <c r="A779" s="8" t="n"/>
      <c r="B779" s="61" t="n"/>
      <c r="C779" s="8" t="n"/>
      <c r="D779" s="62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61" t="n"/>
      <c r="N779" s="63" t="n"/>
      <c r="O779" s="8" t="n"/>
      <c r="P779" s="8" t="n"/>
      <c r="Q779" s="8" t="n"/>
      <c r="R779" s="8" t="n"/>
      <c r="S779" s="8" t="n"/>
      <c r="T779" s="8" t="n"/>
      <c r="U779" s="8" t="n"/>
      <c r="V779" s="8" t="n"/>
    </row>
    <row r="780">
      <c r="A780" s="8" t="n"/>
      <c r="B780" s="61" t="n"/>
      <c r="C780" s="8" t="n"/>
      <c r="D780" s="62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61" t="n"/>
      <c r="N780" s="63" t="n"/>
      <c r="O780" s="8" t="n"/>
      <c r="P780" s="8" t="n"/>
      <c r="Q780" s="8" t="n"/>
      <c r="R780" s="8" t="n"/>
      <c r="S780" s="8" t="n"/>
      <c r="T780" s="8" t="n"/>
      <c r="U780" s="8" t="n"/>
      <c r="V780" s="8" t="n"/>
    </row>
    <row r="781">
      <c r="A781" s="8" t="n"/>
      <c r="B781" s="61" t="n"/>
      <c r="C781" s="8" t="n"/>
      <c r="D781" s="62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61" t="n"/>
      <c r="N781" s="63" t="n"/>
      <c r="O781" s="8" t="n"/>
      <c r="P781" s="8" t="n"/>
      <c r="Q781" s="8" t="n"/>
      <c r="R781" s="8" t="n"/>
      <c r="S781" s="8" t="n"/>
      <c r="T781" s="8" t="n"/>
      <c r="U781" s="8" t="n"/>
      <c r="V781" s="8" t="n"/>
    </row>
    <row r="782">
      <c r="A782" s="8" t="n"/>
      <c r="B782" s="61" t="n"/>
      <c r="C782" s="8" t="n"/>
      <c r="D782" s="62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61" t="n"/>
      <c r="N782" s="63" t="n"/>
      <c r="O782" s="8" t="n"/>
      <c r="P782" s="8" t="n"/>
      <c r="Q782" s="8" t="n"/>
      <c r="R782" s="8" t="n"/>
      <c r="S782" s="8" t="n"/>
      <c r="T782" s="8" t="n"/>
      <c r="U782" s="8" t="n"/>
      <c r="V782" s="8" t="n"/>
    </row>
    <row r="783">
      <c r="A783" s="8" t="n"/>
      <c r="B783" s="61" t="n"/>
      <c r="C783" s="8" t="n"/>
      <c r="D783" s="62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61" t="n"/>
      <c r="N783" s="63" t="n"/>
      <c r="O783" s="8" t="n"/>
      <c r="P783" s="8" t="n"/>
      <c r="Q783" s="8" t="n"/>
      <c r="R783" s="8" t="n"/>
      <c r="S783" s="8" t="n"/>
      <c r="T783" s="8" t="n"/>
      <c r="U783" s="8" t="n"/>
      <c r="V783" s="8" t="n"/>
    </row>
    <row r="784">
      <c r="A784" s="8" t="n"/>
      <c r="B784" s="61" t="n"/>
      <c r="C784" s="8" t="n"/>
      <c r="D784" s="62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61" t="n"/>
      <c r="N784" s="63" t="n"/>
      <c r="O784" s="8" t="n"/>
      <c r="P784" s="8" t="n"/>
      <c r="Q784" s="8" t="n"/>
      <c r="R784" s="8" t="n"/>
      <c r="S784" s="8" t="n"/>
      <c r="T784" s="8" t="n"/>
      <c r="U784" s="8" t="n"/>
      <c r="V784" s="8" t="n"/>
    </row>
    <row r="785">
      <c r="A785" s="8" t="n"/>
      <c r="B785" s="61" t="n"/>
      <c r="C785" s="8" t="n"/>
      <c r="D785" s="62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61" t="n"/>
      <c r="N785" s="63" t="n"/>
      <c r="O785" s="8" t="n"/>
      <c r="P785" s="8" t="n"/>
      <c r="Q785" s="8" t="n"/>
      <c r="R785" s="8" t="n"/>
      <c r="S785" s="8" t="n"/>
      <c r="T785" s="8" t="n"/>
      <c r="U785" s="8" t="n"/>
      <c r="V785" s="8" t="n"/>
    </row>
    <row r="786">
      <c r="A786" s="8" t="n"/>
      <c r="B786" s="61" t="n"/>
      <c r="C786" s="8" t="n"/>
      <c r="D786" s="62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61" t="n"/>
      <c r="N786" s="63" t="n"/>
      <c r="O786" s="8" t="n"/>
      <c r="P786" s="8" t="n"/>
      <c r="Q786" s="8" t="n"/>
      <c r="R786" s="8" t="n"/>
      <c r="S786" s="8" t="n"/>
      <c r="T786" s="8" t="n"/>
      <c r="U786" s="8" t="n"/>
      <c r="V786" s="8" t="n"/>
    </row>
    <row r="787">
      <c r="A787" s="8" t="n"/>
      <c r="B787" s="61" t="n"/>
      <c r="C787" s="8" t="n"/>
      <c r="D787" s="62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61" t="n"/>
      <c r="N787" s="63" t="n"/>
      <c r="O787" s="8" t="n"/>
      <c r="P787" s="8" t="n"/>
      <c r="Q787" s="8" t="n"/>
      <c r="R787" s="8" t="n"/>
      <c r="S787" s="8" t="n"/>
      <c r="T787" s="8" t="n"/>
      <c r="U787" s="8" t="n"/>
      <c r="V787" s="8" t="n"/>
    </row>
    <row r="788">
      <c r="A788" s="8" t="n"/>
      <c r="B788" s="61" t="n"/>
      <c r="C788" s="8" t="n"/>
      <c r="D788" s="62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61" t="n"/>
      <c r="N788" s="63" t="n"/>
      <c r="O788" s="8" t="n"/>
      <c r="P788" s="8" t="n"/>
      <c r="Q788" s="8" t="n"/>
      <c r="R788" s="8" t="n"/>
      <c r="S788" s="8" t="n"/>
      <c r="T788" s="8" t="n"/>
      <c r="U788" s="8" t="n"/>
      <c r="V788" s="8" t="n"/>
    </row>
    <row r="789">
      <c r="A789" s="8" t="n"/>
      <c r="B789" s="61" t="n"/>
      <c r="C789" s="8" t="n"/>
      <c r="D789" s="62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61" t="n"/>
      <c r="N789" s="63" t="n"/>
      <c r="O789" s="8" t="n"/>
      <c r="P789" s="8" t="n"/>
      <c r="Q789" s="8" t="n"/>
      <c r="R789" s="8" t="n"/>
      <c r="S789" s="8" t="n"/>
      <c r="T789" s="8" t="n"/>
      <c r="U789" s="8" t="n"/>
      <c r="V789" s="8" t="n"/>
    </row>
    <row r="790">
      <c r="A790" s="8" t="n"/>
      <c r="B790" s="61" t="n"/>
      <c r="C790" s="8" t="n"/>
      <c r="D790" s="62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61" t="n"/>
      <c r="N790" s="63" t="n"/>
      <c r="O790" s="8" t="n"/>
      <c r="P790" s="8" t="n"/>
      <c r="Q790" s="8" t="n"/>
      <c r="R790" s="8" t="n"/>
      <c r="S790" s="8" t="n"/>
      <c r="T790" s="8" t="n"/>
      <c r="U790" s="8" t="n"/>
      <c r="V790" s="8" t="n"/>
    </row>
    <row r="791">
      <c r="A791" s="8" t="n"/>
      <c r="B791" s="61" t="n"/>
      <c r="C791" s="8" t="n"/>
      <c r="D791" s="62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61" t="n"/>
      <c r="N791" s="63" t="n"/>
      <c r="O791" s="8" t="n"/>
      <c r="P791" s="8" t="n"/>
      <c r="Q791" s="8" t="n"/>
      <c r="R791" s="8" t="n"/>
      <c r="S791" s="8" t="n"/>
      <c r="T791" s="8" t="n"/>
      <c r="U791" s="8" t="n"/>
      <c r="V791" s="8" t="n"/>
    </row>
    <row r="792">
      <c r="A792" s="8" t="n"/>
      <c r="B792" s="61" t="n"/>
      <c r="C792" s="8" t="n"/>
      <c r="D792" s="62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61" t="n"/>
      <c r="N792" s="63" t="n"/>
      <c r="O792" s="8" t="n"/>
      <c r="P792" s="8" t="n"/>
      <c r="Q792" s="8" t="n"/>
      <c r="R792" s="8" t="n"/>
      <c r="S792" s="8" t="n"/>
      <c r="T792" s="8" t="n"/>
      <c r="U792" s="8" t="n"/>
      <c r="V792" s="8" t="n"/>
    </row>
    <row r="793">
      <c r="A793" s="8" t="n"/>
      <c r="B793" s="61" t="n"/>
      <c r="C793" s="8" t="n"/>
      <c r="D793" s="62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61" t="n"/>
      <c r="N793" s="63" t="n"/>
      <c r="O793" s="8" t="n"/>
      <c r="P793" s="8" t="n"/>
      <c r="Q793" s="8" t="n"/>
      <c r="R793" s="8" t="n"/>
      <c r="S793" s="8" t="n"/>
      <c r="T793" s="8" t="n"/>
      <c r="U793" s="8" t="n"/>
      <c r="V793" s="8" t="n"/>
    </row>
    <row r="794">
      <c r="A794" s="8" t="n"/>
      <c r="B794" s="61" t="n"/>
      <c r="C794" s="8" t="n"/>
      <c r="D794" s="62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61" t="n"/>
      <c r="N794" s="63" t="n"/>
      <c r="O794" s="8" t="n"/>
      <c r="P794" s="8" t="n"/>
      <c r="Q794" s="8" t="n"/>
      <c r="R794" s="8" t="n"/>
      <c r="S794" s="8" t="n"/>
      <c r="T794" s="8" t="n"/>
      <c r="U794" s="8" t="n"/>
      <c r="V794" s="8" t="n"/>
    </row>
    <row r="795">
      <c r="A795" s="8" t="n"/>
      <c r="B795" s="61" t="n"/>
      <c r="C795" s="8" t="n"/>
      <c r="D795" s="62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61" t="n"/>
      <c r="N795" s="63" t="n"/>
      <c r="O795" s="8" t="n"/>
      <c r="P795" s="8" t="n"/>
      <c r="Q795" s="8" t="n"/>
      <c r="R795" s="8" t="n"/>
      <c r="S795" s="8" t="n"/>
      <c r="T795" s="8" t="n"/>
      <c r="U795" s="8" t="n"/>
      <c r="V795" s="8" t="n"/>
    </row>
    <row r="796">
      <c r="A796" s="8" t="n"/>
      <c r="B796" s="61" t="n"/>
      <c r="C796" s="8" t="n"/>
      <c r="D796" s="62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61" t="n"/>
      <c r="N796" s="63" t="n"/>
      <c r="O796" s="8" t="n"/>
      <c r="P796" s="8" t="n"/>
      <c r="Q796" s="8" t="n"/>
      <c r="R796" s="8" t="n"/>
      <c r="S796" s="8" t="n"/>
      <c r="T796" s="8" t="n"/>
      <c r="U796" s="8" t="n"/>
      <c r="V796" s="8" t="n"/>
    </row>
    <row r="797">
      <c r="A797" s="8" t="n"/>
      <c r="B797" s="61" t="n"/>
      <c r="C797" s="8" t="n"/>
      <c r="D797" s="62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61" t="n"/>
      <c r="N797" s="63" t="n"/>
      <c r="O797" s="8" t="n"/>
      <c r="P797" s="8" t="n"/>
      <c r="Q797" s="8" t="n"/>
      <c r="R797" s="8" t="n"/>
      <c r="S797" s="8" t="n"/>
      <c r="T797" s="8" t="n"/>
      <c r="U797" s="8" t="n"/>
      <c r="V797" s="8" t="n"/>
    </row>
    <row r="798">
      <c r="A798" s="8" t="n"/>
      <c r="B798" s="61" t="n"/>
      <c r="C798" s="8" t="n"/>
      <c r="D798" s="62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61" t="n"/>
      <c r="N798" s="63" t="n"/>
      <c r="O798" s="8" t="n"/>
      <c r="P798" s="8" t="n"/>
      <c r="Q798" s="8" t="n"/>
      <c r="R798" s="8" t="n"/>
      <c r="S798" s="8" t="n"/>
      <c r="T798" s="8" t="n"/>
      <c r="U798" s="8" t="n"/>
      <c r="V798" s="8" t="n"/>
    </row>
    <row r="799">
      <c r="A799" s="8" t="n"/>
      <c r="B799" s="61" t="n"/>
      <c r="C799" s="8" t="n"/>
      <c r="D799" s="62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61" t="n"/>
      <c r="N799" s="63" t="n"/>
      <c r="O799" s="8" t="n"/>
      <c r="P799" s="8" t="n"/>
      <c r="Q799" s="8" t="n"/>
      <c r="R799" s="8" t="n"/>
      <c r="S799" s="8" t="n"/>
      <c r="T799" s="8" t="n"/>
      <c r="U799" s="8" t="n"/>
      <c r="V799" s="8" t="n"/>
    </row>
    <row r="800">
      <c r="A800" s="8" t="n"/>
      <c r="B800" s="61" t="n"/>
      <c r="C800" s="8" t="n"/>
      <c r="D800" s="62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61" t="n"/>
      <c r="N800" s="63" t="n"/>
      <c r="O800" s="8" t="n"/>
      <c r="P800" s="8" t="n"/>
      <c r="Q800" s="8" t="n"/>
      <c r="R800" s="8" t="n"/>
      <c r="S800" s="8" t="n"/>
      <c r="T800" s="8" t="n"/>
      <c r="U800" s="8" t="n"/>
      <c r="V800" s="8" t="n"/>
    </row>
    <row r="801">
      <c r="A801" s="8" t="n"/>
      <c r="B801" s="61" t="n"/>
      <c r="C801" s="8" t="n"/>
      <c r="D801" s="62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61" t="n"/>
      <c r="N801" s="63" t="n"/>
      <c r="O801" s="8" t="n"/>
      <c r="P801" s="8" t="n"/>
      <c r="Q801" s="8" t="n"/>
      <c r="R801" s="8" t="n"/>
      <c r="S801" s="8" t="n"/>
      <c r="T801" s="8" t="n"/>
      <c r="U801" s="8" t="n"/>
      <c r="V801" s="8" t="n"/>
    </row>
    <row r="802">
      <c r="A802" s="8" t="n"/>
      <c r="B802" s="61" t="n"/>
      <c r="C802" s="8" t="n"/>
      <c r="D802" s="62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61" t="n"/>
      <c r="N802" s="63" t="n"/>
      <c r="O802" s="8" t="n"/>
      <c r="P802" s="8" t="n"/>
      <c r="Q802" s="8" t="n"/>
      <c r="R802" s="8" t="n"/>
      <c r="S802" s="8" t="n"/>
      <c r="T802" s="8" t="n"/>
      <c r="U802" s="8" t="n"/>
      <c r="V802" s="8" t="n"/>
    </row>
    <row r="803">
      <c r="A803" s="8" t="n"/>
      <c r="B803" s="61" t="n"/>
      <c r="C803" s="8" t="n"/>
      <c r="D803" s="62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61" t="n"/>
      <c r="N803" s="63" t="n"/>
      <c r="O803" s="8" t="n"/>
      <c r="P803" s="8" t="n"/>
      <c r="Q803" s="8" t="n"/>
      <c r="R803" s="8" t="n"/>
      <c r="S803" s="8" t="n"/>
      <c r="T803" s="8" t="n"/>
      <c r="U803" s="8" t="n"/>
      <c r="V803" s="8" t="n"/>
    </row>
    <row r="804">
      <c r="A804" s="8" t="n"/>
      <c r="B804" s="61" t="n"/>
      <c r="C804" s="8" t="n"/>
      <c r="D804" s="62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61" t="n"/>
      <c r="N804" s="63" t="n"/>
      <c r="O804" s="8" t="n"/>
      <c r="P804" s="8" t="n"/>
      <c r="Q804" s="8" t="n"/>
      <c r="R804" s="8" t="n"/>
      <c r="S804" s="8" t="n"/>
      <c r="T804" s="8" t="n"/>
      <c r="U804" s="8" t="n"/>
      <c r="V804" s="8" t="n"/>
    </row>
    <row r="805">
      <c r="A805" s="8" t="n"/>
      <c r="B805" s="61" t="n"/>
      <c r="C805" s="8" t="n"/>
      <c r="D805" s="62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61" t="n"/>
      <c r="N805" s="63" t="n"/>
      <c r="O805" s="8" t="n"/>
      <c r="P805" s="8" t="n"/>
      <c r="Q805" s="8" t="n"/>
      <c r="R805" s="8" t="n"/>
      <c r="S805" s="8" t="n"/>
      <c r="T805" s="8" t="n"/>
      <c r="U805" s="8" t="n"/>
      <c r="V805" s="8" t="n"/>
    </row>
    <row r="806">
      <c r="A806" s="8" t="n"/>
      <c r="B806" s="61" t="n"/>
      <c r="C806" s="8" t="n"/>
      <c r="D806" s="62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61" t="n"/>
      <c r="N806" s="63" t="n"/>
      <c r="O806" s="8" t="n"/>
      <c r="P806" s="8" t="n"/>
      <c r="Q806" s="8" t="n"/>
      <c r="R806" s="8" t="n"/>
      <c r="S806" s="8" t="n"/>
      <c r="T806" s="8" t="n"/>
      <c r="U806" s="8" t="n"/>
      <c r="V806" s="8" t="n"/>
    </row>
    <row r="807">
      <c r="A807" s="8" t="n"/>
      <c r="B807" s="61" t="n"/>
      <c r="C807" s="8" t="n"/>
      <c r="D807" s="62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61" t="n"/>
      <c r="N807" s="63" t="n"/>
      <c r="O807" s="8" t="n"/>
      <c r="P807" s="8" t="n"/>
      <c r="Q807" s="8" t="n"/>
      <c r="R807" s="8" t="n"/>
      <c r="S807" s="8" t="n"/>
      <c r="T807" s="8" t="n"/>
      <c r="U807" s="8" t="n"/>
      <c r="V807" s="8" t="n"/>
    </row>
    <row r="808">
      <c r="A808" s="8" t="n"/>
      <c r="B808" s="61" t="n"/>
      <c r="C808" s="8" t="n"/>
      <c r="D808" s="62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61" t="n"/>
      <c r="N808" s="63" t="n"/>
      <c r="O808" s="8" t="n"/>
      <c r="P808" s="8" t="n"/>
      <c r="Q808" s="8" t="n"/>
      <c r="R808" s="8" t="n"/>
      <c r="S808" s="8" t="n"/>
      <c r="T808" s="8" t="n"/>
      <c r="U808" s="8" t="n"/>
      <c r="V808" s="8" t="n"/>
    </row>
    <row r="809">
      <c r="A809" s="8" t="n"/>
      <c r="B809" s="61" t="n"/>
      <c r="C809" s="8" t="n"/>
      <c r="D809" s="62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61" t="n"/>
      <c r="N809" s="63" t="n"/>
      <c r="O809" s="8" t="n"/>
      <c r="P809" s="8" t="n"/>
      <c r="Q809" s="8" t="n"/>
      <c r="R809" s="8" t="n"/>
      <c r="S809" s="8" t="n"/>
      <c r="T809" s="8" t="n"/>
      <c r="U809" s="8" t="n"/>
      <c r="V809" s="8" t="n"/>
    </row>
    <row r="810">
      <c r="A810" s="8" t="n"/>
      <c r="B810" s="61" t="n"/>
      <c r="C810" s="8" t="n"/>
      <c r="D810" s="62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61" t="n"/>
      <c r="N810" s="63" t="n"/>
      <c r="O810" s="8" t="n"/>
      <c r="P810" s="8" t="n"/>
      <c r="Q810" s="8" t="n"/>
      <c r="R810" s="8" t="n"/>
      <c r="S810" s="8" t="n"/>
      <c r="T810" s="8" t="n"/>
      <c r="U810" s="8" t="n"/>
      <c r="V810" s="8" t="n"/>
    </row>
    <row r="811">
      <c r="A811" s="8" t="n"/>
      <c r="B811" s="61" t="n"/>
      <c r="C811" s="8" t="n"/>
      <c r="D811" s="62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61" t="n"/>
      <c r="N811" s="63" t="n"/>
      <c r="O811" s="8" t="n"/>
      <c r="P811" s="8" t="n"/>
      <c r="Q811" s="8" t="n"/>
      <c r="R811" s="8" t="n"/>
      <c r="S811" s="8" t="n"/>
      <c r="T811" s="8" t="n"/>
      <c r="U811" s="8" t="n"/>
      <c r="V811" s="8" t="n"/>
    </row>
    <row r="812">
      <c r="A812" s="8" t="n"/>
      <c r="B812" s="61" t="n"/>
      <c r="C812" s="8" t="n"/>
      <c r="D812" s="62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61" t="n"/>
      <c r="N812" s="63" t="n"/>
      <c r="O812" s="8" t="n"/>
      <c r="P812" s="8" t="n"/>
      <c r="Q812" s="8" t="n"/>
      <c r="R812" s="8" t="n"/>
      <c r="S812" s="8" t="n"/>
      <c r="T812" s="8" t="n"/>
      <c r="U812" s="8" t="n"/>
      <c r="V812" s="8" t="n"/>
    </row>
    <row r="813">
      <c r="A813" s="8" t="n"/>
      <c r="B813" s="61" t="n"/>
      <c r="C813" s="8" t="n"/>
      <c r="D813" s="62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61" t="n"/>
      <c r="N813" s="63" t="n"/>
      <c r="O813" s="8" t="n"/>
      <c r="P813" s="8" t="n"/>
      <c r="Q813" s="8" t="n"/>
      <c r="R813" s="8" t="n"/>
      <c r="S813" s="8" t="n"/>
      <c r="T813" s="8" t="n"/>
      <c r="U813" s="8" t="n"/>
      <c r="V813" s="8" t="n"/>
    </row>
    <row r="814">
      <c r="A814" s="8" t="n"/>
      <c r="B814" s="61" t="n"/>
      <c r="C814" s="8" t="n"/>
      <c r="D814" s="62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61" t="n"/>
      <c r="N814" s="63" t="n"/>
      <c r="O814" s="8" t="n"/>
      <c r="P814" s="8" t="n"/>
      <c r="Q814" s="8" t="n"/>
      <c r="R814" s="8" t="n"/>
      <c r="S814" s="8" t="n"/>
      <c r="T814" s="8" t="n"/>
      <c r="U814" s="8" t="n"/>
      <c r="V814" s="8" t="n"/>
    </row>
    <row r="815">
      <c r="A815" s="8" t="n"/>
      <c r="B815" s="61" t="n"/>
      <c r="C815" s="8" t="n"/>
      <c r="D815" s="62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61" t="n"/>
      <c r="N815" s="63" t="n"/>
      <c r="O815" s="8" t="n"/>
      <c r="P815" s="8" t="n"/>
      <c r="Q815" s="8" t="n"/>
      <c r="R815" s="8" t="n"/>
      <c r="S815" s="8" t="n"/>
      <c r="T815" s="8" t="n"/>
      <c r="U815" s="8" t="n"/>
      <c r="V815" s="8" t="n"/>
    </row>
    <row r="816">
      <c r="A816" s="8" t="n"/>
      <c r="B816" s="61" t="n"/>
      <c r="C816" s="8" t="n"/>
      <c r="D816" s="62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61" t="n"/>
      <c r="N816" s="63" t="n"/>
      <c r="O816" s="8" t="n"/>
      <c r="P816" s="8" t="n"/>
      <c r="Q816" s="8" t="n"/>
      <c r="R816" s="8" t="n"/>
      <c r="S816" s="8" t="n"/>
      <c r="T816" s="8" t="n"/>
      <c r="U816" s="8" t="n"/>
      <c r="V816" s="8" t="n"/>
    </row>
    <row r="817">
      <c r="A817" s="8" t="n"/>
      <c r="B817" s="61" t="n"/>
      <c r="C817" s="8" t="n"/>
      <c r="D817" s="62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61" t="n"/>
      <c r="N817" s="63" t="n"/>
      <c r="O817" s="8" t="n"/>
      <c r="P817" s="8" t="n"/>
      <c r="Q817" s="8" t="n"/>
      <c r="R817" s="8" t="n"/>
      <c r="S817" s="8" t="n"/>
      <c r="T817" s="8" t="n"/>
      <c r="U817" s="8" t="n"/>
      <c r="V817" s="8" t="n"/>
    </row>
    <row r="818">
      <c r="A818" s="8" t="n"/>
      <c r="B818" s="61" t="n"/>
      <c r="C818" s="8" t="n"/>
      <c r="D818" s="62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61" t="n"/>
      <c r="N818" s="63" t="n"/>
      <c r="O818" s="8" t="n"/>
      <c r="P818" s="8" t="n"/>
      <c r="Q818" s="8" t="n"/>
      <c r="R818" s="8" t="n"/>
      <c r="S818" s="8" t="n"/>
      <c r="T818" s="8" t="n"/>
      <c r="U818" s="8" t="n"/>
      <c r="V818" s="8" t="n"/>
    </row>
    <row r="819">
      <c r="A819" s="8" t="n"/>
      <c r="B819" s="61" t="n"/>
      <c r="C819" s="8" t="n"/>
      <c r="D819" s="62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61" t="n"/>
      <c r="N819" s="63" t="n"/>
      <c r="O819" s="8" t="n"/>
      <c r="P819" s="8" t="n"/>
      <c r="Q819" s="8" t="n"/>
      <c r="R819" s="8" t="n"/>
      <c r="S819" s="8" t="n"/>
      <c r="T819" s="8" t="n"/>
      <c r="U819" s="8" t="n"/>
      <c r="V819" s="8" t="n"/>
    </row>
    <row r="820">
      <c r="A820" s="8" t="n"/>
      <c r="B820" s="61" t="n"/>
      <c r="C820" s="8" t="n"/>
      <c r="D820" s="62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61" t="n"/>
      <c r="N820" s="63" t="n"/>
      <c r="O820" s="8" t="n"/>
      <c r="P820" s="8" t="n"/>
      <c r="Q820" s="8" t="n"/>
      <c r="R820" s="8" t="n"/>
      <c r="S820" s="8" t="n"/>
      <c r="T820" s="8" t="n"/>
      <c r="U820" s="8" t="n"/>
      <c r="V820" s="8" t="n"/>
    </row>
    <row r="821">
      <c r="A821" s="8" t="n"/>
      <c r="B821" s="61" t="n"/>
      <c r="C821" s="8" t="n"/>
      <c r="D821" s="62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61" t="n"/>
      <c r="N821" s="63" t="n"/>
      <c r="O821" s="8" t="n"/>
      <c r="P821" s="8" t="n"/>
      <c r="Q821" s="8" t="n"/>
      <c r="R821" s="8" t="n"/>
      <c r="S821" s="8" t="n"/>
      <c r="T821" s="8" t="n"/>
      <c r="U821" s="8" t="n"/>
      <c r="V821" s="8" t="n"/>
    </row>
    <row r="822">
      <c r="A822" s="8" t="n"/>
      <c r="B822" s="61" t="n"/>
      <c r="C822" s="8" t="n"/>
      <c r="D822" s="62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61" t="n"/>
      <c r="N822" s="63" t="n"/>
      <c r="O822" s="8" t="n"/>
      <c r="P822" s="8" t="n"/>
      <c r="Q822" s="8" t="n"/>
      <c r="R822" s="8" t="n"/>
      <c r="S822" s="8" t="n"/>
      <c r="T822" s="8" t="n"/>
      <c r="U822" s="8" t="n"/>
      <c r="V822" s="8" t="n"/>
    </row>
    <row r="823">
      <c r="A823" s="8" t="n"/>
      <c r="B823" s="61" t="n"/>
      <c r="C823" s="8" t="n"/>
      <c r="D823" s="62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61" t="n"/>
      <c r="N823" s="63" t="n"/>
      <c r="O823" s="8" t="n"/>
      <c r="P823" s="8" t="n"/>
      <c r="Q823" s="8" t="n"/>
      <c r="R823" s="8" t="n"/>
      <c r="S823" s="8" t="n"/>
      <c r="T823" s="8" t="n"/>
      <c r="U823" s="8" t="n"/>
      <c r="V823" s="8" t="n"/>
    </row>
    <row r="824">
      <c r="A824" s="8" t="n"/>
      <c r="B824" s="61" t="n"/>
      <c r="C824" s="8" t="n"/>
      <c r="D824" s="62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61" t="n"/>
      <c r="N824" s="63" t="n"/>
      <c r="O824" s="8" t="n"/>
      <c r="P824" s="8" t="n"/>
      <c r="Q824" s="8" t="n"/>
      <c r="R824" s="8" t="n"/>
      <c r="S824" s="8" t="n"/>
      <c r="T824" s="8" t="n"/>
      <c r="U824" s="8" t="n"/>
      <c r="V824" s="8" t="n"/>
    </row>
    <row r="825">
      <c r="A825" s="8" t="n"/>
      <c r="B825" s="61" t="n"/>
      <c r="C825" s="8" t="n"/>
      <c r="D825" s="62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61" t="n"/>
      <c r="N825" s="63" t="n"/>
      <c r="O825" s="8" t="n"/>
      <c r="P825" s="8" t="n"/>
      <c r="Q825" s="8" t="n"/>
      <c r="R825" s="8" t="n"/>
      <c r="S825" s="8" t="n"/>
      <c r="T825" s="8" t="n"/>
      <c r="U825" s="8" t="n"/>
      <c r="V825" s="8" t="n"/>
    </row>
    <row r="826">
      <c r="A826" s="8" t="n"/>
      <c r="B826" s="61" t="n"/>
      <c r="C826" s="8" t="n"/>
      <c r="D826" s="62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61" t="n"/>
      <c r="N826" s="63" t="n"/>
      <c r="O826" s="8" t="n"/>
      <c r="P826" s="8" t="n"/>
      <c r="Q826" s="8" t="n"/>
      <c r="R826" s="8" t="n"/>
      <c r="S826" s="8" t="n"/>
      <c r="T826" s="8" t="n"/>
      <c r="U826" s="8" t="n"/>
      <c r="V826" s="8" t="n"/>
    </row>
    <row r="827">
      <c r="A827" s="8" t="n"/>
      <c r="B827" s="61" t="n"/>
      <c r="C827" s="8" t="n"/>
      <c r="D827" s="62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61" t="n"/>
      <c r="N827" s="63" t="n"/>
      <c r="O827" s="8" t="n"/>
      <c r="P827" s="8" t="n"/>
      <c r="Q827" s="8" t="n"/>
      <c r="R827" s="8" t="n"/>
      <c r="S827" s="8" t="n"/>
      <c r="T827" s="8" t="n"/>
      <c r="U827" s="8" t="n"/>
      <c r="V827" s="8" t="n"/>
    </row>
    <row r="828">
      <c r="A828" s="8" t="n"/>
      <c r="B828" s="61" t="n"/>
      <c r="C828" s="8" t="n"/>
      <c r="D828" s="62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61" t="n"/>
      <c r="N828" s="63" t="n"/>
      <c r="O828" s="8" t="n"/>
      <c r="P828" s="8" t="n"/>
      <c r="Q828" s="8" t="n"/>
      <c r="R828" s="8" t="n"/>
      <c r="S828" s="8" t="n"/>
      <c r="T828" s="8" t="n"/>
      <c r="U828" s="8" t="n"/>
      <c r="V828" s="8" t="n"/>
    </row>
    <row r="829">
      <c r="A829" s="8" t="n"/>
      <c r="B829" s="61" t="n"/>
      <c r="C829" s="8" t="n"/>
      <c r="D829" s="62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61" t="n"/>
      <c r="N829" s="63" t="n"/>
      <c r="O829" s="8" t="n"/>
      <c r="P829" s="8" t="n"/>
      <c r="Q829" s="8" t="n"/>
      <c r="R829" s="8" t="n"/>
      <c r="S829" s="8" t="n"/>
      <c r="T829" s="8" t="n"/>
      <c r="U829" s="8" t="n"/>
      <c r="V829" s="8" t="n"/>
    </row>
    <row r="830">
      <c r="A830" s="8" t="n"/>
      <c r="B830" s="61" t="n"/>
      <c r="C830" s="8" t="n"/>
      <c r="D830" s="62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61" t="n"/>
      <c r="N830" s="63" t="n"/>
      <c r="O830" s="8" t="n"/>
      <c r="P830" s="8" t="n"/>
      <c r="Q830" s="8" t="n"/>
      <c r="R830" s="8" t="n"/>
      <c r="S830" s="8" t="n"/>
      <c r="T830" s="8" t="n"/>
      <c r="U830" s="8" t="n"/>
      <c r="V830" s="8" t="n"/>
    </row>
    <row r="831">
      <c r="A831" s="8" t="n"/>
      <c r="B831" s="61" t="n"/>
      <c r="C831" s="8" t="n"/>
      <c r="D831" s="62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61" t="n"/>
      <c r="N831" s="63" t="n"/>
      <c r="O831" s="8" t="n"/>
      <c r="P831" s="8" t="n"/>
      <c r="Q831" s="8" t="n"/>
      <c r="R831" s="8" t="n"/>
      <c r="S831" s="8" t="n"/>
      <c r="T831" s="8" t="n"/>
      <c r="U831" s="8" t="n"/>
      <c r="V831" s="8" t="n"/>
    </row>
    <row r="832">
      <c r="A832" s="8" t="n"/>
      <c r="B832" s="61" t="n"/>
      <c r="C832" s="8" t="n"/>
      <c r="D832" s="62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61" t="n"/>
      <c r="N832" s="63" t="n"/>
      <c r="O832" s="8" t="n"/>
      <c r="P832" s="8" t="n"/>
      <c r="Q832" s="8" t="n"/>
      <c r="R832" s="8" t="n"/>
      <c r="S832" s="8" t="n"/>
      <c r="T832" s="8" t="n"/>
      <c r="U832" s="8" t="n"/>
      <c r="V832" s="8" t="n"/>
    </row>
    <row r="833">
      <c r="A833" s="8" t="n"/>
      <c r="B833" s="61" t="n"/>
      <c r="C833" s="8" t="n"/>
      <c r="D833" s="62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61" t="n"/>
      <c r="N833" s="63" t="n"/>
      <c r="O833" s="8" t="n"/>
      <c r="P833" s="8" t="n"/>
      <c r="Q833" s="8" t="n"/>
      <c r="R833" s="8" t="n"/>
      <c r="S833" s="8" t="n"/>
      <c r="T833" s="8" t="n"/>
      <c r="U833" s="8" t="n"/>
      <c r="V833" s="8" t="n"/>
    </row>
    <row r="834">
      <c r="A834" s="8" t="n"/>
      <c r="B834" s="61" t="n"/>
      <c r="C834" s="8" t="n"/>
      <c r="D834" s="62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61" t="n"/>
      <c r="N834" s="63" t="n"/>
      <c r="O834" s="8" t="n"/>
      <c r="P834" s="8" t="n"/>
      <c r="Q834" s="8" t="n"/>
      <c r="R834" s="8" t="n"/>
      <c r="S834" s="8" t="n"/>
      <c r="T834" s="8" t="n"/>
      <c r="U834" s="8" t="n"/>
      <c r="V834" s="8" t="n"/>
    </row>
    <row r="835">
      <c r="A835" s="8" t="n"/>
      <c r="B835" s="61" t="n"/>
      <c r="C835" s="8" t="n"/>
      <c r="D835" s="62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61" t="n"/>
      <c r="N835" s="63" t="n"/>
      <c r="O835" s="8" t="n"/>
      <c r="P835" s="8" t="n"/>
      <c r="Q835" s="8" t="n"/>
      <c r="R835" s="8" t="n"/>
      <c r="S835" s="8" t="n"/>
      <c r="T835" s="8" t="n"/>
      <c r="U835" s="8" t="n"/>
      <c r="V835" s="8" t="n"/>
    </row>
    <row r="836">
      <c r="A836" s="8" t="n"/>
      <c r="B836" s="61" t="n"/>
      <c r="C836" s="8" t="n"/>
      <c r="D836" s="62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61" t="n"/>
      <c r="N836" s="63" t="n"/>
      <c r="O836" s="8" t="n"/>
      <c r="P836" s="8" t="n"/>
      <c r="Q836" s="8" t="n"/>
      <c r="R836" s="8" t="n"/>
      <c r="S836" s="8" t="n"/>
      <c r="T836" s="8" t="n"/>
      <c r="U836" s="8" t="n"/>
      <c r="V836" s="8" t="n"/>
    </row>
    <row r="837">
      <c r="A837" s="8" t="n"/>
      <c r="B837" s="61" t="n"/>
      <c r="C837" s="8" t="n"/>
      <c r="D837" s="62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61" t="n"/>
      <c r="N837" s="63" t="n"/>
      <c r="O837" s="8" t="n"/>
      <c r="P837" s="8" t="n"/>
      <c r="Q837" s="8" t="n"/>
      <c r="R837" s="8" t="n"/>
      <c r="S837" s="8" t="n"/>
      <c r="T837" s="8" t="n"/>
      <c r="U837" s="8" t="n"/>
      <c r="V837" s="8" t="n"/>
    </row>
    <row r="838">
      <c r="A838" s="8" t="n"/>
      <c r="B838" s="61" t="n"/>
      <c r="C838" s="8" t="n"/>
      <c r="D838" s="62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61" t="n"/>
      <c r="N838" s="63" t="n"/>
      <c r="O838" s="8" t="n"/>
      <c r="P838" s="8" t="n"/>
      <c r="Q838" s="8" t="n"/>
      <c r="R838" s="8" t="n"/>
      <c r="S838" s="8" t="n"/>
      <c r="T838" s="8" t="n"/>
      <c r="U838" s="8" t="n"/>
      <c r="V838" s="8" t="n"/>
    </row>
    <row r="839">
      <c r="A839" s="8" t="n"/>
      <c r="B839" s="61" t="n"/>
      <c r="C839" s="8" t="n"/>
      <c r="D839" s="62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61" t="n"/>
      <c r="N839" s="63" t="n"/>
      <c r="O839" s="8" t="n"/>
      <c r="P839" s="8" t="n"/>
      <c r="Q839" s="8" t="n"/>
      <c r="R839" s="8" t="n"/>
      <c r="S839" s="8" t="n"/>
      <c r="T839" s="8" t="n"/>
      <c r="U839" s="8" t="n"/>
      <c r="V839" s="8" t="n"/>
    </row>
    <row r="840">
      <c r="A840" s="8" t="n"/>
      <c r="B840" s="61" t="n"/>
      <c r="C840" s="8" t="n"/>
      <c r="D840" s="62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61" t="n"/>
      <c r="N840" s="63" t="n"/>
      <c r="O840" s="8" t="n"/>
      <c r="P840" s="8" t="n"/>
      <c r="Q840" s="8" t="n"/>
      <c r="R840" s="8" t="n"/>
      <c r="S840" s="8" t="n"/>
      <c r="T840" s="8" t="n"/>
      <c r="U840" s="8" t="n"/>
      <c r="V840" s="8" t="n"/>
    </row>
    <row r="841">
      <c r="A841" s="8" t="n"/>
      <c r="B841" s="61" t="n"/>
      <c r="C841" s="8" t="n"/>
      <c r="D841" s="62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61" t="n"/>
      <c r="N841" s="63" t="n"/>
      <c r="O841" s="8" t="n"/>
      <c r="P841" s="8" t="n"/>
      <c r="Q841" s="8" t="n"/>
      <c r="R841" s="8" t="n"/>
      <c r="S841" s="8" t="n"/>
      <c r="T841" s="8" t="n"/>
      <c r="U841" s="8" t="n"/>
      <c r="V841" s="8" t="n"/>
    </row>
    <row r="842">
      <c r="A842" s="8" t="n"/>
      <c r="B842" s="61" t="n"/>
      <c r="C842" s="8" t="n"/>
      <c r="D842" s="62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61" t="n"/>
      <c r="N842" s="63" t="n"/>
      <c r="O842" s="8" t="n"/>
      <c r="P842" s="8" t="n"/>
      <c r="Q842" s="8" t="n"/>
      <c r="R842" s="8" t="n"/>
      <c r="S842" s="8" t="n"/>
      <c r="T842" s="8" t="n"/>
      <c r="U842" s="8" t="n"/>
      <c r="V842" s="8" t="n"/>
    </row>
    <row r="843">
      <c r="A843" s="8" t="n"/>
      <c r="B843" s="61" t="n"/>
      <c r="C843" s="8" t="n"/>
      <c r="D843" s="62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61" t="n"/>
      <c r="N843" s="63" t="n"/>
      <c r="O843" s="8" t="n"/>
      <c r="P843" s="8" t="n"/>
      <c r="Q843" s="8" t="n"/>
      <c r="R843" s="8" t="n"/>
      <c r="S843" s="8" t="n"/>
      <c r="T843" s="8" t="n"/>
      <c r="U843" s="8" t="n"/>
      <c r="V843" s="8" t="n"/>
    </row>
    <row r="844">
      <c r="A844" s="8" t="n"/>
      <c r="B844" s="61" t="n"/>
      <c r="C844" s="8" t="n"/>
      <c r="D844" s="62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61" t="n"/>
      <c r="N844" s="63" t="n"/>
      <c r="O844" s="8" t="n"/>
      <c r="P844" s="8" t="n"/>
      <c r="Q844" s="8" t="n"/>
      <c r="R844" s="8" t="n"/>
      <c r="S844" s="8" t="n"/>
      <c r="T844" s="8" t="n"/>
      <c r="U844" s="8" t="n"/>
      <c r="V844" s="8" t="n"/>
    </row>
    <row r="845">
      <c r="A845" s="8" t="n"/>
      <c r="B845" s="61" t="n"/>
      <c r="C845" s="8" t="n"/>
      <c r="D845" s="62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61" t="n"/>
      <c r="N845" s="63" t="n"/>
      <c r="O845" s="8" t="n"/>
      <c r="P845" s="8" t="n"/>
      <c r="Q845" s="8" t="n"/>
      <c r="R845" s="8" t="n"/>
      <c r="S845" s="8" t="n"/>
      <c r="T845" s="8" t="n"/>
      <c r="U845" s="8" t="n"/>
      <c r="V845" s="8" t="n"/>
    </row>
    <row r="846">
      <c r="A846" s="8" t="n"/>
      <c r="B846" s="61" t="n"/>
      <c r="C846" s="8" t="n"/>
      <c r="D846" s="62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61" t="n"/>
      <c r="N846" s="63" t="n"/>
      <c r="O846" s="8" t="n"/>
      <c r="P846" s="8" t="n"/>
      <c r="Q846" s="8" t="n"/>
      <c r="R846" s="8" t="n"/>
      <c r="S846" s="8" t="n"/>
      <c r="T846" s="8" t="n"/>
      <c r="U846" s="8" t="n"/>
      <c r="V846" s="8" t="n"/>
    </row>
    <row r="847">
      <c r="A847" s="8" t="n"/>
      <c r="B847" s="61" t="n"/>
      <c r="C847" s="8" t="n"/>
      <c r="D847" s="62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61" t="n"/>
      <c r="N847" s="63" t="n"/>
      <c r="O847" s="8" t="n"/>
      <c r="P847" s="8" t="n"/>
      <c r="Q847" s="8" t="n"/>
      <c r="R847" s="8" t="n"/>
      <c r="S847" s="8" t="n"/>
      <c r="T847" s="8" t="n"/>
      <c r="U847" s="8" t="n"/>
      <c r="V847" s="8" t="n"/>
    </row>
    <row r="848">
      <c r="A848" s="8" t="n"/>
      <c r="B848" s="61" t="n"/>
      <c r="C848" s="8" t="n"/>
      <c r="D848" s="62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61" t="n"/>
      <c r="N848" s="63" t="n"/>
      <c r="O848" s="8" t="n"/>
      <c r="P848" s="8" t="n"/>
      <c r="Q848" s="8" t="n"/>
      <c r="R848" s="8" t="n"/>
      <c r="S848" s="8" t="n"/>
      <c r="T848" s="8" t="n"/>
      <c r="U848" s="8" t="n"/>
      <c r="V848" s="8" t="n"/>
    </row>
    <row r="849">
      <c r="A849" s="8" t="n"/>
      <c r="B849" s="61" t="n"/>
      <c r="C849" s="8" t="n"/>
      <c r="D849" s="62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61" t="n"/>
      <c r="N849" s="63" t="n"/>
      <c r="O849" s="8" t="n"/>
      <c r="P849" s="8" t="n"/>
      <c r="Q849" s="8" t="n"/>
      <c r="R849" s="8" t="n"/>
      <c r="S849" s="8" t="n"/>
      <c r="T849" s="8" t="n"/>
      <c r="U849" s="8" t="n"/>
      <c r="V849" s="8" t="n"/>
    </row>
    <row r="850">
      <c r="A850" s="8" t="n"/>
      <c r="B850" s="61" t="n"/>
      <c r="C850" s="8" t="n"/>
      <c r="D850" s="62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61" t="n"/>
      <c r="N850" s="63" t="n"/>
      <c r="O850" s="8" t="n"/>
      <c r="P850" s="8" t="n"/>
      <c r="Q850" s="8" t="n"/>
      <c r="R850" s="8" t="n"/>
      <c r="S850" s="8" t="n"/>
      <c r="T850" s="8" t="n"/>
      <c r="U850" s="8" t="n"/>
      <c r="V850" s="8" t="n"/>
    </row>
    <row r="851">
      <c r="A851" s="8" t="n"/>
      <c r="B851" s="61" t="n"/>
      <c r="C851" s="8" t="n"/>
      <c r="D851" s="62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61" t="n"/>
      <c r="N851" s="63" t="n"/>
      <c r="O851" s="8" t="n"/>
      <c r="P851" s="8" t="n"/>
      <c r="Q851" s="8" t="n"/>
      <c r="R851" s="8" t="n"/>
      <c r="S851" s="8" t="n"/>
      <c r="T851" s="8" t="n"/>
      <c r="U851" s="8" t="n"/>
      <c r="V851" s="8" t="n"/>
    </row>
    <row r="852">
      <c r="A852" s="8" t="n"/>
      <c r="B852" s="61" t="n"/>
      <c r="C852" s="8" t="n"/>
      <c r="D852" s="62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61" t="n"/>
      <c r="N852" s="63" t="n"/>
      <c r="O852" s="8" t="n"/>
      <c r="P852" s="8" t="n"/>
      <c r="Q852" s="8" t="n"/>
      <c r="R852" s="8" t="n"/>
      <c r="S852" s="8" t="n"/>
      <c r="T852" s="8" t="n"/>
      <c r="U852" s="8" t="n"/>
      <c r="V852" s="8" t="n"/>
    </row>
    <row r="853">
      <c r="A853" s="8" t="n"/>
      <c r="B853" s="61" t="n"/>
      <c r="C853" s="8" t="n"/>
      <c r="D853" s="62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61" t="n"/>
      <c r="N853" s="63" t="n"/>
      <c r="O853" s="8" t="n"/>
      <c r="P853" s="8" t="n"/>
      <c r="Q853" s="8" t="n"/>
      <c r="R853" s="8" t="n"/>
      <c r="S853" s="8" t="n"/>
      <c r="T853" s="8" t="n"/>
      <c r="U853" s="8" t="n"/>
      <c r="V853" s="8" t="n"/>
    </row>
    <row r="854">
      <c r="A854" s="8" t="n"/>
      <c r="B854" s="61" t="n"/>
      <c r="C854" s="8" t="n"/>
      <c r="D854" s="62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61" t="n"/>
      <c r="N854" s="63" t="n"/>
      <c r="O854" s="8" t="n"/>
      <c r="P854" s="8" t="n"/>
      <c r="Q854" s="8" t="n"/>
      <c r="R854" s="8" t="n"/>
      <c r="S854" s="8" t="n"/>
      <c r="T854" s="8" t="n"/>
      <c r="U854" s="8" t="n"/>
      <c r="V854" s="8" t="n"/>
    </row>
    <row r="855">
      <c r="A855" s="8" t="n"/>
      <c r="B855" s="61" t="n"/>
      <c r="C855" s="8" t="n"/>
      <c r="D855" s="62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61" t="n"/>
      <c r="N855" s="63" t="n"/>
      <c r="O855" s="8" t="n"/>
      <c r="P855" s="8" t="n"/>
      <c r="Q855" s="8" t="n"/>
      <c r="R855" s="8" t="n"/>
      <c r="S855" s="8" t="n"/>
      <c r="T855" s="8" t="n"/>
      <c r="U855" s="8" t="n"/>
      <c r="V855" s="8" t="n"/>
    </row>
    <row r="856">
      <c r="A856" s="8" t="n"/>
      <c r="B856" s="61" t="n"/>
      <c r="C856" s="8" t="n"/>
      <c r="D856" s="62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61" t="n"/>
      <c r="N856" s="63" t="n"/>
      <c r="O856" s="8" t="n"/>
      <c r="P856" s="8" t="n"/>
      <c r="Q856" s="8" t="n"/>
      <c r="R856" s="8" t="n"/>
      <c r="S856" s="8" t="n"/>
      <c r="T856" s="8" t="n"/>
      <c r="U856" s="8" t="n"/>
      <c r="V856" s="8" t="n"/>
    </row>
    <row r="857">
      <c r="A857" s="8" t="n"/>
      <c r="B857" s="61" t="n"/>
      <c r="C857" s="8" t="n"/>
      <c r="D857" s="62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61" t="n"/>
      <c r="N857" s="63" t="n"/>
      <c r="O857" s="8" t="n"/>
      <c r="P857" s="8" t="n"/>
      <c r="Q857" s="8" t="n"/>
      <c r="R857" s="8" t="n"/>
      <c r="S857" s="8" t="n"/>
      <c r="T857" s="8" t="n"/>
      <c r="U857" s="8" t="n"/>
      <c r="V857" s="8" t="n"/>
    </row>
    <row r="858">
      <c r="A858" s="8" t="n"/>
      <c r="B858" s="61" t="n"/>
      <c r="C858" s="8" t="n"/>
      <c r="D858" s="62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61" t="n"/>
      <c r="N858" s="63" t="n"/>
      <c r="O858" s="8" t="n"/>
      <c r="P858" s="8" t="n"/>
      <c r="Q858" s="8" t="n"/>
      <c r="R858" s="8" t="n"/>
      <c r="S858" s="8" t="n"/>
      <c r="T858" s="8" t="n"/>
      <c r="U858" s="8" t="n"/>
      <c r="V858" s="8" t="n"/>
    </row>
    <row r="859">
      <c r="A859" s="8" t="n"/>
      <c r="B859" s="61" t="n"/>
      <c r="C859" s="8" t="n"/>
      <c r="D859" s="62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61" t="n"/>
      <c r="N859" s="63" t="n"/>
      <c r="O859" s="8" t="n"/>
      <c r="P859" s="8" t="n"/>
      <c r="Q859" s="8" t="n"/>
      <c r="R859" s="8" t="n"/>
      <c r="S859" s="8" t="n"/>
      <c r="T859" s="8" t="n"/>
      <c r="U859" s="8" t="n"/>
      <c r="V859" s="8" t="n"/>
    </row>
    <row r="860">
      <c r="A860" s="8" t="n"/>
      <c r="B860" s="61" t="n"/>
      <c r="C860" s="8" t="n"/>
      <c r="D860" s="62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61" t="n"/>
      <c r="N860" s="63" t="n"/>
      <c r="O860" s="8" t="n"/>
      <c r="P860" s="8" t="n"/>
      <c r="Q860" s="8" t="n"/>
      <c r="R860" s="8" t="n"/>
      <c r="S860" s="8" t="n"/>
      <c r="T860" s="8" t="n"/>
      <c r="U860" s="8" t="n"/>
      <c r="V860" s="8" t="n"/>
    </row>
    <row r="861">
      <c r="A861" s="8" t="n"/>
      <c r="B861" s="61" t="n"/>
      <c r="C861" s="8" t="n"/>
      <c r="D861" s="62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61" t="n"/>
      <c r="N861" s="63" t="n"/>
      <c r="O861" s="8" t="n"/>
      <c r="P861" s="8" t="n"/>
      <c r="Q861" s="8" t="n"/>
      <c r="R861" s="8" t="n"/>
      <c r="S861" s="8" t="n"/>
      <c r="T861" s="8" t="n"/>
      <c r="U861" s="8" t="n"/>
      <c r="V861" s="8" t="n"/>
    </row>
    <row r="862">
      <c r="A862" s="8" t="n"/>
      <c r="B862" s="61" t="n"/>
      <c r="C862" s="8" t="n"/>
      <c r="D862" s="62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61" t="n"/>
      <c r="N862" s="63" t="n"/>
      <c r="O862" s="8" t="n"/>
      <c r="P862" s="8" t="n"/>
      <c r="Q862" s="8" t="n"/>
      <c r="R862" s="8" t="n"/>
      <c r="S862" s="8" t="n"/>
      <c r="T862" s="8" t="n"/>
      <c r="U862" s="8" t="n"/>
      <c r="V862" s="8" t="n"/>
    </row>
    <row r="863">
      <c r="A863" s="8" t="n"/>
      <c r="B863" s="61" t="n"/>
      <c r="C863" s="8" t="n"/>
      <c r="D863" s="62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61" t="n"/>
      <c r="N863" s="63" t="n"/>
      <c r="O863" s="8" t="n"/>
      <c r="P863" s="8" t="n"/>
      <c r="Q863" s="8" t="n"/>
      <c r="R863" s="8" t="n"/>
      <c r="S863" s="8" t="n"/>
      <c r="T863" s="8" t="n"/>
      <c r="U863" s="8" t="n"/>
      <c r="V863" s="8" t="n"/>
    </row>
    <row r="864">
      <c r="A864" s="8" t="n"/>
      <c r="B864" s="61" t="n"/>
      <c r="C864" s="8" t="n"/>
      <c r="D864" s="62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61" t="n"/>
      <c r="N864" s="63" t="n"/>
      <c r="O864" s="8" t="n"/>
      <c r="P864" s="8" t="n"/>
      <c r="Q864" s="8" t="n"/>
      <c r="R864" s="8" t="n"/>
      <c r="S864" s="8" t="n"/>
      <c r="T864" s="8" t="n"/>
      <c r="U864" s="8" t="n"/>
      <c r="V864" s="8" t="n"/>
    </row>
    <row r="865">
      <c r="A865" s="8" t="n"/>
      <c r="B865" s="61" t="n"/>
      <c r="C865" s="8" t="n"/>
      <c r="D865" s="62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61" t="n"/>
      <c r="N865" s="63" t="n"/>
      <c r="O865" s="8" t="n"/>
      <c r="P865" s="8" t="n"/>
      <c r="Q865" s="8" t="n"/>
      <c r="R865" s="8" t="n"/>
      <c r="S865" s="8" t="n"/>
      <c r="T865" s="8" t="n"/>
      <c r="U865" s="8" t="n"/>
      <c r="V865" s="8" t="n"/>
    </row>
    <row r="866">
      <c r="A866" s="8" t="n"/>
      <c r="B866" s="61" t="n"/>
      <c r="C866" s="8" t="n"/>
      <c r="D866" s="62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61" t="n"/>
      <c r="N866" s="63" t="n"/>
      <c r="O866" s="8" t="n"/>
      <c r="P866" s="8" t="n"/>
      <c r="Q866" s="8" t="n"/>
      <c r="R866" s="8" t="n"/>
      <c r="S866" s="8" t="n"/>
      <c r="T866" s="8" t="n"/>
      <c r="U866" s="8" t="n"/>
      <c r="V866" s="8" t="n"/>
    </row>
    <row r="867">
      <c r="A867" s="8" t="n"/>
      <c r="B867" s="61" t="n"/>
      <c r="C867" s="8" t="n"/>
      <c r="D867" s="62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61" t="n"/>
      <c r="N867" s="63" t="n"/>
      <c r="O867" s="8" t="n"/>
      <c r="P867" s="8" t="n"/>
      <c r="Q867" s="8" t="n"/>
      <c r="R867" s="8" t="n"/>
      <c r="S867" s="8" t="n"/>
      <c r="T867" s="8" t="n"/>
      <c r="U867" s="8" t="n"/>
      <c r="V867" s="8" t="n"/>
    </row>
    <row r="868">
      <c r="A868" s="8" t="n"/>
      <c r="B868" s="61" t="n"/>
      <c r="C868" s="8" t="n"/>
      <c r="D868" s="62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61" t="n"/>
      <c r="N868" s="63" t="n"/>
      <c r="O868" s="8" t="n"/>
      <c r="P868" s="8" t="n"/>
      <c r="Q868" s="8" t="n"/>
      <c r="R868" s="8" t="n"/>
      <c r="S868" s="8" t="n"/>
      <c r="T868" s="8" t="n"/>
      <c r="U868" s="8" t="n"/>
      <c r="V868" s="8" t="n"/>
    </row>
    <row r="869">
      <c r="A869" s="8" t="n"/>
      <c r="B869" s="61" t="n"/>
      <c r="C869" s="8" t="n"/>
      <c r="D869" s="62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61" t="n"/>
      <c r="N869" s="63" t="n"/>
      <c r="O869" s="8" t="n"/>
      <c r="P869" s="8" t="n"/>
      <c r="Q869" s="8" t="n"/>
      <c r="R869" s="8" t="n"/>
      <c r="S869" s="8" t="n"/>
      <c r="T869" s="8" t="n"/>
      <c r="U869" s="8" t="n"/>
      <c r="V869" s="8" t="n"/>
    </row>
    <row r="870">
      <c r="A870" s="8" t="n"/>
      <c r="B870" s="61" t="n"/>
      <c r="C870" s="8" t="n"/>
      <c r="D870" s="62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61" t="n"/>
      <c r="N870" s="63" t="n"/>
      <c r="O870" s="8" t="n"/>
      <c r="P870" s="8" t="n"/>
      <c r="Q870" s="8" t="n"/>
      <c r="R870" s="8" t="n"/>
      <c r="S870" s="8" t="n"/>
      <c r="T870" s="8" t="n"/>
      <c r="U870" s="8" t="n"/>
      <c r="V870" s="8" t="n"/>
    </row>
    <row r="871">
      <c r="A871" s="8" t="n"/>
      <c r="B871" s="61" t="n"/>
      <c r="C871" s="8" t="n"/>
      <c r="D871" s="62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61" t="n"/>
      <c r="N871" s="63" t="n"/>
      <c r="O871" s="8" t="n"/>
      <c r="P871" s="8" t="n"/>
      <c r="Q871" s="8" t="n"/>
      <c r="R871" s="8" t="n"/>
      <c r="S871" s="8" t="n"/>
      <c r="T871" s="8" t="n"/>
      <c r="U871" s="8" t="n"/>
      <c r="V871" s="8" t="n"/>
    </row>
    <row r="872">
      <c r="A872" s="8" t="n"/>
      <c r="B872" s="61" t="n"/>
      <c r="C872" s="8" t="n"/>
      <c r="D872" s="62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61" t="n"/>
      <c r="N872" s="63" t="n"/>
      <c r="O872" s="8" t="n"/>
      <c r="P872" s="8" t="n"/>
      <c r="Q872" s="8" t="n"/>
      <c r="R872" s="8" t="n"/>
      <c r="S872" s="8" t="n"/>
      <c r="T872" s="8" t="n"/>
      <c r="U872" s="8" t="n"/>
      <c r="V872" s="8" t="n"/>
    </row>
    <row r="873">
      <c r="A873" s="8" t="n"/>
      <c r="B873" s="61" t="n"/>
      <c r="C873" s="8" t="n"/>
      <c r="D873" s="62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61" t="n"/>
      <c r="N873" s="63" t="n"/>
      <c r="O873" s="8" t="n"/>
      <c r="P873" s="8" t="n"/>
      <c r="Q873" s="8" t="n"/>
      <c r="R873" s="8" t="n"/>
      <c r="S873" s="8" t="n"/>
      <c r="T873" s="8" t="n"/>
      <c r="U873" s="8" t="n"/>
      <c r="V873" s="8" t="n"/>
    </row>
    <row r="874">
      <c r="A874" s="8" t="n"/>
      <c r="B874" s="61" t="n"/>
      <c r="C874" s="8" t="n"/>
      <c r="D874" s="62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61" t="n"/>
      <c r="N874" s="63" t="n"/>
      <c r="O874" s="8" t="n"/>
      <c r="P874" s="8" t="n"/>
      <c r="Q874" s="8" t="n"/>
      <c r="R874" s="8" t="n"/>
      <c r="S874" s="8" t="n"/>
      <c r="T874" s="8" t="n"/>
      <c r="U874" s="8" t="n"/>
      <c r="V874" s="8" t="n"/>
    </row>
    <row r="875">
      <c r="A875" s="8" t="n"/>
      <c r="B875" s="61" t="n"/>
      <c r="C875" s="8" t="n"/>
      <c r="D875" s="62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61" t="n"/>
      <c r="N875" s="63" t="n"/>
      <c r="O875" s="8" t="n"/>
      <c r="P875" s="8" t="n"/>
      <c r="Q875" s="8" t="n"/>
      <c r="R875" s="8" t="n"/>
      <c r="S875" s="8" t="n"/>
      <c r="T875" s="8" t="n"/>
      <c r="U875" s="8" t="n"/>
      <c r="V875" s="8" t="n"/>
    </row>
    <row r="876">
      <c r="A876" s="8" t="n"/>
      <c r="B876" s="61" t="n"/>
      <c r="C876" s="8" t="n"/>
      <c r="D876" s="62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61" t="n"/>
      <c r="N876" s="63" t="n"/>
      <c r="O876" s="8" t="n"/>
      <c r="P876" s="8" t="n"/>
      <c r="Q876" s="8" t="n"/>
      <c r="R876" s="8" t="n"/>
      <c r="S876" s="8" t="n"/>
      <c r="T876" s="8" t="n"/>
      <c r="U876" s="8" t="n"/>
      <c r="V876" s="8" t="n"/>
    </row>
    <row r="877">
      <c r="A877" s="8" t="n"/>
      <c r="B877" s="61" t="n"/>
      <c r="C877" s="8" t="n"/>
      <c r="D877" s="62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61" t="n"/>
      <c r="N877" s="63" t="n"/>
      <c r="O877" s="8" t="n"/>
      <c r="P877" s="8" t="n"/>
      <c r="Q877" s="8" t="n"/>
      <c r="R877" s="8" t="n"/>
      <c r="S877" s="8" t="n"/>
      <c r="T877" s="8" t="n"/>
      <c r="U877" s="8" t="n"/>
      <c r="V877" s="8" t="n"/>
    </row>
    <row r="878">
      <c r="A878" s="8" t="n"/>
      <c r="B878" s="61" t="n"/>
      <c r="C878" s="8" t="n"/>
      <c r="D878" s="62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61" t="n"/>
      <c r="N878" s="63" t="n"/>
      <c r="O878" s="8" t="n"/>
      <c r="P878" s="8" t="n"/>
      <c r="Q878" s="8" t="n"/>
      <c r="R878" s="8" t="n"/>
      <c r="S878" s="8" t="n"/>
      <c r="T878" s="8" t="n"/>
      <c r="U878" s="8" t="n"/>
      <c r="V878" s="8" t="n"/>
    </row>
    <row r="879">
      <c r="A879" s="8" t="n"/>
      <c r="B879" s="61" t="n"/>
      <c r="C879" s="8" t="n"/>
      <c r="D879" s="62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61" t="n"/>
      <c r="N879" s="63" t="n"/>
      <c r="O879" s="8" t="n"/>
      <c r="P879" s="8" t="n"/>
      <c r="Q879" s="8" t="n"/>
      <c r="R879" s="8" t="n"/>
      <c r="S879" s="8" t="n"/>
      <c r="T879" s="8" t="n"/>
      <c r="U879" s="8" t="n"/>
      <c r="V879" s="8" t="n"/>
    </row>
    <row r="880">
      <c r="A880" s="8" t="n"/>
      <c r="B880" s="61" t="n"/>
      <c r="C880" s="8" t="n"/>
      <c r="D880" s="62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61" t="n"/>
      <c r="N880" s="63" t="n"/>
      <c r="O880" s="8" t="n"/>
      <c r="P880" s="8" t="n"/>
      <c r="Q880" s="8" t="n"/>
      <c r="R880" s="8" t="n"/>
      <c r="S880" s="8" t="n"/>
      <c r="T880" s="8" t="n"/>
      <c r="U880" s="8" t="n"/>
      <c r="V880" s="8" t="n"/>
    </row>
    <row r="881">
      <c r="A881" s="8" t="n"/>
      <c r="B881" s="61" t="n"/>
      <c r="C881" s="8" t="n"/>
      <c r="D881" s="62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61" t="n"/>
      <c r="N881" s="63" t="n"/>
      <c r="O881" s="8" t="n"/>
      <c r="P881" s="8" t="n"/>
      <c r="Q881" s="8" t="n"/>
      <c r="R881" s="8" t="n"/>
      <c r="S881" s="8" t="n"/>
      <c r="T881" s="8" t="n"/>
      <c r="U881" s="8" t="n"/>
      <c r="V881" s="8" t="n"/>
    </row>
    <row r="882">
      <c r="A882" s="8" t="n"/>
      <c r="B882" s="61" t="n"/>
      <c r="C882" s="8" t="n"/>
      <c r="D882" s="62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61" t="n"/>
      <c r="N882" s="63" t="n"/>
      <c r="O882" s="8" t="n"/>
      <c r="P882" s="8" t="n"/>
      <c r="Q882" s="8" t="n"/>
      <c r="R882" s="8" t="n"/>
      <c r="S882" s="8" t="n"/>
      <c r="T882" s="8" t="n"/>
      <c r="U882" s="8" t="n"/>
      <c r="V882" s="8" t="n"/>
    </row>
    <row r="883">
      <c r="A883" s="8" t="n"/>
      <c r="B883" s="61" t="n"/>
      <c r="C883" s="8" t="n"/>
      <c r="D883" s="62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61" t="n"/>
      <c r="N883" s="63" t="n"/>
      <c r="O883" s="8" t="n"/>
      <c r="P883" s="8" t="n"/>
      <c r="Q883" s="8" t="n"/>
      <c r="R883" s="8" t="n"/>
      <c r="S883" s="8" t="n"/>
      <c r="T883" s="8" t="n"/>
      <c r="U883" s="8" t="n"/>
      <c r="V883" s="8" t="n"/>
    </row>
    <row r="884">
      <c r="A884" s="8" t="n"/>
      <c r="B884" s="61" t="n"/>
      <c r="C884" s="8" t="n"/>
      <c r="D884" s="62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61" t="n"/>
      <c r="N884" s="63" t="n"/>
      <c r="O884" s="8" t="n"/>
      <c r="P884" s="8" t="n"/>
      <c r="Q884" s="8" t="n"/>
      <c r="R884" s="8" t="n"/>
      <c r="S884" s="8" t="n"/>
      <c r="T884" s="8" t="n"/>
      <c r="U884" s="8" t="n"/>
      <c r="V884" s="8" t="n"/>
    </row>
    <row r="885">
      <c r="A885" s="8" t="n"/>
      <c r="B885" s="61" t="n"/>
      <c r="C885" s="8" t="n"/>
      <c r="D885" s="62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61" t="n"/>
      <c r="N885" s="63" t="n"/>
      <c r="O885" s="8" t="n"/>
      <c r="P885" s="8" t="n"/>
      <c r="Q885" s="8" t="n"/>
      <c r="R885" s="8" t="n"/>
      <c r="S885" s="8" t="n"/>
      <c r="T885" s="8" t="n"/>
      <c r="U885" s="8" t="n"/>
      <c r="V885" s="8" t="n"/>
    </row>
    <row r="886">
      <c r="A886" s="8" t="n"/>
      <c r="B886" s="61" t="n"/>
      <c r="C886" s="8" t="n"/>
      <c r="D886" s="62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61" t="n"/>
      <c r="N886" s="63" t="n"/>
      <c r="O886" s="8" t="n"/>
      <c r="P886" s="8" t="n"/>
      <c r="Q886" s="8" t="n"/>
      <c r="R886" s="8" t="n"/>
      <c r="S886" s="8" t="n"/>
      <c r="T886" s="8" t="n"/>
      <c r="U886" s="8" t="n"/>
      <c r="V886" s="8" t="n"/>
    </row>
    <row r="887">
      <c r="A887" s="8" t="n"/>
      <c r="B887" s="61" t="n"/>
      <c r="C887" s="8" t="n"/>
      <c r="D887" s="62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61" t="n"/>
      <c r="N887" s="63" t="n"/>
      <c r="O887" s="8" t="n"/>
      <c r="P887" s="8" t="n"/>
      <c r="Q887" s="8" t="n"/>
      <c r="R887" s="8" t="n"/>
      <c r="S887" s="8" t="n"/>
      <c r="T887" s="8" t="n"/>
      <c r="U887" s="8" t="n"/>
      <c r="V887" s="8" t="n"/>
    </row>
    <row r="888">
      <c r="A888" s="8" t="n"/>
      <c r="B888" s="61" t="n"/>
      <c r="C888" s="8" t="n"/>
      <c r="D888" s="62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61" t="n"/>
      <c r="N888" s="63" t="n"/>
      <c r="O888" s="8" t="n"/>
      <c r="P888" s="8" t="n"/>
      <c r="Q888" s="8" t="n"/>
      <c r="R888" s="8" t="n"/>
      <c r="S888" s="8" t="n"/>
      <c r="T888" s="8" t="n"/>
      <c r="U888" s="8" t="n"/>
      <c r="V888" s="8" t="n"/>
    </row>
    <row r="889">
      <c r="A889" s="8" t="n"/>
      <c r="B889" s="61" t="n"/>
      <c r="C889" s="8" t="n"/>
      <c r="D889" s="62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61" t="n"/>
      <c r="N889" s="63" t="n"/>
      <c r="O889" s="8" t="n"/>
      <c r="P889" s="8" t="n"/>
      <c r="Q889" s="8" t="n"/>
      <c r="R889" s="8" t="n"/>
      <c r="S889" s="8" t="n"/>
      <c r="T889" s="8" t="n"/>
      <c r="U889" s="8" t="n"/>
      <c r="V889" s="8" t="n"/>
    </row>
    <row r="890">
      <c r="A890" s="8" t="n"/>
      <c r="B890" s="61" t="n"/>
      <c r="C890" s="8" t="n"/>
      <c r="D890" s="62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61" t="n"/>
      <c r="N890" s="63" t="n"/>
      <c r="O890" s="8" t="n"/>
      <c r="P890" s="8" t="n"/>
      <c r="Q890" s="8" t="n"/>
      <c r="R890" s="8" t="n"/>
      <c r="S890" s="8" t="n"/>
      <c r="T890" s="8" t="n"/>
      <c r="U890" s="8" t="n"/>
      <c r="V890" s="8" t="n"/>
    </row>
    <row r="891">
      <c r="A891" s="8" t="n"/>
      <c r="B891" s="61" t="n"/>
      <c r="C891" s="8" t="n"/>
      <c r="D891" s="62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61" t="n"/>
      <c r="N891" s="63" t="n"/>
      <c r="O891" s="8" t="n"/>
      <c r="P891" s="8" t="n"/>
      <c r="Q891" s="8" t="n"/>
      <c r="R891" s="8" t="n"/>
      <c r="S891" s="8" t="n"/>
      <c r="T891" s="8" t="n"/>
      <c r="U891" s="8" t="n"/>
      <c r="V891" s="8" t="n"/>
    </row>
    <row r="892">
      <c r="A892" s="8" t="n"/>
      <c r="B892" s="61" t="n"/>
      <c r="C892" s="8" t="n"/>
      <c r="D892" s="62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61" t="n"/>
      <c r="N892" s="63" t="n"/>
      <c r="O892" s="8" t="n"/>
      <c r="P892" s="8" t="n"/>
      <c r="Q892" s="8" t="n"/>
      <c r="R892" s="8" t="n"/>
      <c r="S892" s="8" t="n"/>
      <c r="T892" s="8" t="n"/>
      <c r="U892" s="8" t="n"/>
      <c r="V892" s="8" t="n"/>
    </row>
    <row r="893">
      <c r="A893" s="8" t="n"/>
      <c r="B893" s="61" t="n"/>
      <c r="C893" s="8" t="n"/>
      <c r="D893" s="62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61" t="n"/>
      <c r="N893" s="63" t="n"/>
      <c r="O893" s="8" t="n"/>
      <c r="P893" s="8" t="n"/>
      <c r="Q893" s="8" t="n"/>
      <c r="R893" s="8" t="n"/>
      <c r="S893" s="8" t="n"/>
      <c r="T893" s="8" t="n"/>
      <c r="U893" s="8" t="n"/>
      <c r="V893" s="8" t="n"/>
    </row>
    <row r="894">
      <c r="A894" s="8" t="n"/>
      <c r="B894" s="61" t="n"/>
      <c r="C894" s="8" t="n"/>
      <c r="D894" s="62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61" t="n"/>
      <c r="N894" s="63" t="n"/>
      <c r="O894" s="8" t="n"/>
      <c r="P894" s="8" t="n"/>
      <c r="Q894" s="8" t="n"/>
      <c r="R894" s="8" t="n"/>
      <c r="S894" s="8" t="n"/>
      <c r="T894" s="8" t="n"/>
      <c r="U894" s="8" t="n"/>
      <c r="V894" s="8" t="n"/>
    </row>
    <row r="895">
      <c r="A895" s="8" t="n"/>
      <c r="B895" s="61" t="n"/>
      <c r="C895" s="8" t="n"/>
      <c r="D895" s="62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61" t="n"/>
      <c r="N895" s="63" t="n"/>
      <c r="O895" s="8" t="n"/>
      <c r="P895" s="8" t="n"/>
      <c r="Q895" s="8" t="n"/>
      <c r="R895" s="8" t="n"/>
      <c r="S895" s="8" t="n"/>
      <c r="T895" s="8" t="n"/>
      <c r="U895" s="8" t="n"/>
      <c r="V895" s="8" t="n"/>
    </row>
    <row r="896">
      <c r="A896" s="8" t="n"/>
      <c r="B896" s="61" t="n"/>
      <c r="C896" s="8" t="n"/>
      <c r="D896" s="62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61" t="n"/>
      <c r="N896" s="63" t="n"/>
      <c r="O896" s="8" t="n"/>
      <c r="P896" s="8" t="n"/>
      <c r="Q896" s="8" t="n"/>
      <c r="R896" s="8" t="n"/>
      <c r="S896" s="8" t="n"/>
      <c r="T896" s="8" t="n"/>
      <c r="U896" s="8" t="n"/>
      <c r="V896" s="8" t="n"/>
    </row>
    <row r="897">
      <c r="A897" s="8" t="n"/>
      <c r="B897" s="61" t="n"/>
      <c r="C897" s="8" t="n"/>
      <c r="D897" s="62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61" t="n"/>
      <c r="N897" s="63" t="n"/>
      <c r="O897" s="8" t="n"/>
      <c r="P897" s="8" t="n"/>
      <c r="Q897" s="8" t="n"/>
      <c r="R897" s="8" t="n"/>
      <c r="S897" s="8" t="n"/>
      <c r="T897" s="8" t="n"/>
      <c r="U897" s="8" t="n"/>
      <c r="V897" s="8" t="n"/>
    </row>
    <row r="898">
      <c r="A898" s="8" t="n"/>
      <c r="B898" s="61" t="n"/>
      <c r="C898" s="8" t="n"/>
      <c r="D898" s="62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61" t="n"/>
      <c r="N898" s="63" t="n"/>
      <c r="O898" s="8" t="n"/>
      <c r="P898" s="8" t="n"/>
      <c r="Q898" s="8" t="n"/>
      <c r="R898" s="8" t="n"/>
      <c r="S898" s="8" t="n"/>
      <c r="T898" s="8" t="n"/>
      <c r="U898" s="8" t="n"/>
      <c r="V898" s="8" t="n"/>
    </row>
    <row r="899">
      <c r="A899" s="8" t="n"/>
      <c r="B899" s="61" t="n"/>
      <c r="C899" s="8" t="n"/>
      <c r="D899" s="62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61" t="n"/>
      <c r="N899" s="63" t="n"/>
      <c r="O899" s="8" t="n"/>
      <c r="P899" s="8" t="n"/>
      <c r="Q899" s="8" t="n"/>
      <c r="R899" s="8" t="n"/>
      <c r="S899" s="8" t="n"/>
      <c r="T899" s="8" t="n"/>
      <c r="U899" s="8" t="n"/>
      <c r="V899" s="8" t="n"/>
    </row>
    <row r="900">
      <c r="A900" s="8" t="n"/>
      <c r="B900" s="61" t="n"/>
      <c r="C900" s="8" t="n"/>
      <c r="D900" s="62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61" t="n"/>
      <c r="N900" s="63" t="n"/>
      <c r="O900" s="8" t="n"/>
      <c r="P900" s="8" t="n"/>
      <c r="Q900" s="8" t="n"/>
      <c r="R900" s="8" t="n"/>
      <c r="S900" s="8" t="n"/>
      <c r="T900" s="8" t="n"/>
      <c r="U900" s="8" t="n"/>
      <c r="V900" s="8" t="n"/>
    </row>
    <row r="901">
      <c r="A901" s="8" t="n"/>
      <c r="B901" s="61" t="n"/>
      <c r="C901" s="8" t="n"/>
      <c r="D901" s="62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61" t="n"/>
      <c r="N901" s="63" t="n"/>
      <c r="O901" s="8" t="n"/>
      <c r="P901" s="8" t="n"/>
      <c r="Q901" s="8" t="n"/>
      <c r="R901" s="8" t="n"/>
      <c r="S901" s="8" t="n"/>
      <c r="T901" s="8" t="n"/>
      <c r="U901" s="8" t="n"/>
      <c r="V901" s="8" t="n"/>
    </row>
    <row r="902">
      <c r="A902" s="8" t="n"/>
      <c r="B902" s="61" t="n"/>
      <c r="C902" s="8" t="n"/>
      <c r="D902" s="62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61" t="n"/>
      <c r="N902" s="63" t="n"/>
      <c r="O902" s="8" t="n"/>
      <c r="P902" s="8" t="n"/>
      <c r="Q902" s="8" t="n"/>
      <c r="R902" s="8" t="n"/>
      <c r="S902" s="8" t="n"/>
      <c r="T902" s="8" t="n"/>
      <c r="U902" s="8" t="n"/>
      <c r="V902" s="8" t="n"/>
    </row>
    <row r="903">
      <c r="A903" s="8" t="n"/>
      <c r="B903" s="61" t="n"/>
      <c r="C903" s="8" t="n"/>
      <c r="D903" s="62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61" t="n"/>
      <c r="N903" s="63" t="n"/>
      <c r="O903" s="8" t="n"/>
      <c r="P903" s="8" t="n"/>
      <c r="Q903" s="8" t="n"/>
      <c r="R903" s="8" t="n"/>
      <c r="S903" s="8" t="n"/>
      <c r="T903" s="8" t="n"/>
      <c r="U903" s="8" t="n"/>
      <c r="V903" s="8" t="n"/>
    </row>
    <row r="904">
      <c r="A904" s="8" t="n"/>
      <c r="B904" s="61" t="n"/>
      <c r="C904" s="8" t="n"/>
      <c r="D904" s="62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61" t="n"/>
      <c r="N904" s="63" t="n"/>
      <c r="O904" s="8" t="n"/>
      <c r="P904" s="8" t="n"/>
      <c r="Q904" s="8" t="n"/>
      <c r="R904" s="8" t="n"/>
      <c r="S904" s="8" t="n"/>
      <c r="T904" s="8" t="n"/>
      <c r="U904" s="8" t="n"/>
      <c r="V904" s="8" t="n"/>
    </row>
    <row r="905">
      <c r="A905" s="8" t="n"/>
      <c r="B905" s="61" t="n"/>
      <c r="C905" s="8" t="n"/>
      <c r="D905" s="62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61" t="n"/>
      <c r="N905" s="63" t="n"/>
      <c r="O905" s="8" t="n"/>
      <c r="P905" s="8" t="n"/>
      <c r="Q905" s="8" t="n"/>
      <c r="R905" s="8" t="n"/>
      <c r="S905" s="8" t="n"/>
      <c r="T905" s="8" t="n"/>
      <c r="U905" s="8" t="n"/>
      <c r="V905" s="8" t="n"/>
    </row>
    <row r="906">
      <c r="A906" s="8" t="n"/>
      <c r="B906" s="61" t="n"/>
      <c r="C906" s="8" t="n"/>
      <c r="D906" s="62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61" t="n"/>
      <c r="N906" s="63" t="n"/>
      <c r="O906" s="8" t="n"/>
      <c r="P906" s="8" t="n"/>
      <c r="Q906" s="8" t="n"/>
      <c r="R906" s="8" t="n"/>
      <c r="S906" s="8" t="n"/>
      <c r="T906" s="8" t="n"/>
      <c r="U906" s="8" t="n"/>
      <c r="V906" s="8" t="n"/>
    </row>
    <row r="907">
      <c r="A907" s="8" t="n"/>
      <c r="B907" s="61" t="n"/>
      <c r="C907" s="8" t="n"/>
      <c r="D907" s="62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61" t="n"/>
      <c r="N907" s="63" t="n"/>
      <c r="O907" s="8" t="n"/>
      <c r="P907" s="8" t="n"/>
      <c r="Q907" s="8" t="n"/>
      <c r="R907" s="8" t="n"/>
      <c r="S907" s="8" t="n"/>
      <c r="T907" s="8" t="n"/>
      <c r="U907" s="8" t="n"/>
      <c r="V907" s="8" t="n"/>
    </row>
    <row r="908">
      <c r="A908" s="8" t="n"/>
      <c r="B908" s="61" t="n"/>
      <c r="C908" s="8" t="n"/>
      <c r="D908" s="62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61" t="n"/>
      <c r="N908" s="63" t="n"/>
      <c r="O908" s="8" t="n"/>
      <c r="P908" s="8" t="n"/>
      <c r="Q908" s="8" t="n"/>
      <c r="R908" s="8" t="n"/>
      <c r="S908" s="8" t="n"/>
      <c r="T908" s="8" t="n"/>
      <c r="U908" s="8" t="n"/>
      <c r="V908" s="8" t="n"/>
    </row>
    <row r="909">
      <c r="A909" s="8" t="n"/>
      <c r="B909" s="61" t="n"/>
      <c r="C909" s="8" t="n"/>
      <c r="D909" s="62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61" t="n"/>
      <c r="N909" s="63" t="n"/>
      <c r="O909" s="8" t="n"/>
      <c r="P909" s="8" t="n"/>
      <c r="Q909" s="8" t="n"/>
      <c r="R909" s="8" t="n"/>
      <c r="S909" s="8" t="n"/>
      <c r="T909" s="8" t="n"/>
      <c r="U909" s="8" t="n"/>
      <c r="V909" s="8" t="n"/>
    </row>
    <row r="910">
      <c r="A910" s="8" t="n"/>
      <c r="B910" s="61" t="n"/>
      <c r="C910" s="8" t="n"/>
      <c r="D910" s="62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61" t="n"/>
      <c r="N910" s="63" t="n"/>
      <c r="O910" s="8" t="n"/>
      <c r="P910" s="8" t="n"/>
      <c r="Q910" s="8" t="n"/>
      <c r="R910" s="8" t="n"/>
      <c r="S910" s="8" t="n"/>
      <c r="T910" s="8" t="n"/>
      <c r="U910" s="8" t="n"/>
      <c r="V910" s="8" t="n"/>
    </row>
    <row r="911">
      <c r="A911" s="8" t="n"/>
      <c r="B911" s="61" t="n"/>
      <c r="C911" s="8" t="n"/>
      <c r="D911" s="62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61" t="n"/>
      <c r="N911" s="63" t="n"/>
      <c r="O911" s="8" t="n"/>
      <c r="P911" s="8" t="n"/>
      <c r="Q911" s="8" t="n"/>
      <c r="R911" s="8" t="n"/>
      <c r="S911" s="8" t="n"/>
      <c r="T911" s="8" t="n"/>
      <c r="U911" s="8" t="n"/>
      <c r="V911" s="8" t="n"/>
    </row>
    <row r="912">
      <c r="A912" s="8" t="n"/>
      <c r="B912" s="61" t="n"/>
      <c r="C912" s="8" t="n"/>
      <c r="D912" s="62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61" t="n"/>
      <c r="N912" s="63" t="n"/>
      <c r="O912" s="8" t="n"/>
      <c r="P912" s="8" t="n"/>
      <c r="Q912" s="8" t="n"/>
      <c r="R912" s="8" t="n"/>
      <c r="S912" s="8" t="n"/>
      <c r="T912" s="8" t="n"/>
      <c r="U912" s="8" t="n"/>
      <c r="V912" s="8" t="n"/>
    </row>
    <row r="913">
      <c r="A913" s="8" t="n"/>
      <c r="B913" s="61" t="n"/>
      <c r="C913" s="8" t="n"/>
      <c r="D913" s="62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61" t="n"/>
      <c r="N913" s="63" t="n"/>
      <c r="O913" s="8" t="n"/>
      <c r="P913" s="8" t="n"/>
      <c r="Q913" s="8" t="n"/>
      <c r="R913" s="8" t="n"/>
      <c r="S913" s="8" t="n"/>
      <c r="T913" s="8" t="n"/>
      <c r="U913" s="8" t="n"/>
      <c r="V913" s="8" t="n"/>
    </row>
    <row r="914">
      <c r="A914" s="8" t="n"/>
      <c r="B914" s="61" t="n"/>
      <c r="C914" s="8" t="n"/>
      <c r="D914" s="62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61" t="n"/>
      <c r="N914" s="63" t="n"/>
      <c r="O914" s="8" t="n"/>
      <c r="P914" s="8" t="n"/>
      <c r="Q914" s="8" t="n"/>
      <c r="R914" s="8" t="n"/>
      <c r="S914" s="8" t="n"/>
      <c r="T914" s="8" t="n"/>
      <c r="U914" s="8" t="n"/>
      <c r="V914" s="8" t="n"/>
    </row>
    <row r="915">
      <c r="A915" s="8" t="n"/>
      <c r="B915" s="61" t="n"/>
      <c r="C915" s="8" t="n"/>
      <c r="D915" s="62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61" t="n"/>
      <c r="N915" s="63" t="n"/>
      <c r="O915" s="8" t="n"/>
      <c r="P915" s="8" t="n"/>
      <c r="Q915" s="8" t="n"/>
      <c r="R915" s="8" t="n"/>
      <c r="S915" s="8" t="n"/>
      <c r="T915" s="8" t="n"/>
      <c r="U915" s="8" t="n"/>
      <c r="V915" s="8" t="n"/>
    </row>
    <row r="916">
      <c r="A916" s="8" t="n"/>
      <c r="B916" s="61" t="n"/>
      <c r="C916" s="8" t="n"/>
      <c r="D916" s="62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61" t="n"/>
      <c r="N916" s="63" t="n"/>
      <c r="O916" s="8" t="n"/>
      <c r="P916" s="8" t="n"/>
      <c r="Q916" s="8" t="n"/>
      <c r="R916" s="8" t="n"/>
      <c r="S916" s="8" t="n"/>
      <c r="T916" s="8" t="n"/>
      <c r="U916" s="8" t="n"/>
      <c r="V916" s="8" t="n"/>
    </row>
    <row r="917">
      <c r="A917" s="8" t="n"/>
      <c r="B917" s="61" t="n"/>
      <c r="C917" s="8" t="n"/>
      <c r="D917" s="62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61" t="n"/>
      <c r="N917" s="63" t="n"/>
      <c r="O917" s="8" t="n"/>
      <c r="P917" s="8" t="n"/>
      <c r="Q917" s="8" t="n"/>
      <c r="R917" s="8" t="n"/>
      <c r="S917" s="8" t="n"/>
      <c r="T917" s="8" t="n"/>
      <c r="U917" s="8" t="n"/>
      <c r="V917" s="8" t="n"/>
    </row>
    <row r="918">
      <c r="A918" s="8" t="n"/>
      <c r="B918" s="61" t="n"/>
      <c r="C918" s="8" t="n"/>
      <c r="D918" s="62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61" t="n"/>
      <c r="N918" s="63" t="n"/>
      <c r="O918" s="8" t="n"/>
      <c r="P918" s="8" t="n"/>
      <c r="Q918" s="8" t="n"/>
      <c r="R918" s="8" t="n"/>
      <c r="S918" s="8" t="n"/>
      <c r="T918" s="8" t="n"/>
      <c r="U918" s="8" t="n"/>
      <c r="V918" s="8" t="n"/>
    </row>
    <row r="919">
      <c r="A919" s="8" t="n"/>
      <c r="B919" s="61" t="n"/>
      <c r="C919" s="8" t="n"/>
      <c r="D919" s="62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61" t="n"/>
      <c r="N919" s="63" t="n"/>
      <c r="O919" s="8" t="n"/>
      <c r="P919" s="8" t="n"/>
      <c r="Q919" s="8" t="n"/>
      <c r="R919" s="8" t="n"/>
      <c r="S919" s="8" t="n"/>
      <c r="T919" s="8" t="n"/>
      <c r="U919" s="8" t="n"/>
      <c r="V919" s="8" t="n"/>
    </row>
    <row r="920">
      <c r="A920" s="8" t="n"/>
      <c r="B920" s="61" t="n"/>
      <c r="C920" s="8" t="n"/>
      <c r="D920" s="62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61" t="n"/>
      <c r="N920" s="63" t="n"/>
      <c r="O920" s="8" t="n"/>
      <c r="P920" s="8" t="n"/>
      <c r="Q920" s="8" t="n"/>
      <c r="R920" s="8" t="n"/>
      <c r="S920" s="8" t="n"/>
      <c r="T920" s="8" t="n"/>
      <c r="U920" s="8" t="n"/>
      <c r="V920" s="8" t="n"/>
    </row>
    <row r="921">
      <c r="A921" s="8" t="n"/>
      <c r="B921" s="61" t="n"/>
      <c r="C921" s="8" t="n"/>
      <c r="D921" s="62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61" t="n"/>
      <c r="N921" s="63" t="n"/>
      <c r="O921" s="8" t="n"/>
      <c r="P921" s="8" t="n"/>
      <c r="Q921" s="8" t="n"/>
      <c r="R921" s="8" t="n"/>
      <c r="S921" s="8" t="n"/>
      <c r="T921" s="8" t="n"/>
      <c r="U921" s="8" t="n"/>
      <c r="V921" s="8" t="n"/>
    </row>
    <row r="922">
      <c r="A922" s="8" t="n"/>
      <c r="B922" s="61" t="n"/>
      <c r="C922" s="8" t="n"/>
      <c r="D922" s="62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61" t="n"/>
      <c r="N922" s="63" t="n"/>
      <c r="O922" s="8" t="n"/>
      <c r="P922" s="8" t="n"/>
      <c r="Q922" s="8" t="n"/>
      <c r="R922" s="8" t="n"/>
      <c r="S922" s="8" t="n"/>
      <c r="T922" s="8" t="n"/>
      <c r="U922" s="8" t="n"/>
      <c r="V922" s="8" t="n"/>
    </row>
    <row r="923">
      <c r="A923" s="8" t="n"/>
      <c r="B923" s="61" t="n"/>
      <c r="C923" s="8" t="n"/>
      <c r="D923" s="62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61" t="n"/>
      <c r="N923" s="63" t="n"/>
      <c r="O923" s="8" t="n"/>
      <c r="P923" s="8" t="n"/>
      <c r="Q923" s="8" t="n"/>
      <c r="R923" s="8" t="n"/>
      <c r="S923" s="8" t="n"/>
      <c r="T923" s="8" t="n"/>
      <c r="U923" s="8" t="n"/>
      <c r="V923" s="8" t="n"/>
    </row>
    <row r="924">
      <c r="A924" s="8" t="n"/>
      <c r="B924" s="61" t="n"/>
      <c r="C924" s="8" t="n"/>
      <c r="D924" s="62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61" t="n"/>
      <c r="N924" s="63" t="n"/>
      <c r="O924" s="8" t="n"/>
      <c r="P924" s="8" t="n"/>
      <c r="Q924" s="8" t="n"/>
      <c r="R924" s="8" t="n"/>
      <c r="S924" s="8" t="n"/>
      <c r="T924" s="8" t="n"/>
      <c r="U924" s="8" t="n"/>
      <c r="V924" s="8" t="n"/>
    </row>
    <row r="925">
      <c r="A925" s="8" t="n"/>
      <c r="B925" s="61" t="n"/>
      <c r="C925" s="8" t="n"/>
      <c r="D925" s="62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61" t="n"/>
      <c r="N925" s="63" t="n"/>
      <c r="O925" s="8" t="n"/>
      <c r="P925" s="8" t="n"/>
      <c r="Q925" s="8" t="n"/>
      <c r="R925" s="8" t="n"/>
      <c r="S925" s="8" t="n"/>
      <c r="T925" s="8" t="n"/>
      <c r="U925" s="8" t="n"/>
      <c r="V925" s="8" t="n"/>
    </row>
    <row r="926">
      <c r="A926" s="8" t="n"/>
      <c r="B926" s="61" t="n"/>
      <c r="C926" s="8" t="n"/>
      <c r="D926" s="62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61" t="n"/>
      <c r="N926" s="63" t="n"/>
      <c r="O926" s="8" t="n"/>
      <c r="P926" s="8" t="n"/>
      <c r="Q926" s="8" t="n"/>
      <c r="R926" s="8" t="n"/>
      <c r="S926" s="8" t="n"/>
      <c r="T926" s="8" t="n"/>
      <c r="U926" s="8" t="n"/>
      <c r="V926" s="8" t="n"/>
    </row>
    <row r="927">
      <c r="A927" s="8" t="n"/>
      <c r="B927" s="61" t="n"/>
      <c r="C927" s="8" t="n"/>
      <c r="D927" s="62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61" t="n"/>
      <c r="N927" s="63" t="n"/>
      <c r="O927" s="8" t="n"/>
      <c r="P927" s="8" t="n"/>
      <c r="Q927" s="8" t="n"/>
      <c r="R927" s="8" t="n"/>
      <c r="S927" s="8" t="n"/>
      <c r="T927" s="8" t="n"/>
      <c r="U927" s="8" t="n"/>
      <c r="V927" s="8" t="n"/>
    </row>
    <row r="928">
      <c r="A928" s="8" t="n"/>
      <c r="B928" s="61" t="n"/>
      <c r="C928" s="8" t="n"/>
      <c r="D928" s="62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61" t="n"/>
      <c r="N928" s="63" t="n"/>
      <c r="O928" s="8" t="n"/>
      <c r="P928" s="8" t="n"/>
      <c r="Q928" s="8" t="n"/>
      <c r="R928" s="8" t="n"/>
      <c r="S928" s="8" t="n"/>
      <c r="T928" s="8" t="n"/>
      <c r="U928" s="8" t="n"/>
      <c r="V928" s="8" t="n"/>
    </row>
    <row r="929">
      <c r="A929" s="8" t="n"/>
      <c r="B929" s="61" t="n"/>
      <c r="C929" s="8" t="n"/>
      <c r="D929" s="62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61" t="n"/>
      <c r="N929" s="63" t="n"/>
      <c r="O929" s="8" t="n"/>
      <c r="P929" s="8" t="n"/>
      <c r="Q929" s="8" t="n"/>
      <c r="R929" s="8" t="n"/>
      <c r="S929" s="8" t="n"/>
      <c r="T929" s="8" t="n"/>
      <c r="U929" s="8" t="n"/>
      <c r="V929" s="8" t="n"/>
    </row>
    <row r="930">
      <c r="A930" s="8" t="n"/>
      <c r="B930" s="61" t="n"/>
      <c r="C930" s="8" t="n"/>
      <c r="D930" s="62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61" t="n"/>
      <c r="N930" s="63" t="n"/>
      <c r="O930" s="8" t="n"/>
      <c r="P930" s="8" t="n"/>
      <c r="Q930" s="8" t="n"/>
      <c r="R930" s="8" t="n"/>
      <c r="S930" s="8" t="n"/>
      <c r="T930" s="8" t="n"/>
      <c r="U930" s="8" t="n"/>
      <c r="V930" s="8" t="n"/>
    </row>
    <row r="931">
      <c r="A931" s="8" t="n"/>
      <c r="B931" s="61" t="n"/>
      <c r="C931" s="8" t="n"/>
      <c r="D931" s="62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61" t="n"/>
      <c r="N931" s="63" t="n"/>
      <c r="O931" s="8" t="n"/>
      <c r="P931" s="8" t="n"/>
      <c r="Q931" s="8" t="n"/>
      <c r="R931" s="8" t="n"/>
      <c r="S931" s="8" t="n"/>
      <c r="T931" s="8" t="n"/>
      <c r="U931" s="8" t="n"/>
      <c r="V931" s="8" t="n"/>
    </row>
    <row r="932">
      <c r="A932" s="8" t="n"/>
      <c r="B932" s="61" t="n"/>
      <c r="C932" s="8" t="n"/>
      <c r="D932" s="62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61" t="n"/>
      <c r="N932" s="63" t="n"/>
      <c r="O932" s="8" t="n"/>
      <c r="P932" s="8" t="n"/>
      <c r="Q932" s="8" t="n"/>
      <c r="R932" s="8" t="n"/>
      <c r="S932" s="8" t="n"/>
      <c r="T932" s="8" t="n"/>
      <c r="U932" s="8" t="n"/>
      <c r="V932" s="8" t="n"/>
    </row>
    <row r="933">
      <c r="A933" s="8" t="n"/>
      <c r="B933" s="61" t="n"/>
      <c r="C933" s="8" t="n"/>
      <c r="D933" s="62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61" t="n"/>
      <c r="N933" s="63" t="n"/>
      <c r="O933" s="8" t="n"/>
      <c r="P933" s="8" t="n"/>
      <c r="Q933" s="8" t="n"/>
      <c r="R933" s="8" t="n"/>
      <c r="S933" s="8" t="n"/>
      <c r="T933" s="8" t="n"/>
      <c r="U933" s="8" t="n"/>
      <c r="V933" s="8" t="n"/>
    </row>
    <row r="934">
      <c r="A934" s="8" t="n"/>
      <c r="B934" s="61" t="n"/>
      <c r="C934" s="8" t="n"/>
      <c r="D934" s="62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61" t="n"/>
      <c r="N934" s="63" t="n"/>
      <c r="O934" s="8" t="n"/>
      <c r="P934" s="8" t="n"/>
      <c r="Q934" s="8" t="n"/>
      <c r="R934" s="8" t="n"/>
      <c r="S934" s="8" t="n"/>
      <c r="T934" s="8" t="n"/>
      <c r="U934" s="8" t="n"/>
      <c r="V934" s="8" t="n"/>
    </row>
    <row r="935">
      <c r="A935" s="8" t="n"/>
      <c r="B935" s="61" t="n"/>
      <c r="C935" s="8" t="n"/>
      <c r="D935" s="62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61" t="n"/>
      <c r="N935" s="63" t="n"/>
      <c r="O935" s="8" t="n"/>
      <c r="P935" s="8" t="n"/>
      <c r="Q935" s="8" t="n"/>
      <c r="R935" s="8" t="n"/>
      <c r="S935" s="8" t="n"/>
      <c r="T935" s="8" t="n"/>
      <c r="U935" s="8" t="n"/>
      <c r="V935" s="8" t="n"/>
    </row>
    <row r="936">
      <c r="A936" s="8" t="n"/>
      <c r="B936" s="61" t="n"/>
      <c r="C936" s="8" t="n"/>
      <c r="D936" s="62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61" t="n"/>
      <c r="N936" s="63" t="n"/>
      <c r="O936" s="8" t="n"/>
      <c r="P936" s="8" t="n"/>
      <c r="Q936" s="8" t="n"/>
      <c r="R936" s="8" t="n"/>
      <c r="S936" s="8" t="n"/>
      <c r="T936" s="8" t="n"/>
      <c r="U936" s="8" t="n"/>
      <c r="V936" s="8" t="n"/>
    </row>
    <row r="937">
      <c r="A937" s="8" t="n"/>
      <c r="B937" s="61" t="n"/>
      <c r="C937" s="8" t="n"/>
      <c r="D937" s="62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61" t="n"/>
      <c r="N937" s="63" t="n"/>
      <c r="O937" s="8" t="n"/>
      <c r="P937" s="8" t="n"/>
      <c r="Q937" s="8" t="n"/>
      <c r="R937" s="8" t="n"/>
      <c r="S937" s="8" t="n"/>
      <c r="T937" s="8" t="n"/>
      <c r="U937" s="8" t="n"/>
      <c r="V937" s="8" t="n"/>
    </row>
    <row r="938">
      <c r="A938" s="8" t="n"/>
      <c r="B938" s="61" t="n"/>
      <c r="C938" s="8" t="n"/>
      <c r="D938" s="62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61" t="n"/>
      <c r="N938" s="63" t="n"/>
      <c r="O938" s="8" t="n"/>
      <c r="P938" s="8" t="n"/>
      <c r="Q938" s="8" t="n"/>
      <c r="R938" s="8" t="n"/>
      <c r="S938" s="8" t="n"/>
      <c r="T938" s="8" t="n"/>
      <c r="U938" s="8" t="n"/>
      <c r="V938" s="8" t="n"/>
    </row>
    <row r="939">
      <c r="A939" s="8" t="n"/>
      <c r="B939" s="61" t="n"/>
      <c r="C939" s="8" t="n"/>
      <c r="D939" s="62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61" t="n"/>
      <c r="N939" s="63" t="n"/>
      <c r="O939" s="8" t="n"/>
      <c r="P939" s="8" t="n"/>
      <c r="Q939" s="8" t="n"/>
      <c r="R939" s="8" t="n"/>
      <c r="S939" s="8" t="n"/>
      <c r="T939" s="8" t="n"/>
      <c r="U939" s="8" t="n"/>
      <c r="V939" s="8" t="n"/>
    </row>
    <row r="940">
      <c r="A940" s="8" t="n"/>
      <c r="B940" s="61" t="n"/>
      <c r="C940" s="8" t="n"/>
      <c r="D940" s="62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61" t="n"/>
      <c r="N940" s="63" t="n"/>
      <c r="O940" s="8" t="n"/>
      <c r="P940" s="8" t="n"/>
      <c r="Q940" s="8" t="n"/>
      <c r="R940" s="8" t="n"/>
      <c r="S940" s="8" t="n"/>
      <c r="T940" s="8" t="n"/>
      <c r="U940" s="8" t="n"/>
      <c r="V940" s="8" t="n"/>
    </row>
    <row r="941">
      <c r="A941" s="8" t="n"/>
      <c r="B941" s="61" t="n"/>
      <c r="C941" s="8" t="n"/>
      <c r="D941" s="62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61" t="n"/>
      <c r="N941" s="63" t="n"/>
      <c r="O941" s="8" t="n"/>
      <c r="P941" s="8" t="n"/>
      <c r="Q941" s="8" t="n"/>
      <c r="R941" s="8" t="n"/>
      <c r="S941" s="8" t="n"/>
      <c r="T941" s="8" t="n"/>
      <c r="U941" s="8" t="n"/>
      <c r="V941" s="8" t="n"/>
    </row>
    <row r="942">
      <c r="A942" s="8" t="n"/>
      <c r="B942" s="61" t="n"/>
      <c r="C942" s="8" t="n"/>
      <c r="D942" s="62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61" t="n"/>
      <c r="N942" s="63" t="n"/>
      <c r="O942" s="8" t="n"/>
      <c r="P942" s="8" t="n"/>
      <c r="Q942" s="8" t="n"/>
      <c r="R942" s="8" t="n"/>
      <c r="S942" s="8" t="n"/>
      <c r="T942" s="8" t="n"/>
      <c r="U942" s="8" t="n"/>
      <c r="V942" s="8" t="n"/>
    </row>
    <row r="943">
      <c r="A943" s="8" t="n"/>
      <c r="B943" s="61" t="n"/>
      <c r="C943" s="8" t="n"/>
      <c r="D943" s="62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61" t="n"/>
      <c r="N943" s="63" t="n"/>
      <c r="O943" s="8" t="n"/>
      <c r="P943" s="8" t="n"/>
      <c r="Q943" s="8" t="n"/>
      <c r="R943" s="8" t="n"/>
      <c r="S943" s="8" t="n"/>
      <c r="T943" s="8" t="n"/>
      <c r="U943" s="8" t="n"/>
      <c r="V943" s="8" t="n"/>
    </row>
    <row r="944">
      <c r="A944" s="8" t="n"/>
      <c r="B944" s="61" t="n"/>
      <c r="C944" s="8" t="n"/>
      <c r="D944" s="62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61" t="n"/>
      <c r="N944" s="63" t="n"/>
      <c r="O944" s="8" t="n"/>
      <c r="P944" s="8" t="n"/>
      <c r="Q944" s="8" t="n"/>
      <c r="R944" s="8" t="n"/>
      <c r="S944" s="8" t="n"/>
      <c r="T944" s="8" t="n"/>
      <c r="U944" s="8" t="n"/>
      <c r="V944" s="8" t="n"/>
    </row>
    <row r="945">
      <c r="A945" s="8" t="n"/>
      <c r="B945" s="61" t="n"/>
      <c r="C945" s="8" t="n"/>
      <c r="D945" s="62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61" t="n"/>
      <c r="N945" s="63" t="n"/>
      <c r="O945" s="8" t="n"/>
      <c r="P945" s="8" t="n"/>
      <c r="Q945" s="8" t="n"/>
      <c r="R945" s="8" t="n"/>
      <c r="S945" s="8" t="n"/>
      <c r="T945" s="8" t="n"/>
      <c r="U945" s="8" t="n"/>
      <c r="V945" s="8" t="n"/>
    </row>
    <row r="946">
      <c r="A946" s="8" t="n"/>
      <c r="B946" s="61" t="n"/>
      <c r="C946" s="8" t="n"/>
      <c r="D946" s="62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61" t="n"/>
      <c r="N946" s="63" t="n"/>
      <c r="O946" s="8" t="n"/>
      <c r="P946" s="8" t="n"/>
      <c r="Q946" s="8" t="n"/>
      <c r="R946" s="8" t="n"/>
      <c r="S946" s="8" t="n"/>
      <c r="T946" s="8" t="n"/>
      <c r="U946" s="8" t="n"/>
      <c r="V946" s="8" t="n"/>
    </row>
    <row r="947">
      <c r="A947" s="8" t="n"/>
      <c r="B947" s="61" t="n"/>
      <c r="C947" s="8" t="n"/>
      <c r="D947" s="62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61" t="n"/>
      <c r="N947" s="63" t="n"/>
      <c r="O947" s="8" t="n"/>
      <c r="P947" s="8" t="n"/>
      <c r="Q947" s="8" t="n"/>
      <c r="R947" s="8" t="n"/>
      <c r="S947" s="8" t="n"/>
      <c r="T947" s="8" t="n"/>
      <c r="U947" s="8" t="n"/>
      <c r="V947" s="8" t="n"/>
    </row>
    <row r="948">
      <c r="A948" s="8" t="n"/>
      <c r="B948" s="61" t="n"/>
      <c r="C948" s="8" t="n"/>
      <c r="D948" s="62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61" t="n"/>
      <c r="N948" s="63" t="n"/>
      <c r="O948" s="8" t="n"/>
      <c r="P948" s="8" t="n"/>
      <c r="Q948" s="8" t="n"/>
      <c r="R948" s="8" t="n"/>
      <c r="S948" s="8" t="n"/>
      <c r="T948" s="8" t="n"/>
      <c r="U948" s="8" t="n"/>
      <c r="V948" s="8" t="n"/>
    </row>
    <row r="949">
      <c r="A949" s="8" t="n"/>
      <c r="B949" s="61" t="n"/>
      <c r="C949" s="8" t="n"/>
      <c r="D949" s="62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61" t="n"/>
      <c r="N949" s="63" t="n"/>
      <c r="O949" s="8" t="n"/>
      <c r="P949" s="8" t="n"/>
      <c r="Q949" s="8" t="n"/>
      <c r="R949" s="8" t="n"/>
      <c r="S949" s="8" t="n"/>
      <c r="T949" s="8" t="n"/>
      <c r="U949" s="8" t="n"/>
      <c r="V949" s="8" t="n"/>
    </row>
    <row r="950">
      <c r="A950" s="8" t="n"/>
      <c r="B950" s="61" t="n"/>
      <c r="C950" s="8" t="n"/>
      <c r="D950" s="62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61" t="n"/>
      <c r="N950" s="63" t="n"/>
      <c r="O950" s="8" t="n"/>
      <c r="P950" s="8" t="n"/>
      <c r="Q950" s="8" t="n"/>
      <c r="R950" s="8" t="n"/>
      <c r="S950" s="8" t="n"/>
      <c r="T950" s="8" t="n"/>
      <c r="U950" s="8" t="n"/>
      <c r="V950" s="8" t="n"/>
    </row>
    <row r="951">
      <c r="A951" s="8" t="n"/>
      <c r="B951" s="61" t="n"/>
      <c r="C951" s="8" t="n"/>
      <c r="D951" s="62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61" t="n"/>
      <c r="N951" s="63" t="n"/>
      <c r="O951" s="8" t="n"/>
      <c r="P951" s="8" t="n"/>
      <c r="Q951" s="8" t="n"/>
      <c r="R951" s="8" t="n"/>
      <c r="S951" s="8" t="n"/>
      <c r="T951" s="8" t="n"/>
      <c r="U951" s="8" t="n"/>
      <c r="V951" s="8" t="n"/>
    </row>
    <row r="952">
      <c r="A952" s="8" t="n"/>
      <c r="B952" s="61" t="n"/>
      <c r="C952" s="8" t="n"/>
      <c r="D952" s="62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61" t="n"/>
      <c r="N952" s="63" t="n"/>
      <c r="O952" s="8" t="n"/>
      <c r="P952" s="8" t="n"/>
      <c r="Q952" s="8" t="n"/>
      <c r="R952" s="8" t="n"/>
      <c r="S952" s="8" t="n"/>
      <c r="T952" s="8" t="n"/>
      <c r="U952" s="8" t="n"/>
      <c r="V952" s="8" t="n"/>
    </row>
    <row r="953">
      <c r="A953" s="8" t="n"/>
      <c r="B953" s="61" t="n"/>
      <c r="C953" s="8" t="n"/>
      <c r="D953" s="62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61" t="n"/>
      <c r="N953" s="63" t="n"/>
      <c r="O953" s="8" t="n"/>
      <c r="P953" s="8" t="n"/>
      <c r="Q953" s="8" t="n"/>
      <c r="R953" s="8" t="n"/>
      <c r="S953" s="8" t="n"/>
      <c r="T953" s="8" t="n"/>
      <c r="U953" s="8" t="n"/>
      <c r="V953" s="8" t="n"/>
    </row>
    <row r="954">
      <c r="A954" s="8" t="n"/>
      <c r="B954" s="61" t="n"/>
      <c r="C954" s="8" t="n"/>
      <c r="D954" s="62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61" t="n"/>
      <c r="N954" s="63" t="n"/>
      <c r="O954" s="8" t="n"/>
      <c r="P954" s="8" t="n"/>
      <c r="Q954" s="8" t="n"/>
      <c r="R954" s="8" t="n"/>
      <c r="S954" s="8" t="n"/>
      <c r="T954" s="8" t="n"/>
      <c r="U954" s="8" t="n"/>
      <c r="V954" s="8" t="n"/>
    </row>
    <row r="955">
      <c r="A955" s="8" t="n"/>
      <c r="B955" s="61" t="n"/>
      <c r="C955" s="8" t="n"/>
      <c r="D955" s="62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61" t="n"/>
      <c r="N955" s="63" t="n"/>
      <c r="O955" s="8" t="n"/>
      <c r="P955" s="8" t="n"/>
      <c r="Q955" s="8" t="n"/>
      <c r="R955" s="8" t="n"/>
      <c r="S955" s="8" t="n"/>
      <c r="T955" s="8" t="n"/>
      <c r="U955" s="8" t="n"/>
      <c r="V955" s="8" t="n"/>
    </row>
    <row r="956">
      <c r="A956" s="8" t="n"/>
      <c r="B956" s="61" t="n"/>
      <c r="C956" s="8" t="n"/>
      <c r="D956" s="62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61" t="n"/>
      <c r="N956" s="63" t="n"/>
      <c r="O956" s="8" t="n"/>
      <c r="P956" s="8" t="n"/>
      <c r="Q956" s="8" t="n"/>
      <c r="R956" s="8" t="n"/>
      <c r="S956" s="8" t="n"/>
      <c r="T956" s="8" t="n"/>
      <c r="U956" s="8" t="n"/>
      <c r="V956" s="8" t="n"/>
    </row>
    <row r="957">
      <c r="A957" s="8" t="n"/>
      <c r="B957" s="61" t="n"/>
      <c r="C957" s="8" t="n"/>
      <c r="D957" s="62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61" t="n"/>
      <c r="N957" s="63" t="n"/>
      <c r="O957" s="8" t="n"/>
      <c r="P957" s="8" t="n"/>
      <c r="Q957" s="8" t="n"/>
      <c r="R957" s="8" t="n"/>
      <c r="S957" s="8" t="n"/>
      <c r="T957" s="8" t="n"/>
      <c r="U957" s="8" t="n"/>
      <c r="V957" s="8" t="n"/>
    </row>
    <row r="958">
      <c r="A958" s="8" t="n"/>
      <c r="B958" s="61" t="n"/>
      <c r="C958" s="8" t="n"/>
      <c r="D958" s="62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61" t="n"/>
      <c r="N958" s="63" t="n"/>
      <c r="O958" s="8" t="n"/>
      <c r="P958" s="8" t="n"/>
      <c r="Q958" s="8" t="n"/>
      <c r="R958" s="8" t="n"/>
      <c r="S958" s="8" t="n"/>
      <c r="T958" s="8" t="n"/>
      <c r="U958" s="8" t="n"/>
      <c r="V958" s="8" t="n"/>
    </row>
    <row r="959">
      <c r="A959" s="8" t="n"/>
      <c r="B959" s="61" t="n"/>
      <c r="C959" s="8" t="n"/>
      <c r="D959" s="62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61" t="n"/>
      <c r="N959" s="63" t="n"/>
      <c r="O959" s="8" t="n"/>
      <c r="P959" s="8" t="n"/>
      <c r="Q959" s="8" t="n"/>
      <c r="R959" s="8" t="n"/>
      <c r="S959" s="8" t="n"/>
      <c r="T959" s="8" t="n"/>
      <c r="U959" s="8" t="n"/>
      <c r="V959" s="8" t="n"/>
    </row>
    <row r="960">
      <c r="A960" s="8" t="n"/>
      <c r="B960" s="61" t="n"/>
      <c r="C960" s="8" t="n"/>
      <c r="D960" s="62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61" t="n"/>
      <c r="N960" s="63" t="n"/>
      <c r="O960" s="8" t="n"/>
      <c r="P960" s="8" t="n"/>
      <c r="Q960" s="8" t="n"/>
      <c r="R960" s="8" t="n"/>
      <c r="S960" s="8" t="n"/>
      <c r="T960" s="8" t="n"/>
      <c r="U960" s="8" t="n"/>
      <c r="V960" s="8" t="n"/>
    </row>
    <row r="961">
      <c r="A961" s="8" t="n"/>
      <c r="B961" s="61" t="n"/>
      <c r="C961" s="8" t="n"/>
      <c r="D961" s="62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61" t="n"/>
      <c r="N961" s="63" t="n"/>
      <c r="O961" s="8" t="n"/>
      <c r="P961" s="8" t="n"/>
      <c r="Q961" s="8" t="n"/>
      <c r="R961" s="8" t="n"/>
      <c r="S961" s="8" t="n"/>
      <c r="T961" s="8" t="n"/>
      <c r="U961" s="8" t="n"/>
      <c r="V961" s="8" t="n"/>
    </row>
    <row r="962">
      <c r="A962" s="8" t="n"/>
      <c r="B962" s="61" t="n"/>
      <c r="C962" s="8" t="n"/>
      <c r="D962" s="62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61" t="n"/>
      <c r="N962" s="63" t="n"/>
      <c r="O962" s="8" t="n"/>
      <c r="P962" s="8" t="n"/>
      <c r="Q962" s="8" t="n"/>
      <c r="R962" s="8" t="n"/>
      <c r="S962" s="8" t="n"/>
      <c r="T962" s="8" t="n"/>
      <c r="U962" s="8" t="n"/>
      <c r="V962" s="8" t="n"/>
    </row>
    <row r="963">
      <c r="A963" s="8" t="n"/>
      <c r="B963" s="61" t="n"/>
      <c r="C963" s="8" t="n"/>
      <c r="D963" s="62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61" t="n"/>
      <c r="N963" s="63" t="n"/>
      <c r="O963" s="8" t="n"/>
      <c r="P963" s="8" t="n"/>
      <c r="Q963" s="8" t="n"/>
      <c r="R963" s="8" t="n"/>
      <c r="S963" s="8" t="n"/>
      <c r="T963" s="8" t="n"/>
      <c r="U963" s="8" t="n"/>
      <c r="V963" s="8" t="n"/>
    </row>
    <row r="964">
      <c r="A964" s="8" t="n"/>
      <c r="B964" s="61" t="n"/>
      <c r="C964" s="8" t="n"/>
      <c r="D964" s="62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61" t="n"/>
      <c r="N964" s="63" t="n"/>
      <c r="O964" s="8" t="n"/>
      <c r="P964" s="8" t="n"/>
      <c r="Q964" s="8" t="n"/>
      <c r="R964" s="8" t="n"/>
      <c r="S964" s="8" t="n"/>
      <c r="T964" s="8" t="n"/>
      <c r="U964" s="8" t="n"/>
      <c r="V964" s="8" t="n"/>
    </row>
    <row r="965">
      <c r="A965" s="8" t="n"/>
      <c r="B965" s="61" t="n"/>
      <c r="C965" s="8" t="n"/>
      <c r="D965" s="62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61" t="n"/>
      <c r="N965" s="63" t="n"/>
      <c r="O965" s="8" t="n"/>
      <c r="P965" s="8" t="n"/>
      <c r="Q965" s="8" t="n"/>
      <c r="R965" s="8" t="n"/>
      <c r="S965" s="8" t="n"/>
      <c r="T965" s="8" t="n"/>
      <c r="U965" s="8" t="n"/>
      <c r="V965" s="8" t="n"/>
    </row>
    <row r="966">
      <c r="A966" s="8" t="n"/>
      <c r="B966" s="61" t="n"/>
      <c r="C966" s="8" t="n"/>
      <c r="D966" s="62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61" t="n"/>
      <c r="N966" s="63" t="n"/>
      <c r="O966" s="8" t="n"/>
      <c r="P966" s="8" t="n"/>
      <c r="Q966" s="8" t="n"/>
      <c r="R966" s="8" t="n"/>
      <c r="S966" s="8" t="n"/>
      <c r="T966" s="8" t="n"/>
      <c r="U966" s="8" t="n"/>
      <c r="V966" s="8" t="n"/>
    </row>
    <row r="967">
      <c r="A967" s="8" t="n"/>
      <c r="B967" s="61" t="n"/>
      <c r="C967" s="8" t="n"/>
      <c r="D967" s="62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61" t="n"/>
      <c r="N967" s="63" t="n"/>
      <c r="O967" s="8" t="n"/>
      <c r="P967" s="8" t="n"/>
      <c r="Q967" s="8" t="n"/>
      <c r="R967" s="8" t="n"/>
      <c r="S967" s="8" t="n"/>
      <c r="T967" s="8" t="n"/>
      <c r="U967" s="8" t="n"/>
      <c r="V967" s="8" t="n"/>
    </row>
    <row r="968">
      <c r="A968" s="8" t="n"/>
      <c r="B968" s="61" t="n"/>
      <c r="C968" s="8" t="n"/>
      <c r="D968" s="62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61" t="n"/>
      <c r="N968" s="63" t="n"/>
      <c r="O968" s="8" t="n"/>
      <c r="P968" s="8" t="n"/>
      <c r="Q968" s="8" t="n"/>
      <c r="R968" s="8" t="n"/>
      <c r="S968" s="8" t="n"/>
      <c r="T968" s="8" t="n"/>
      <c r="U968" s="8" t="n"/>
      <c r="V968" s="8" t="n"/>
    </row>
    <row r="969">
      <c r="A969" s="8" t="n"/>
      <c r="B969" s="61" t="n"/>
      <c r="C969" s="8" t="n"/>
      <c r="D969" s="62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61" t="n"/>
      <c r="N969" s="63" t="n"/>
      <c r="O969" s="8" t="n"/>
      <c r="P969" s="8" t="n"/>
      <c r="Q969" s="8" t="n"/>
      <c r="R969" s="8" t="n"/>
      <c r="S969" s="8" t="n"/>
      <c r="T969" s="8" t="n"/>
      <c r="U969" s="8" t="n"/>
      <c r="V969" s="8" t="n"/>
    </row>
    <row r="970">
      <c r="A970" s="8" t="n"/>
      <c r="B970" s="61" t="n"/>
      <c r="C970" s="8" t="n"/>
      <c r="D970" s="62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61" t="n"/>
      <c r="N970" s="63" t="n"/>
      <c r="O970" s="8" t="n"/>
      <c r="P970" s="8" t="n"/>
      <c r="Q970" s="8" t="n"/>
      <c r="R970" s="8" t="n"/>
      <c r="S970" s="8" t="n"/>
      <c r="T970" s="8" t="n"/>
      <c r="U970" s="8" t="n"/>
      <c r="V970" s="8" t="n"/>
    </row>
    <row r="971">
      <c r="A971" s="8" t="n"/>
      <c r="B971" s="61" t="n"/>
      <c r="C971" s="8" t="n"/>
      <c r="D971" s="62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61" t="n"/>
      <c r="N971" s="63" t="n"/>
      <c r="O971" s="8" t="n"/>
      <c r="P971" s="8" t="n"/>
      <c r="Q971" s="8" t="n"/>
      <c r="R971" s="8" t="n"/>
      <c r="S971" s="8" t="n"/>
      <c r="T971" s="8" t="n"/>
      <c r="U971" s="8" t="n"/>
      <c r="V971" s="8" t="n"/>
    </row>
    <row r="972">
      <c r="A972" s="8" t="n"/>
      <c r="B972" s="61" t="n"/>
      <c r="C972" s="8" t="n"/>
      <c r="D972" s="62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61" t="n"/>
      <c r="N972" s="63" t="n"/>
      <c r="O972" s="8" t="n"/>
      <c r="P972" s="8" t="n"/>
      <c r="Q972" s="8" t="n"/>
      <c r="R972" s="8" t="n"/>
      <c r="S972" s="8" t="n"/>
      <c r="T972" s="8" t="n"/>
      <c r="U972" s="8" t="n"/>
      <c r="V972" s="8" t="n"/>
    </row>
    <row r="973">
      <c r="A973" s="8" t="n"/>
      <c r="B973" s="61" t="n"/>
      <c r="C973" s="8" t="n"/>
      <c r="D973" s="62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61" t="n"/>
      <c r="N973" s="63" t="n"/>
      <c r="O973" s="8" t="n"/>
      <c r="P973" s="8" t="n"/>
      <c r="Q973" s="8" t="n"/>
      <c r="R973" s="8" t="n"/>
      <c r="S973" s="8" t="n"/>
      <c r="T973" s="8" t="n"/>
      <c r="U973" s="8" t="n"/>
      <c r="V973" s="8" t="n"/>
    </row>
    <row r="974">
      <c r="A974" s="8" t="n"/>
      <c r="B974" s="61" t="n"/>
      <c r="C974" s="8" t="n"/>
      <c r="D974" s="62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61" t="n"/>
      <c r="N974" s="63" t="n"/>
      <c r="O974" s="8" t="n"/>
      <c r="P974" s="8" t="n"/>
      <c r="Q974" s="8" t="n"/>
      <c r="R974" s="8" t="n"/>
      <c r="S974" s="8" t="n"/>
      <c r="T974" s="8" t="n"/>
      <c r="U974" s="8" t="n"/>
      <c r="V974" s="8" t="n"/>
    </row>
    <row r="975">
      <c r="A975" s="8" t="n"/>
      <c r="B975" s="61" t="n"/>
      <c r="C975" s="8" t="n"/>
      <c r="D975" s="62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61" t="n"/>
      <c r="N975" s="63" t="n"/>
      <c r="O975" s="8" t="n"/>
      <c r="P975" s="8" t="n"/>
      <c r="Q975" s="8" t="n"/>
      <c r="R975" s="8" t="n"/>
      <c r="S975" s="8" t="n"/>
      <c r="T975" s="8" t="n"/>
      <c r="U975" s="8" t="n"/>
      <c r="V975" s="8" t="n"/>
    </row>
    <row r="976">
      <c r="A976" s="8" t="n"/>
      <c r="B976" s="61" t="n"/>
      <c r="C976" s="8" t="n"/>
      <c r="D976" s="62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61" t="n"/>
      <c r="N976" s="63" t="n"/>
      <c r="O976" s="8" t="n"/>
      <c r="P976" s="8" t="n"/>
      <c r="Q976" s="8" t="n"/>
      <c r="R976" s="8" t="n"/>
      <c r="S976" s="8" t="n"/>
      <c r="T976" s="8" t="n"/>
      <c r="U976" s="8" t="n"/>
      <c r="V976" s="8" t="n"/>
    </row>
    <row r="977">
      <c r="A977" s="8" t="n"/>
      <c r="B977" s="61" t="n"/>
      <c r="C977" s="8" t="n"/>
      <c r="D977" s="62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61" t="n"/>
      <c r="N977" s="63" t="n"/>
      <c r="O977" s="8" t="n"/>
      <c r="P977" s="8" t="n"/>
      <c r="Q977" s="8" t="n"/>
      <c r="R977" s="8" t="n"/>
      <c r="S977" s="8" t="n"/>
      <c r="T977" s="8" t="n"/>
      <c r="U977" s="8" t="n"/>
      <c r="V977" s="8" t="n"/>
    </row>
    <row r="978">
      <c r="A978" s="8" t="n"/>
      <c r="B978" s="61" t="n"/>
      <c r="C978" s="8" t="n"/>
      <c r="D978" s="62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61" t="n"/>
      <c r="N978" s="63" t="n"/>
      <c r="O978" s="8" t="n"/>
      <c r="P978" s="8" t="n"/>
      <c r="Q978" s="8" t="n"/>
      <c r="R978" s="8" t="n"/>
      <c r="S978" s="8" t="n"/>
      <c r="T978" s="8" t="n"/>
      <c r="U978" s="8" t="n"/>
      <c r="V978" s="8" t="n"/>
    </row>
    <row r="979">
      <c r="A979" s="8" t="n"/>
      <c r="B979" s="61" t="n"/>
      <c r="C979" s="8" t="n"/>
      <c r="D979" s="62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61" t="n"/>
      <c r="N979" s="63" t="n"/>
      <c r="O979" s="8" t="n"/>
      <c r="P979" s="8" t="n"/>
      <c r="Q979" s="8" t="n"/>
      <c r="R979" s="8" t="n"/>
      <c r="S979" s="8" t="n"/>
      <c r="T979" s="8" t="n"/>
      <c r="U979" s="8" t="n"/>
      <c r="V979" s="8" t="n"/>
    </row>
    <row r="980">
      <c r="A980" s="8" t="n"/>
      <c r="B980" s="61" t="n"/>
      <c r="C980" s="8" t="n"/>
      <c r="D980" s="62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61" t="n"/>
      <c r="N980" s="63" t="n"/>
      <c r="O980" s="8" t="n"/>
      <c r="P980" s="8" t="n"/>
      <c r="Q980" s="8" t="n"/>
      <c r="R980" s="8" t="n"/>
      <c r="S980" s="8" t="n"/>
      <c r="T980" s="8" t="n"/>
      <c r="U980" s="8" t="n"/>
      <c r="V980" s="8" t="n"/>
    </row>
    <row r="981">
      <c r="A981" s="8" t="n"/>
      <c r="B981" s="61" t="n"/>
      <c r="C981" s="8" t="n"/>
      <c r="D981" s="62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61" t="n"/>
      <c r="N981" s="63" t="n"/>
      <c r="O981" s="8" t="n"/>
      <c r="P981" s="8" t="n"/>
      <c r="Q981" s="8" t="n"/>
      <c r="R981" s="8" t="n"/>
      <c r="S981" s="8" t="n"/>
      <c r="T981" s="8" t="n"/>
      <c r="U981" s="8" t="n"/>
      <c r="V981" s="8" t="n"/>
    </row>
    <row r="982">
      <c r="A982" s="8" t="n"/>
      <c r="B982" s="61" t="n"/>
      <c r="C982" s="8" t="n"/>
      <c r="D982" s="62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61" t="n"/>
      <c r="N982" s="63" t="n"/>
      <c r="O982" s="8" t="n"/>
      <c r="P982" s="8" t="n"/>
      <c r="Q982" s="8" t="n"/>
      <c r="R982" s="8" t="n"/>
      <c r="S982" s="8" t="n"/>
      <c r="T982" s="8" t="n"/>
      <c r="U982" s="8" t="n"/>
      <c r="V982" s="8" t="n"/>
    </row>
    <row r="983">
      <c r="A983" s="8" t="n"/>
      <c r="B983" s="61" t="n"/>
      <c r="C983" s="8" t="n"/>
      <c r="D983" s="62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61" t="n"/>
      <c r="N983" s="63" t="n"/>
      <c r="O983" s="8" t="n"/>
      <c r="P983" s="8" t="n"/>
      <c r="Q983" s="8" t="n"/>
      <c r="R983" s="8" t="n"/>
      <c r="S983" s="8" t="n"/>
      <c r="T983" s="8" t="n"/>
      <c r="U983" s="8" t="n"/>
      <c r="V983" s="8" t="n"/>
    </row>
    <row r="984">
      <c r="A984" s="8" t="n"/>
      <c r="B984" s="61" t="n"/>
      <c r="C984" s="8" t="n"/>
      <c r="D984" s="62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61" t="n"/>
      <c r="N984" s="63" t="n"/>
      <c r="O984" s="8" t="n"/>
      <c r="P984" s="8" t="n"/>
      <c r="Q984" s="8" t="n"/>
      <c r="R984" s="8" t="n"/>
      <c r="S984" s="8" t="n"/>
      <c r="T984" s="8" t="n"/>
      <c r="U984" s="8" t="n"/>
      <c r="V984" s="8" t="n"/>
    </row>
    <row r="985">
      <c r="A985" s="8" t="n"/>
      <c r="B985" s="61" t="n"/>
      <c r="C985" s="8" t="n"/>
      <c r="D985" s="62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61" t="n"/>
      <c r="N985" s="63" t="n"/>
      <c r="O985" s="8" t="n"/>
      <c r="P985" s="8" t="n"/>
      <c r="Q985" s="8" t="n"/>
      <c r="R985" s="8" t="n"/>
      <c r="S985" s="8" t="n"/>
      <c r="T985" s="8" t="n"/>
      <c r="U985" s="8" t="n"/>
      <c r="V985" s="8" t="n"/>
    </row>
    <row r="986">
      <c r="A986" s="8" t="n"/>
      <c r="B986" s="61" t="n"/>
      <c r="C986" s="8" t="n"/>
      <c r="D986" s="62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61" t="n"/>
      <c r="N986" s="63" t="n"/>
      <c r="O986" s="8" t="n"/>
      <c r="P986" s="8" t="n"/>
      <c r="Q986" s="8" t="n"/>
      <c r="R986" s="8" t="n"/>
      <c r="S986" s="8" t="n"/>
      <c r="T986" s="8" t="n"/>
      <c r="U986" s="8" t="n"/>
      <c r="V986" s="8" t="n"/>
    </row>
    <row r="987">
      <c r="A987" s="8" t="n"/>
      <c r="B987" s="61" t="n"/>
      <c r="C987" s="8" t="n"/>
      <c r="D987" s="62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61" t="n"/>
      <c r="N987" s="63" t="n"/>
      <c r="O987" s="8" t="n"/>
      <c r="P987" s="8" t="n"/>
      <c r="Q987" s="8" t="n"/>
      <c r="R987" s="8" t="n"/>
      <c r="S987" s="8" t="n"/>
      <c r="T987" s="8" t="n"/>
      <c r="U987" s="8" t="n"/>
      <c r="V987" s="8" t="n"/>
    </row>
    <row r="988">
      <c r="A988" s="8" t="n"/>
      <c r="B988" s="61" t="n"/>
      <c r="C988" s="8" t="n"/>
      <c r="D988" s="62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61" t="n"/>
      <c r="N988" s="63" t="n"/>
      <c r="O988" s="8" t="n"/>
      <c r="P988" s="8" t="n"/>
      <c r="Q988" s="8" t="n"/>
      <c r="R988" s="8" t="n"/>
      <c r="S988" s="8" t="n"/>
      <c r="T988" s="8" t="n"/>
      <c r="U988" s="8" t="n"/>
      <c r="V988" s="8" t="n"/>
    </row>
    <row r="989">
      <c r="A989" s="8" t="n"/>
      <c r="B989" s="61" t="n"/>
      <c r="C989" s="8" t="n"/>
      <c r="D989" s="62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61" t="n"/>
      <c r="N989" s="63" t="n"/>
      <c r="O989" s="8" t="n"/>
      <c r="P989" s="8" t="n"/>
      <c r="Q989" s="8" t="n"/>
      <c r="R989" s="8" t="n"/>
      <c r="S989" s="8" t="n"/>
      <c r="T989" s="8" t="n"/>
      <c r="U989" s="8" t="n"/>
      <c r="V989" s="8" t="n"/>
    </row>
    <row r="990">
      <c r="A990" s="8" t="n"/>
      <c r="B990" s="61" t="n"/>
      <c r="C990" s="8" t="n"/>
      <c r="D990" s="62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61" t="n"/>
      <c r="N990" s="63" t="n"/>
      <c r="O990" s="8" t="n"/>
      <c r="P990" s="8" t="n"/>
      <c r="Q990" s="8" t="n"/>
      <c r="R990" s="8" t="n"/>
      <c r="S990" s="8" t="n"/>
      <c r="T990" s="8" t="n"/>
      <c r="U990" s="8" t="n"/>
      <c r="V990" s="8" t="n"/>
    </row>
    <row r="991">
      <c r="A991" s="8" t="n"/>
      <c r="B991" s="61" t="n"/>
      <c r="C991" s="8" t="n"/>
      <c r="D991" s="62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61" t="n"/>
      <c r="N991" s="63" t="n"/>
      <c r="O991" s="8" t="n"/>
      <c r="P991" s="8" t="n"/>
      <c r="Q991" s="8" t="n"/>
      <c r="R991" s="8" t="n"/>
      <c r="S991" s="8" t="n"/>
      <c r="T991" s="8" t="n"/>
      <c r="U991" s="8" t="n"/>
      <c r="V991" s="8" t="n"/>
    </row>
    <row r="992">
      <c r="A992" s="8" t="n"/>
      <c r="B992" s="61" t="n"/>
      <c r="C992" s="8" t="n"/>
      <c r="D992" s="62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61" t="n"/>
      <c r="N992" s="63" t="n"/>
      <c r="O992" s="8" t="n"/>
      <c r="P992" s="8" t="n"/>
      <c r="Q992" s="8" t="n"/>
      <c r="R992" s="8" t="n"/>
      <c r="S992" s="8" t="n"/>
      <c r="T992" s="8" t="n"/>
      <c r="U992" s="8" t="n"/>
      <c r="V992" s="8" t="n"/>
    </row>
    <row r="993">
      <c r="A993" s="8" t="n"/>
      <c r="B993" s="61" t="n"/>
      <c r="C993" s="8" t="n"/>
      <c r="D993" s="62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61" t="n"/>
      <c r="N993" s="63" t="n"/>
      <c r="O993" s="8" t="n"/>
      <c r="P993" s="8" t="n"/>
      <c r="Q993" s="8" t="n"/>
      <c r="R993" s="8" t="n"/>
      <c r="S993" s="8" t="n"/>
      <c r="T993" s="8" t="n"/>
      <c r="U993" s="8" t="n"/>
      <c r="V993" s="8" t="n"/>
    </row>
    <row r="994">
      <c r="A994" s="8" t="n"/>
      <c r="B994" s="61" t="n"/>
      <c r="C994" s="8" t="n"/>
      <c r="D994" s="62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61" t="n"/>
      <c r="N994" s="63" t="n"/>
      <c r="O994" s="8" t="n"/>
      <c r="P994" s="8" t="n"/>
      <c r="Q994" s="8" t="n"/>
      <c r="R994" s="8" t="n"/>
      <c r="S994" s="8" t="n"/>
      <c r="T994" s="8" t="n"/>
      <c r="U994" s="8" t="n"/>
      <c r="V994" s="8" t="n"/>
    </row>
    <row r="995">
      <c r="A995" s="8" t="n"/>
      <c r="B995" s="61" t="n"/>
      <c r="C995" s="8" t="n"/>
      <c r="D995" s="62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61" t="n"/>
      <c r="N995" s="63" t="n"/>
      <c r="O995" s="8" t="n"/>
      <c r="P995" s="8" t="n"/>
      <c r="Q995" s="8" t="n"/>
      <c r="R995" s="8" t="n"/>
      <c r="S995" s="8" t="n"/>
      <c r="T995" s="8" t="n"/>
      <c r="U995" s="8" t="n"/>
      <c r="V995" s="8" t="n"/>
    </row>
    <row r="996">
      <c r="A996" s="8" t="n"/>
      <c r="B996" s="61" t="n"/>
      <c r="C996" s="8" t="n"/>
      <c r="D996" s="62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61" t="n"/>
      <c r="N996" s="63" t="n"/>
      <c r="O996" s="8" t="n"/>
      <c r="P996" s="8" t="n"/>
      <c r="Q996" s="8" t="n"/>
      <c r="R996" s="8" t="n"/>
      <c r="S996" s="8" t="n"/>
      <c r="T996" s="8" t="n"/>
      <c r="U996" s="8" t="n"/>
      <c r="V996" s="8" t="n"/>
    </row>
    <row r="997">
      <c r="A997" s="8" t="n"/>
      <c r="B997" s="61" t="n"/>
      <c r="C997" s="8" t="n"/>
      <c r="D997" s="62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61" t="n"/>
      <c r="N997" s="63" t="n"/>
      <c r="O997" s="8" t="n"/>
      <c r="P997" s="8" t="n"/>
      <c r="Q997" s="8" t="n"/>
      <c r="R997" s="8" t="n"/>
      <c r="S997" s="8" t="n"/>
      <c r="T997" s="8" t="n"/>
      <c r="U997" s="8" t="n"/>
      <c r="V997" s="8" t="n"/>
    </row>
    <row r="998">
      <c r="A998" s="8" t="n"/>
      <c r="B998" s="61" t="n"/>
      <c r="C998" s="8" t="n"/>
      <c r="D998" s="62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61" t="n"/>
      <c r="N998" s="63" t="n"/>
      <c r="O998" s="8" t="n"/>
      <c r="P998" s="8" t="n"/>
      <c r="Q998" s="8" t="n"/>
      <c r="R998" s="8" t="n"/>
      <c r="S998" s="8" t="n"/>
      <c r="T998" s="8" t="n"/>
      <c r="U998" s="8" t="n"/>
      <c r="V998" s="8" t="n"/>
    </row>
    <row r="999">
      <c r="A999" s="8" t="n"/>
      <c r="B999" s="61" t="n"/>
      <c r="C999" s="8" t="n"/>
      <c r="D999" s="62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61" t="n"/>
      <c r="N999" s="63" t="n"/>
      <c r="O999" s="8" t="n"/>
      <c r="P999" s="8" t="n"/>
      <c r="Q999" s="8" t="n"/>
      <c r="R999" s="8" t="n"/>
      <c r="S999" s="8" t="n"/>
      <c r="T999" s="8" t="n"/>
      <c r="U999" s="8" t="n"/>
      <c r="V999" s="8" t="n"/>
    </row>
    <row r="1000">
      <c r="A1000" s="8" t="n"/>
      <c r="B1000" s="61" t="n"/>
      <c r="C1000" s="8" t="n"/>
      <c r="D1000" s="62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61" t="n"/>
      <c r="N1000" s="63" t="n"/>
      <c r="O1000" s="8" t="n"/>
      <c r="P1000" s="8" t="n"/>
      <c r="Q1000" s="8" t="n"/>
      <c r="R1000" s="8" t="n"/>
      <c r="S1000" s="8" t="n"/>
      <c r="T1000" s="8" t="n"/>
      <c r="U1000" s="8" t="n"/>
      <c r="V1000" s="8" t="n"/>
    </row>
    <row r="1001">
      <c r="A1001" s="8" t="n"/>
      <c r="B1001" s="61" t="n"/>
      <c r="C1001" s="8" t="n"/>
      <c r="D1001" s="62" t="n"/>
      <c r="E1001" s="8" t="n"/>
      <c r="F1001" s="8" t="n"/>
      <c r="G1001" s="8" t="n"/>
      <c r="H1001" s="8" t="n"/>
      <c r="I1001" s="8" t="n"/>
      <c r="J1001" s="8" t="n"/>
      <c r="K1001" s="8" t="n"/>
      <c r="L1001" s="8" t="n"/>
      <c r="M1001" s="61" t="n"/>
      <c r="N1001" s="63" t="n"/>
      <c r="O1001" s="8" t="n"/>
      <c r="P1001" s="8" t="n"/>
      <c r="Q1001" s="8" t="n"/>
      <c r="R1001" s="8" t="n"/>
      <c r="S1001" s="8" t="n"/>
      <c r="T1001" s="8" t="n"/>
      <c r="U1001" s="8" t="n"/>
      <c r="V1001" s="8" t="n"/>
    </row>
    <row r="1002">
      <c r="A1002" s="8" t="n"/>
      <c r="B1002" s="61" t="n"/>
      <c r="C1002" s="8" t="n"/>
      <c r="D1002" s="62" t="n"/>
      <c r="E1002" s="8" t="n"/>
      <c r="F1002" s="8" t="n"/>
      <c r="G1002" s="8" t="n"/>
      <c r="H1002" s="8" t="n"/>
      <c r="I1002" s="8" t="n"/>
      <c r="J1002" s="8" t="n"/>
      <c r="K1002" s="8" t="n"/>
      <c r="L1002" s="8" t="n"/>
      <c r="M1002" s="61" t="n"/>
      <c r="N1002" s="63" t="n"/>
      <c r="O1002" s="8" t="n"/>
      <c r="P1002" s="8" t="n"/>
      <c r="Q1002" s="8" t="n"/>
      <c r="R1002" s="8" t="n"/>
      <c r="S1002" s="8" t="n"/>
      <c r="T1002" s="8" t="n"/>
      <c r="U1002" s="8" t="n"/>
      <c r="V1002" s="8" t="n"/>
    </row>
    <row r="1003">
      <c r="A1003" s="8" t="n"/>
      <c r="B1003" s="61" t="n"/>
      <c r="C1003" s="8" t="n"/>
      <c r="D1003" s="62" t="n"/>
      <c r="E1003" s="8" t="n"/>
      <c r="F1003" s="8" t="n"/>
      <c r="G1003" s="8" t="n"/>
      <c r="H1003" s="8" t="n"/>
      <c r="I1003" s="8" t="n"/>
      <c r="J1003" s="8" t="n"/>
      <c r="K1003" s="8" t="n"/>
      <c r="L1003" s="8" t="n"/>
      <c r="M1003" s="61" t="n"/>
      <c r="N1003" s="63" t="n"/>
      <c r="O1003" s="8" t="n"/>
      <c r="P1003" s="8" t="n"/>
      <c r="Q1003" s="8" t="n"/>
      <c r="R1003" s="8" t="n"/>
      <c r="S1003" s="8" t="n"/>
      <c r="T1003" s="8" t="n"/>
      <c r="U1003" s="8" t="n"/>
      <c r="V1003" s="8" t="n"/>
    </row>
    <row r="1004">
      <c r="A1004" s="8" t="n"/>
      <c r="B1004" s="61" t="n"/>
      <c r="C1004" s="8" t="n"/>
      <c r="D1004" s="62" t="n"/>
      <c r="E1004" s="8" t="n"/>
      <c r="F1004" s="8" t="n"/>
      <c r="G1004" s="8" t="n"/>
      <c r="H1004" s="8" t="n"/>
      <c r="I1004" s="8" t="n"/>
      <c r="J1004" s="8" t="n"/>
      <c r="K1004" s="8" t="n"/>
      <c r="L1004" s="8" t="n"/>
      <c r="M1004" s="61" t="n"/>
      <c r="N1004" s="63" t="n"/>
      <c r="O1004" s="8" t="n"/>
      <c r="P1004" s="8" t="n"/>
      <c r="Q1004" s="8" t="n"/>
      <c r="R1004" s="8" t="n"/>
      <c r="S1004" s="8" t="n"/>
      <c r="T1004" s="8" t="n"/>
      <c r="U1004" s="8" t="n"/>
      <c r="V1004" s="8" t="n"/>
    </row>
    <row r="1005">
      <c r="A1005" s="8" t="n"/>
      <c r="B1005" s="61" t="n"/>
      <c r="C1005" s="8" t="n"/>
      <c r="D1005" s="62" t="n"/>
      <c r="E1005" s="8" t="n"/>
      <c r="F1005" s="8" t="n"/>
      <c r="G1005" s="8" t="n"/>
      <c r="H1005" s="8" t="n"/>
      <c r="I1005" s="8" t="n"/>
      <c r="J1005" s="8" t="n"/>
      <c r="K1005" s="8" t="n"/>
      <c r="L1005" s="8" t="n"/>
      <c r="M1005" s="61" t="n"/>
      <c r="N1005" s="63" t="n"/>
      <c r="O1005" s="8" t="n"/>
      <c r="P1005" s="8" t="n"/>
      <c r="Q1005" s="8" t="n"/>
      <c r="R1005" s="8" t="n"/>
      <c r="S1005" s="8" t="n"/>
      <c r="T1005" s="8" t="n"/>
      <c r="U1005" s="8" t="n"/>
      <c r="V1005" s="8" t="n"/>
    </row>
    <row r="1006">
      <c r="A1006" s="8" t="n"/>
      <c r="B1006" s="61" t="n"/>
      <c r="C1006" s="8" t="n"/>
      <c r="D1006" s="62" t="n"/>
      <c r="E1006" s="8" t="n"/>
      <c r="F1006" s="8" t="n"/>
      <c r="G1006" s="8" t="n"/>
      <c r="H1006" s="8" t="n"/>
      <c r="I1006" s="8" t="n"/>
      <c r="J1006" s="8" t="n"/>
      <c r="K1006" s="8" t="n"/>
      <c r="L1006" s="8" t="n"/>
      <c r="M1006" s="61" t="n"/>
      <c r="N1006" s="63" t="n"/>
      <c r="O1006" s="8" t="n"/>
      <c r="P1006" s="8" t="n"/>
      <c r="Q1006" s="8" t="n"/>
      <c r="R1006" s="8" t="n"/>
      <c r="S1006" s="8" t="n"/>
      <c r="T1006" s="8" t="n"/>
      <c r="U1006" s="8" t="n"/>
      <c r="V1006" s="8" t="n"/>
    </row>
    <row r="1007">
      <c r="A1007" s="8" t="n"/>
      <c r="B1007" s="61" t="n"/>
      <c r="C1007" s="8" t="n"/>
      <c r="D1007" s="62" t="n"/>
      <c r="E1007" s="8" t="n"/>
      <c r="F1007" s="8" t="n"/>
      <c r="G1007" s="8" t="n"/>
      <c r="H1007" s="8" t="n"/>
      <c r="I1007" s="8" t="n"/>
      <c r="J1007" s="8" t="n"/>
      <c r="K1007" s="8" t="n"/>
      <c r="L1007" s="8" t="n"/>
      <c r="M1007" s="61" t="n"/>
      <c r="N1007" s="63" t="n"/>
      <c r="O1007" s="8" t="n"/>
      <c r="P1007" s="8" t="n"/>
      <c r="Q1007" s="8" t="n"/>
      <c r="R1007" s="8" t="n"/>
      <c r="S1007" s="8" t="n"/>
      <c r="T1007" s="8" t="n"/>
      <c r="U1007" s="8" t="n"/>
      <c r="V1007" s="8" t="n"/>
    </row>
    <row r="1008">
      <c r="A1008" s="8" t="n"/>
      <c r="B1008" s="61" t="n"/>
      <c r="C1008" s="8" t="n"/>
      <c r="D1008" s="62" t="n"/>
      <c r="E1008" s="8" t="n"/>
      <c r="F1008" s="8" t="n"/>
      <c r="G1008" s="8" t="n"/>
      <c r="H1008" s="8" t="n"/>
      <c r="I1008" s="8" t="n"/>
      <c r="J1008" s="8" t="n"/>
      <c r="K1008" s="8" t="n"/>
      <c r="L1008" s="8" t="n"/>
      <c r="M1008" s="61" t="n"/>
      <c r="N1008" s="63" t="n"/>
      <c r="O1008" s="8" t="n"/>
      <c r="P1008" s="8" t="n"/>
      <c r="Q1008" s="8" t="n"/>
      <c r="R1008" s="8" t="n"/>
      <c r="S1008" s="8" t="n"/>
      <c r="T1008" s="8" t="n"/>
      <c r="U1008" s="8" t="n"/>
      <c r="V1008" s="8" t="n"/>
    </row>
    <row r="1009">
      <c r="A1009" s="8" t="n"/>
      <c r="B1009" s="61" t="n"/>
      <c r="C1009" s="8" t="n"/>
      <c r="D1009" s="62" t="n"/>
      <c r="E1009" s="8" t="n"/>
      <c r="F1009" s="8" t="n"/>
      <c r="G1009" s="8" t="n"/>
      <c r="H1009" s="8" t="n"/>
      <c r="I1009" s="8" t="n"/>
      <c r="J1009" s="8" t="n"/>
      <c r="K1009" s="8" t="n"/>
      <c r="L1009" s="8" t="n"/>
      <c r="M1009" s="61" t="n"/>
      <c r="N1009" s="63" t="n"/>
      <c r="O1009" s="8" t="n"/>
      <c r="P1009" s="8" t="n"/>
      <c r="Q1009" s="8" t="n"/>
      <c r="R1009" s="8" t="n"/>
      <c r="S1009" s="8" t="n"/>
      <c r="T1009" s="8" t="n"/>
      <c r="U1009" s="8" t="n"/>
      <c r="V1009" s="8" t="n"/>
    </row>
    <row r="1010">
      <c r="A1010" s="8" t="n"/>
      <c r="B1010" s="61" t="n"/>
      <c r="C1010" s="8" t="n"/>
      <c r="D1010" s="62" t="n"/>
      <c r="E1010" s="8" t="n"/>
      <c r="F1010" s="8" t="n"/>
      <c r="G1010" s="8" t="n"/>
      <c r="H1010" s="8" t="n"/>
      <c r="I1010" s="8" t="n"/>
      <c r="J1010" s="8" t="n"/>
      <c r="K1010" s="8" t="n"/>
      <c r="L1010" s="8" t="n"/>
      <c r="M1010" s="61" t="n"/>
      <c r="N1010" s="63" t="n"/>
      <c r="O1010" s="8" t="n"/>
      <c r="P1010" s="8" t="n"/>
      <c r="Q1010" s="8" t="n"/>
      <c r="R1010" s="8" t="n"/>
      <c r="S1010" s="8" t="n"/>
      <c r="T1010" s="8" t="n"/>
      <c r="U1010" s="8" t="n"/>
      <c r="V1010" s="8" t="n"/>
    </row>
    <row r="1011">
      <c r="A1011" s="8" t="n"/>
      <c r="B1011" s="61" t="n"/>
      <c r="C1011" s="8" t="n"/>
      <c r="D1011" s="62" t="n"/>
      <c r="E1011" s="8" t="n"/>
      <c r="F1011" s="8" t="n"/>
      <c r="G1011" s="8" t="n"/>
      <c r="H1011" s="8" t="n"/>
      <c r="I1011" s="8" t="n"/>
      <c r="J1011" s="8" t="n"/>
      <c r="K1011" s="8" t="n"/>
      <c r="L1011" s="8" t="n"/>
      <c r="M1011" s="61" t="n"/>
      <c r="N1011" s="63" t="n"/>
      <c r="O1011" s="8" t="n"/>
      <c r="P1011" s="8" t="n"/>
      <c r="Q1011" s="8" t="n"/>
      <c r="R1011" s="8" t="n"/>
      <c r="S1011" s="8" t="n"/>
      <c r="T1011" s="8" t="n"/>
      <c r="U1011" s="8" t="n"/>
      <c r="V1011" s="8" t="n"/>
    </row>
    <row r="1012">
      <c r="A1012" s="8" t="n"/>
      <c r="B1012" s="61" t="n"/>
      <c r="C1012" s="8" t="n"/>
      <c r="D1012" s="62" t="n"/>
      <c r="E1012" s="8" t="n"/>
      <c r="F1012" s="8" t="n"/>
      <c r="G1012" s="8" t="n"/>
      <c r="H1012" s="8" t="n"/>
      <c r="I1012" s="8" t="n"/>
      <c r="J1012" s="8" t="n"/>
      <c r="K1012" s="8" t="n"/>
      <c r="L1012" s="8" t="n"/>
      <c r="M1012" s="61" t="n"/>
      <c r="N1012" s="63" t="n"/>
      <c r="O1012" s="8" t="n"/>
      <c r="P1012" s="8" t="n"/>
      <c r="Q1012" s="8" t="n"/>
      <c r="R1012" s="8" t="n"/>
      <c r="S1012" s="8" t="n"/>
      <c r="T1012" s="8" t="n"/>
      <c r="U1012" s="8" t="n"/>
      <c r="V1012" s="8" t="n"/>
    </row>
    <row r="1013">
      <c r="A1013" s="8" t="n"/>
      <c r="B1013" s="61" t="n"/>
      <c r="C1013" s="8" t="n"/>
      <c r="D1013" s="62" t="n"/>
      <c r="E1013" s="8" t="n"/>
      <c r="F1013" s="8" t="n"/>
      <c r="G1013" s="8" t="n"/>
      <c r="H1013" s="8" t="n"/>
      <c r="I1013" s="8" t="n"/>
      <c r="J1013" s="8" t="n"/>
      <c r="K1013" s="8" t="n"/>
      <c r="L1013" s="8" t="n"/>
      <c r="M1013" s="61" t="n"/>
      <c r="N1013" s="63" t="n"/>
      <c r="O1013" s="8" t="n"/>
      <c r="P1013" s="8" t="n"/>
      <c r="Q1013" s="8" t="n"/>
      <c r="R1013" s="8" t="n"/>
      <c r="S1013" s="8" t="n"/>
      <c r="T1013" s="8" t="n"/>
      <c r="U1013" s="8" t="n"/>
      <c r="V1013" s="8" t="n"/>
    </row>
    <row r="1014">
      <c r="A1014" s="8" t="n"/>
      <c r="B1014" s="61" t="n"/>
      <c r="C1014" s="8" t="n"/>
      <c r="D1014" s="62" t="n"/>
      <c r="E1014" s="8" t="n"/>
      <c r="F1014" s="8" t="n"/>
      <c r="G1014" s="8" t="n"/>
      <c r="H1014" s="8" t="n"/>
      <c r="I1014" s="8" t="n"/>
      <c r="J1014" s="8" t="n"/>
      <c r="K1014" s="8" t="n"/>
      <c r="L1014" s="8" t="n"/>
      <c r="M1014" s="61" t="n"/>
      <c r="N1014" s="63" t="n"/>
      <c r="O1014" s="8" t="n"/>
      <c r="P1014" s="8" t="n"/>
      <c r="Q1014" s="8" t="n"/>
      <c r="R1014" s="8" t="n"/>
      <c r="S1014" s="8" t="n"/>
      <c r="T1014" s="8" t="n"/>
      <c r="U1014" s="8" t="n"/>
      <c r="V1014" s="8" t="n"/>
    </row>
    <row r="1015">
      <c r="A1015" s="8" t="n"/>
      <c r="B1015" s="61" t="n"/>
      <c r="C1015" s="8" t="n"/>
      <c r="D1015" s="62" t="n"/>
      <c r="E1015" s="8" t="n"/>
      <c r="F1015" s="8" t="n"/>
      <c r="G1015" s="8" t="n"/>
      <c r="H1015" s="8" t="n"/>
      <c r="I1015" s="8" t="n"/>
      <c r="J1015" s="8" t="n"/>
      <c r="K1015" s="8" t="n"/>
      <c r="L1015" s="8" t="n"/>
      <c r="M1015" s="61" t="n"/>
      <c r="N1015" s="63" t="n"/>
      <c r="O1015" s="8" t="n"/>
      <c r="P1015" s="8" t="n"/>
      <c r="Q1015" s="8" t="n"/>
      <c r="R1015" s="8" t="n"/>
      <c r="S1015" s="8" t="n"/>
      <c r="T1015" s="8" t="n"/>
      <c r="U1015" s="8" t="n"/>
      <c r="V1015" s="8" t="n"/>
    </row>
    <row r="1016">
      <c r="A1016" s="8" t="n"/>
      <c r="B1016" s="61" t="n"/>
      <c r="C1016" s="8" t="n"/>
      <c r="D1016" s="62" t="n"/>
      <c r="E1016" s="8" t="n"/>
      <c r="F1016" s="8" t="n"/>
      <c r="G1016" s="8" t="n"/>
      <c r="H1016" s="8" t="n"/>
      <c r="I1016" s="8" t="n"/>
      <c r="J1016" s="8" t="n"/>
      <c r="K1016" s="8" t="n"/>
      <c r="L1016" s="8" t="n"/>
      <c r="M1016" s="61" t="n"/>
      <c r="N1016" s="63" t="n"/>
      <c r="O1016" s="8" t="n"/>
      <c r="P1016" s="8" t="n"/>
      <c r="Q1016" s="8" t="n"/>
      <c r="R1016" s="8" t="n"/>
      <c r="S1016" s="8" t="n"/>
      <c r="T1016" s="8" t="n"/>
      <c r="U1016" s="8" t="n"/>
      <c r="V1016" s="8" t="n"/>
    </row>
    <row r="1017">
      <c r="A1017" s="8" t="n"/>
      <c r="B1017" s="61" t="n"/>
      <c r="C1017" s="8" t="n"/>
      <c r="D1017" s="62" t="n"/>
      <c r="E1017" s="8" t="n"/>
      <c r="F1017" s="8" t="n"/>
      <c r="G1017" s="8" t="n"/>
      <c r="H1017" s="8" t="n"/>
      <c r="I1017" s="8" t="n"/>
      <c r="J1017" s="8" t="n"/>
      <c r="K1017" s="8" t="n"/>
      <c r="L1017" s="8" t="n"/>
      <c r="M1017" s="61" t="n"/>
      <c r="N1017" s="63" t="n"/>
      <c r="O1017" s="8" t="n"/>
      <c r="P1017" s="8" t="n"/>
      <c r="Q1017" s="8" t="n"/>
      <c r="R1017" s="8" t="n"/>
      <c r="S1017" s="8" t="n"/>
      <c r="T1017" s="8" t="n"/>
      <c r="U1017" s="8" t="n"/>
      <c r="V1017" s="8" t="n"/>
    </row>
    <row r="1018">
      <c r="A1018" s="8" t="n"/>
      <c r="B1018" s="61" t="n"/>
      <c r="C1018" s="8" t="n"/>
      <c r="D1018" s="62" t="n"/>
      <c r="E1018" s="8" t="n"/>
      <c r="F1018" s="8" t="n"/>
      <c r="G1018" s="8" t="n"/>
      <c r="H1018" s="8" t="n"/>
      <c r="I1018" s="8" t="n"/>
      <c r="J1018" s="8" t="n"/>
      <c r="K1018" s="8" t="n"/>
      <c r="L1018" s="8" t="n"/>
      <c r="M1018" s="61" t="n"/>
      <c r="N1018" s="63" t="n"/>
      <c r="O1018" s="8" t="n"/>
      <c r="P1018" s="8" t="n"/>
      <c r="Q1018" s="8" t="n"/>
      <c r="R1018" s="8" t="n"/>
      <c r="S1018" s="8" t="n"/>
      <c r="T1018" s="8" t="n"/>
      <c r="U1018" s="8" t="n"/>
      <c r="V1018" s="8" t="n"/>
    </row>
    <row r="1019">
      <c r="A1019" s="8" t="n"/>
      <c r="B1019" s="61" t="n"/>
      <c r="C1019" s="8" t="n"/>
      <c r="D1019" s="62" t="n"/>
      <c r="E1019" s="8" t="n"/>
      <c r="F1019" s="8" t="n"/>
      <c r="G1019" s="8" t="n"/>
      <c r="H1019" s="8" t="n"/>
      <c r="I1019" s="8" t="n"/>
      <c r="J1019" s="8" t="n"/>
      <c r="K1019" s="8" t="n"/>
      <c r="L1019" s="8" t="n"/>
      <c r="M1019" s="61" t="n"/>
      <c r="N1019" s="63" t="n"/>
      <c r="O1019" s="8" t="n"/>
      <c r="P1019" s="8" t="n"/>
      <c r="Q1019" s="8" t="n"/>
      <c r="R1019" s="8" t="n"/>
      <c r="S1019" s="8" t="n"/>
      <c r="T1019" s="8" t="n"/>
      <c r="U1019" s="8" t="n"/>
      <c r="V1019" s="8" t="n"/>
    </row>
    <row r="1020">
      <c r="A1020" s="8" t="n"/>
      <c r="B1020" s="61" t="n"/>
      <c r="C1020" s="8" t="n"/>
      <c r="D1020" s="62" t="n"/>
      <c r="E1020" s="8" t="n"/>
      <c r="F1020" s="8" t="n"/>
      <c r="G1020" s="8" t="n"/>
      <c r="H1020" s="8" t="n"/>
      <c r="I1020" s="8" t="n"/>
      <c r="J1020" s="8" t="n"/>
      <c r="K1020" s="8" t="n"/>
      <c r="L1020" s="8" t="n"/>
      <c r="M1020" s="61" t="n"/>
      <c r="N1020" s="63" t="n"/>
      <c r="O1020" s="8" t="n"/>
      <c r="P1020" s="8" t="n"/>
      <c r="Q1020" s="8" t="n"/>
      <c r="R1020" s="8" t="n"/>
      <c r="S1020" s="8" t="n"/>
      <c r="T1020" s="8" t="n"/>
      <c r="U1020" s="8" t="n"/>
      <c r="V1020" s="8" t="n"/>
    </row>
    <row r="1021">
      <c r="A1021" s="8" t="n"/>
      <c r="B1021" s="61" t="n"/>
      <c r="C1021" s="8" t="n"/>
      <c r="D1021" s="62" t="n"/>
      <c r="E1021" s="8" t="n"/>
      <c r="F1021" s="8" t="n"/>
      <c r="G1021" s="8" t="n"/>
      <c r="H1021" s="8" t="n"/>
      <c r="I1021" s="8" t="n"/>
      <c r="J1021" s="8" t="n"/>
      <c r="K1021" s="8" t="n"/>
      <c r="L1021" s="8" t="n"/>
      <c r="M1021" s="61" t="n"/>
      <c r="N1021" s="63" t="n"/>
      <c r="O1021" s="8" t="n"/>
      <c r="P1021" s="8" t="n"/>
      <c r="Q1021" s="8" t="n"/>
      <c r="R1021" s="8" t="n"/>
      <c r="S1021" s="8" t="n"/>
      <c r="T1021" s="8" t="n"/>
      <c r="U1021" s="8" t="n"/>
      <c r="V1021" s="8" t="n"/>
    </row>
    <row r="1022">
      <c r="A1022" s="8" t="n"/>
      <c r="B1022" s="61" t="n"/>
      <c r="C1022" s="8" t="n"/>
      <c r="D1022" s="62" t="n"/>
      <c r="E1022" s="8" t="n"/>
      <c r="F1022" s="8" t="n"/>
      <c r="G1022" s="8" t="n"/>
      <c r="H1022" s="8" t="n"/>
      <c r="I1022" s="8" t="n"/>
      <c r="J1022" s="8" t="n"/>
      <c r="K1022" s="8" t="n"/>
      <c r="L1022" s="8" t="n"/>
      <c r="M1022" s="61" t="n"/>
      <c r="N1022" s="63" t="n"/>
      <c r="O1022" s="8" t="n"/>
      <c r="P1022" s="8" t="n"/>
      <c r="Q1022" s="8" t="n"/>
      <c r="R1022" s="8" t="n"/>
      <c r="S1022" s="8" t="n"/>
      <c r="T1022" s="8" t="n"/>
      <c r="U1022" s="8" t="n"/>
      <c r="V1022" s="8" t="n"/>
    </row>
    <row r="1023">
      <c r="A1023" s="8" t="n"/>
      <c r="B1023" s="61" t="n"/>
      <c r="C1023" s="8" t="n"/>
      <c r="D1023" s="62" t="n"/>
      <c r="E1023" s="8" t="n"/>
      <c r="F1023" s="8" t="n"/>
      <c r="G1023" s="8" t="n"/>
      <c r="H1023" s="8" t="n"/>
      <c r="I1023" s="8" t="n"/>
      <c r="J1023" s="8" t="n"/>
      <c r="K1023" s="8" t="n"/>
      <c r="L1023" s="8" t="n"/>
      <c r="M1023" s="61" t="n"/>
      <c r="N1023" s="63" t="n"/>
      <c r="O1023" s="8" t="n"/>
      <c r="P1023" s="8" t="n"/>
      <c r="Q1023" s="8" t="n"/>
      <c r="R1023" s="8" t="n"/>
      <c r="S1023" s="8" t="n"/>
      <c r="T1023" s="8" t="n"/>
      <c r="U1023" s="8" t="n"/>
      <c r="V1023" s="8" t="n"/>
    </row>
    <row r="1024">
      <c r="A1024" s="8" t="n"/>
      <c r="B1024" s="61" t="n"/>
      <c r="C1024" s="8" t="n"/>
      <c r="D1024" s="62" t="n"/>
      <c r="E1024" s="8" t="n"/>
      <c r="F1024" s="8" t="n"/>
      <c r="G1024" s="8" t="n"/>
      <c r="H1024" s="8" t="n"/>
      <c r="I1024" s="8" t="n"/>
      <c r="J1024" s="8" t="n"/>
      <c r="K1024" s="8" t="n"/>
      <c r="L1024" s="8" t="n"/>
      <c r="M1024" s="61" t="n"/>
      <c r="N1024" s="63" t="n"/>
      <c r="O1024" s="8" t="n"/>
      <c r="P1024" s="8" t="n"/>
      <c r="Q1024" s="8" t="n"/>
      <c r="R1024" s="8" t="n"/>
      <c r="S1024" s="8" t="n"/>
      <c r="T1024" s="8" t="n"/>
      <c r="U1024" s="8" t="n"/>
      <c r="V1024" s="8" t="n"/>
    </row>
    <row r="1025">
      <c r="A1025" s="8" t="n"/>
      <c r="B1025" s="61" t="n"/>
      <c r="C1025" s="8" t="n"/>
      <c r="D1025" s="62" t="n"/>
      <c r="E1025" s="8" t="n"/>
      <c r="F1025" s="8" t="n"/>
      <c r="G1025" s="8" t="n"/>
      <c r="H1025" s="8" t="n"/>
      <c r="I1025" s="8" t="n"/>
      <c r="J1025" s="8" t="n"/>
      <c r="K1025" s="8" t="n"/>
      <c r="L1025" s="8" t="n"/>
      <c r="M1025" s="61" t="n"/>
      <c r="N1025" s="63" t="n"/>
      <c r="O1025" s="8" t="n"/>
      <c r="P1025" s="8" t="n"/>
      <c r="Q1025" s="8" t="n"/>
      <c r="R1025" s="8" t="n"/>
      <c r="S1025" s="8" t="n"/>
      <c r="T1025" s="8" t="n"/>
      <c r="U1025" s="8" t="n"/>
      <c r="V1025" s="8" t="n"/>
    </row>
    <row r="1026">
      <c r="A1026" s="8" t="n"/>
      <c r="B1026" s="61" t="n"/>
      <c r="C1026" s="8" t="n"/>
      <c r="D1026" s="62" t="n"/>
      <c r="E1026" s="8" t="n"/>
      <c r="F1026" s="8" t="n"/>
      <c r="G1026" s="8" t="n"/>
      <c r="H1026" s="8" t="n"/>
      <c r="I1026" s="8" t="n"/>
      <c r="J1026" s="8" t="n"/>
      <c r="K1026" s="8" t="n"/>
      <c r="L1026" s="8" t="n"/>
      <c r="M1026" s="61" t="n"/>
      <c r="N1026" s="63" t="n"/>
      <c r="O1026" s="8" t="n"/>
      <c r="P1026" s="8" t="n"/>
      <c r="Q1026" s="8" t="n"/>
      <c r="R1026" s="8" t="n"/>
      <c r="S1026" s="8" t="n"/>
      <c r="T1026" s="8" t="n"/>
      <c r="U1026" s="8" t="n"/>
      <c r="V1026" s="8" t="n"/>
    </row>
    <row r="1027">
      <c r="A1027" s="8" t="n"/>
      <c r="B1027" s="61" t="n"/>
      <c r="C1027" s="8" t="n"/>
      <c r="D1027" s="62" t="n"/>
      <c r="E1027" s="8" t="n"/>
      <c r="F1027" s="8" t="n"/>
      <c r="G1027" s="8" t="n"/>
      <c r="H1027" s="8" t="n"/>
      <c r="I1027" s="8" t="n"/>
      <c r="J1027" s="8" t="n"/>
      <c r="K1027" s="8" t="n"/>
      <c r="L1027" s="8" t="n"/>
      <c r="M1027" s="61" t="n"/>
      <c r="N1027" s="63" t="n"/>
      <c r="O1027" s="8" t="n"/>
      <c r="P1027" s="8" t="n"/>
      <c r="Q1027" s="8" t="n"/>
      <c r="R1027" s="8" t="n"/>
      <c r="S1027" s="8" t="n"/>
      <c r="T1027" s="8" t="n"/>
      <c r="U1027" s="8" t="n"/>
      <c r="V1027" s="8" t="n"/>
    </row>
    <row r="1028">
      <c r="A1028" s="8" t="n"/>
      <c r="B1028" s="61" t="n"/>
      <c r="C1028" s="8" t="n"/>
      <c r="D1028" s="62" t="n"/>
      <c r="E1028" s="8" t="n"/>
      <c r="F1028" s="8" t="n"/>
      <c r="G1028" s="8" t="n"/>
      <c r="H1028" s="8" t="n"/>
      <c r="I1028" s="8" t="n"/>
      <c r="J1028" s="8" t="n"/>
      <c r="K1028" s="8" t="n"/>
      <c r="L1028" s="8" t="n"/>
      <c r="M1028" s="61" t="n"/>
      <c r="N1028" s="63" t="n"/>
      <c r="O1028" s="8" t="n"/>
      <c r="P1028" s="8" t="n"/>
      <c r="Q1028" s="8" t="n"/>
      <c r="R1028" s="8" t="n"/>
      <c r="S1028" s="8" t="n"/>
      <c r="T1028" s="8" t="n"/>
      <c r="U1028" s="8" t="n"/>
      <c r="V1028" s="8" t="n"/>
    </row>
    <row r="1029">
      <c r="A1029" s="8" t="n"/>
      <c r="B1029" s="61" t="n"/>
      <c r="C1029" s="8" t="n"/>
      <c r="D1029" s="62" t="n"/>
      <c r="E1029" s="8" t="n"/>
      <c r="F1029" s="8" t="n"/>
      <c r="G1029" s="8" t="n"/>
      <c r="H1029" s="8" t="n"/>
      <c r="I1029" s="8" t="n"/>
      <c r="J1029" s="8" t="n"/>
      <c r="K1029" s="8" t="n"/>
      <c r="L1029" s="8" t="n"/>
      <c r="M1029" s="61" t="n"/>
      <c r="N1029" s="63" t="n"/>
      <c r="O1029" s="8" t="n"/>
      <c r="P1029" s="8" t="n"/>
      <c r="Q1029" s="8" t="n"/>
      <c r="R1029" s="8" t="n"/>
      <c r="S1029" s="8" t="n"/>
      <c r="T1029" s="8" t="n"/>
      <c r="U1029" s="8" t="n"/>
      <c r="V1029" s="8" t="n"/>
    </row>
    <row r="1030">
      <c r="A1030" s="8" t="n"/>
      <c r="B1030" s="61" t="n"/>
      <c r="C1030" s="8" t="n"/>
      <c r="D1030" s="62" t="n"/>
      <c r="E1030" s="8" t="n"/>
      <c r="F1030" s="8" t="n"/>
      <c r="G1030" s="8" t="n"/>
      <c r="H1030" s="8" t="n"/>
      <c r="I1030" s="8" t="n"/>
      <c r="J1030" s="8" t="n"/>
      <c r="K1030" s="8" t="n"/>
      <c r="L1030" s="8" t="n"/>
      <c r="M1030" s="61" t="n"/>
      <c r="N1030" s="63" t="n"/>
      <c r="O1030" s="8" t="n"/>
      <c r="P1030" s="8" t="n"/>
      <c r="Q1030" s="8" t="n"/>
      <c r="R1030" s="8" t="n"/>
      <c r="S1030" s="8" t="n"/>
      <c r="T1030" s="8" t="n"/>
      <c r="U1030" s="8" t="n"/>
      <c r="V1030" s="8" t="n"/>
    </row>
    <row r="1031">
      <c r="A1031" s="8" t="n"/>
      <c r="B1031" s="61" t="n"/>
      <c r="C1031" s="8" t="n"/>
      <c r="D1031" s="62" t="n"/>
      <c r="E1031" s="8" t="n"/>
      <c r="F1031" s="8" t="n"/>
      <c r="G1031" s="8" t="n"/>
      <c r="H1031" s="8" t="n"/>
      <c r="I1031" s="8" t="n"/>
      <c r="J1031" s="8" t="n"/>
      <c r="K1031" s="8" t="n"/>
      <c r="L1031" s="8" t="n"/>
      <c r="M1031" s="61" t="n"/>
      <c r="N1031" s="63" t="n"/>
      <c r="O1031" s="8" t="n"/>
      <c r="P1031" s="8" t="n"/>
      <c r="Q1031" s="8" t="n"/>
      <c r="R1031" s="8" t="n"/>
      <c r="S1031" s="8" t="n"/>
      <c r="T1031" s="8" t="n"/>
      <c r="U1031" s="8" t="n"/>
      <c r="V1031" s="8" t="n"/>
    </row>
    <row r="1032">
      <c r="A1032" s="8" t="n"/>
      <c r="B1032" s="61" t="n"/>
      <c r="C1032" s="8" t="n"/>
      <c r="D1032" s="62" t="n"/>
      <c r="E1032" s="8" t="n"/>
      <c r="F1032" s="8" t="n"/>
      <c r="G1032" s="8" t="n"/>
      <c r="H1032" s="8" t="n"/>
      <c r="I1032" s="8" t="n"/>
      <c r="J1032" s="8" t="n"/>
      <c r="K1032" s="8" t="n"/>
      <c r="L1032" s="8" t="n"/>
      <c r="M1032" s="61" t="n"/>
      <c r="N1032" s="63" t="n"/>
      <c r="O1032" s="8" t="n"/>
      <c r="P1032" s="8" t="n"/>
      <c r="Q1032" s="8" t="n"/>
      <c r="R1032" s="8" t="n"/>
      <c r="S1032" s="8" t="n"/>
      <c r="T1032" s="8" t="n"/>
      <c r="U1032" s="8" t="n"/>
      <c r="V1032" s="8" t="n"/>
    </row>
    <row r="1033">
      <c r="A1033" s="8" t="n"/>
      <c r="B1033" s="61" t="n"/>
      <c r="C1033" s="8" t="n"/>
      <c r="D1033" s="62" t="n"/>
      <c r="E1033" s="8" t="n"/>
      <c r="F1033" s="8" t="n"/>
      <c r="G1033" s="8" t="n"/>
      <c r="H1033" s="8" t="n"/>
      <c r="I1033" s="8" t="n"/>
      <c r="J1033" s="8" t="n"/>
      <c r="K1033" s="8" t="n"/>
      <c r="L1033" s="8" t="n"/>
      <c r="M1033" s="61" t="n"/>
      <c r="N1033" s="63" t="n"/>
      <c r="O1033" s="8" t="n"/>
      <c r="P1033" s="8" t="n"/>
      <c r="Q1033" s="8" t="n"/>
      <c r="R1033" s="8" t="n"/>
      <c r="S1033" s="8" t="n"/>
      <c r="T1033" s="8" t="n"/>
      <c r="U1033" s="8" t="n"/>
      <c r="V1033" s="8" t="n"/>
    </row>
    <row r="1034">
      <c r="A1034" s="8" t="n"/>
      <c r="B1034" s="61" t="n"/>
      <c r="C1034" s="8" t="n"/>
      <c r="D1034" s="62" t="n"/>
      <c r="E1034" s="8" t="n"/>
      <c r="F1034" s="8" t="n"/>
      <c r="G1034" s="8" t="n"/>
      <c r="H1034" s="8" t="n"/>
      <c r="I1034" s="8" t="n"/>
      <c r="J1034" s="8" t="n"/>
      <c r="K1034" s="8" t="n"/>
      <c r="L1034" s="8" t="n"/>
      <c r="M1034" s="61" t="n"/>
      <c r="N1034" s="63" t="n"/>
      <c r="O1034" s="8" t="n"/>
      <c r="P1034" s="8" t="n"/>
      <c r="Q1034" s="8" t="n"/>
      <c r="R1034" s="8" t="n"/>
      <c r="S1034" s="8" t="n"/>
      <c r="T1034" s="8" t="n"/>
      <c r="U1034" s="8" t="n"/>
      <c r="V1034" s="8" t="n"/>
    </row>
    <row r="1035">
      <c r="A1035" s="8" t="n"/>
      <c r="B1035" s="61" t="n"/>
      <c r="C1035" s="8" t="n"/>
      <c r="D1035" s="62" t="n"/>
      <c r="E1035" s="8" t="n"/>
      <c r="F1035" s="8" t="n"/>
      <c r="G1035" s="8" t="n"/>
      <c r="H1035" s="8" t="n"/>
      <c r="I1035" s="8" t="n"/>
      <c r="J1035" s="8" t="n"/>
      <c r="K1035" s="8" t="n"/>
      <c r="L1035" s="8" t="n"/>
      <c r="M1035" s="61" t="n"/>
      <c r="N1035" s="63" t="n"/>
      <c r="O1035" s="8" t="n"/>
      <c r="P1035" s="8" t="n"/>
      <c r="Q1035" s="8" t="n"/>
      <c r="R1035" s="8" t="n"/>
      <c r="S1035" s="8" t="n"/>
      <c r="T1035" s="8" t="n"/>
      <c r="U1035" s="8" t="n"/>
      <c r="V1035" s="8" t="n"/>
    </row>
    <row r="1036">
      <c r="A1036" s="8" t="n"/>
      <c r="B1036" s="61" t="n"/>
      <c r="C1036" s="8" t="n"/>
      <c r="D1036" s="62" t="n"/>
      <c r="E1036" s="8" t="n"/>
      <c r="F1036" s="8" t="n"/>
      <c r="G1036" s="8" t="n"/>
      <c r="H1036" s="8" t="n"/>
      <c r="I1036" s="8" t="n"/>
      <c r="J1036" s="8" t="n"/>
      <c r="K1036" s="8" t="n"/>
      <c r="L1036" s="8" t="n"/>
      <c r="M1036" s="61" t="n"/>
      <c r="N1036" s="63" t="n"/>
      <c r="O1036" s="8" t="n"/>
      <c r="P1036" s="8" t="n"/>
      <c r="Q1036" s="8" t="n"/>
      <c r="R1036" s="8" t="n"/>
      <c r="S1036" s="8" t="n"/>
      <c r="T1036" s="8" t="n"/>
      <c r="U1036" s="8" t="n"/>
      <c r="V1036" s="8" t="n"/>
    </row>
    <row r="1037">
      <c r="A1037" s="8" t="n"/>
      <c r="B1037" s="61" t="n"/>
      <c r="C1037" s="8" t="n"/>
      <c r="D1037" s="62" t="n"/>
      <c r="E1037" s="8" t="n"/>
      <c r="F1037" s="8" t="n"/>
      <c r="G1037" s="8" t="n"/>
      <c r="H1037" s="8" t="n"/>
      <c r="I1037" s="8" t="n"/>
      <c r="J1037" s="8" t="n"/>
      <c r="K1037" s="8" t="n"/>
      <c r="L1037" s="8" t="n"/>
      <c r="M1037" s="61" t="n"/>
      <c r="N1037" s="63" t="n"/>
      <c r="O1037" s="8" t="n"/>
      <c r="P1037" s="8" t="n"/>
      <c r="Q1037" s="8" t="n"/>
      <c r="R1037" s="8" t="n"/>
      <c r="S1037" s="8" t="n"/>
      <c r="T1037" s="8" t="n"/>
      <c r="U1037" s="8" t="n"/>
      <c r="V1037" s="8" t="n"/>
    </row>
    <row r="1038">
      <c r="A1038" s="8" t="n"/>
      <c r="B1038" s="61" t="n"/>
      <c r="C1038" s="8" t="n"/>
      <c r="D1038" s="62" t="n"/>
      <c r="E1038" s="8" t="n"/>
      <c r="F1038" s="8" t="n"/>
      <c r="G1038" s="8" t="n"/>
      <c r="H1038" s="8" t="n"/>
      <c r="I1038" s="8" t="n"/>
      <c r="J1038" s="8" t="n"/>
      <c r="K1038" s="8" t="n"/>
      <c r="L1038" s="8" t="n"/>
      <c r="M1038" s="61" t="n"/>
      <c r="N1038" s="63" t="n"/>
      <c r="O1038" s="8" t="n"/>
      <c r="P1038" s="8" t="n"/>
      <c r="Q1038" s="8" t="n"/>
      <c r="R1038" s="8" t="n"/>
      <c r="S1038" s="8" t="n"/>
      <c r="T1038" s="8" t="n"/>
      <c r="U1038" s="8" t="n"/>
      <c r="V1038" s="8" t="n"/>
    </row>
    <row r="1039">
      <c r="A1039" s="8" t="n"/>
      <c r="B1039" s="61" t="n"/>
      <c r="C1039" s="8" t="n"/>
      <c r="D1039" s="62" t="n"/>
      <c r="E1039" s="8" t="n"/>
      <c r="F1039" s="8" t="n"/>
      <c r="G1039" s="8" t="n"/>
      <c r="H1039" s="8" t="n"/>
      <c r="I1039" s="8" t="n"/>
      <c r="J1039" s="8" t="n"/>
      <c r="K1039" s="8" t="n"/>
      <c r="L1039" s="8" t="n"/>
      <c r="M1039" s="61" t="n"/>
      <c r="N1039" s="63" t="n"/>
      <c r="O1039" s="8" t="n"/>
      <c r="P1039" s="8" t="n"/>
      <c r="Q1039" s="8" t="n"/>
      <c r="R1039" s="8" t="n"/>
      <c r="S1039" s="8" t="n"/>
      <c r="T1039" s="8" t="n"/>
      <c r="U1039" s="8" t="n"/>
      <c r="V1039" s="8" t="n"/>
    </row>
    <row r="1040">
      <c r="A1040" s="8" t="n"/>
      <c r="B1040" s="61" t="n"/>
      <c r="C1040" s="8" t="n"/>
      <c r="D1040" s="62" t="n"/>
      <c r="E1040" s="8" t="n"/>
      <c r="F1040" s="8" t="n"/>
      <c r="G1040" s="8" t="n"/>
      <c r="H1040" s="8" t="n"/>
      <c r="I1040" s="8" t="n"/>
      <c r="J1040" s="8" t="n"/>
      <c r="K1040" s="8" t="n"/>
      <c r="L1040" s="8" t="n"/>
      <c r="M1040" s="61" t="n"/>
      <c r="N1040" s="63" t="n"/>
      <c r="O1040" s="8" t="n"/>
      <c r="P1040" s="8" t="n"/>
      <c r="Q1040" s="8" t="n"/>
      <c r="R1040" s="8" t="n"/>
      <c r="S1040" s="8" t="n"/>
      <c r="T1040" s="8" t="n"/>
      <c r="U1040" s="8" t="n"/>
      <c r="V1040" s="8" t="n"/>
    </row>
    <row r="1041">
      <c r="A1041" s="8" t="n"/>
      <c r="B1041" s="61" t="n"/>
      <c r="C1041" s="8" t="n"/>
      <c r="D1041" s="62" t="n"/>
      <c r="E1041" s="8" t="n"/>
      <c r="F1041" s="8" t="n"/>
      <c r="G1041" s="8" t="n"/>
      <c r="H1041" s="8" t="n"/>
      <c r="I1041" s="8" t="n"/>
      <c r="J1041" s="8" t="n"/>
      <c r="K1041" s="8" t="n"/>
      <c r="L1041" s="8" t="n"/>
      <c r="M1041" s="61" t="n"/>
      <c r="N1041" s="63" t="n"/>
      <c r="O1041" s="8" t="n"/>
      <c r="P1041" s="8" t="n"/>
      <c r="Q1041" s="8" t="n"/>
      <c r="R1041" s="8" t="n"/>
      <c r="S1041" s="8" t="n"/>
      <c r="T1041" s="8" t="n"/>
      <c r="U1041" s="8" t="n"/>
      <c r="V1041" s="8" t="n"/>
    </row>
    <row r="1042">
      <c r="A1042" s="8" t="n"/>
      <c r="B1042" s="61" t="n"/>
      <c r="C1042" s="8" t="n"/>
      <c r="D1042" s="62" t="n"/>
      <c r="E1042" s="8" t="n"/>
      <c r="F1042" s="8" t="n"/>
      <c r="G1042" s="8" t="n"/>
      <c r="H1042" s="8" t="n"/>
      <c r="I1042" s="8" t="n"/>
      <c r="J1042" s="8" t="n"/>
      <c r="K1042" s="8" t="n"/>
      <c r="L1042" s="8" t="n"/>
      <c r="M1042" s="61" t="n"/>
      <c r="N1042" s="63" t="n"/>
      <c r="O1042" s="8" t="n"/>
      <c r="P1042" s="8" t="n"/>
      <c r="Q1042" s="8" t="n"/>
      <c r="R1042" s="8" t="n"/>
      <c r="S1042" s="8" t="n"/>
      <c r="T1042" s="8" t="n"/>
      <c r="U1042" s="8" t="n"/>
      <c r="V1042" s="8" t="n"/>
    </row>
    <row r="1043">
      <c r="A1043" s="8" t="n"/>
      <c r="B1043" s="61" t="n"/>
      <c r="C1043" s="8" t="n"/>
      <c r="D1043" s="62" t="n"/>
      <c r="E1043" s="8" t="n"/>
      <c r="F1043" s="8" t="n"/>
      <c r="G1043" s="8" t="n"/>
      <c r="H1043" s="8" t="n"/>
      <c r="I1043" s="8" t="n"/>
      <c r="J1043" s="8" t="n"/>
      <c r="K1043" s="8" t="n"/>
      <c r="L1043" s="8" t="n"/>
      <c r="M1043" s="61" t="n"/>
      <c r="N1043" s="63" t="n"/>
      <c r="O1043" s="8" t="n"/>
      <c r="P1043" s="8" t="n"/>
      <c r="Q1043" s="8" t="n"/>
      <c r="R1043" s="8" t="n"/>
      <c r="S1043" s="8" t="n"/>
      <c r="T1043" s="8" t="n"/>
      <c r="U1043" s="8" t="n"/>
      <c r="V1043" s="8" t="n"/>
    </row>
    <row r="1044">
      <c r="A1044" s="8" t="n"/>
      <c r="B1044" s="61" t="n"/>
      <c r="C1044" s="8" t="n"/>
      <c r="D1044" s="62" t="n"/>
      <c r="E1044" s="8" t="n"/>
      <c r="F1044" s="8" t="n"/>
      <c r="G1044" s="8" t="n"/>
      <c r="H1044" s="8" t="n"/>
      <c r="I1044" s="8" t="n"/>
      <c r="J1044" s="8" t="n"/>
      <c r="K1044" s="8" t="n"/>
      <c r="L1044" s="8" t="n"/>
      <c r="M1044" s="61" t="n"/>
      <c r="N1044" s="63" t="n"/>
      <c r="O1044" s="8" t="n"/>
      <c r="P1044" s="8" t="n"/>
      <c r="Q1044" s="8" t="n"/>
      <c r="R1044" s="8" t="n"/>
      <c r="S1044" s="8" t="n"/>
      <c r="T1044" s="8" t="n"/>
      <c r="U1044" s="8" t="n"/>
      <c r="V1044" s="8" t="n"/>
    </row>
    <row r="1045">
      <c r="A1045" s="8" t="n"/>
      <c r="B1045" s="61" t="n"/>
      <c r="C1045" s="8" t="n"/>
      <c r="D1045" s="62" t="n"/>
      <c r="E1045" s="8" t="n"/>
      <c r="F1045" s="8" t="n"/>
      <c r="G1045" s="8" t="n"/>
      <c r="H1045" s="8" t="n"/>
      <c r="I1045" s="8" t="n"/>
      <c r="J1045" s="8" t="n"/>
      <c r="K1045" s="8" t="n"/>
      <c r="L1045" s="8" t="n"/>
      <c r="M1045" s="61" t="n"/>
      <c r="N1045" s="63" t="n"/>
      <c r="O1045" s="8" t="n"/>
      <c r="P1045" s="8" t="n"/>
      <c r="Q1045" s="8" t="n"/>
      <c r="R1045" s="8" t="n"/>
      <c r="S1045" s="8" t="n"/>
      <c r="T1045" s="8" t="n"/>
      <c r="U1045" s="8" t="n"/>
      <c r="V1045" s="8" t="n"/>
    </row>
    <row r="1046">
      <c r="A1046" s="8" t="n"/>
      <c r="B1046" s="61" t="n"/>
      <c r="C1046" s="8" t="n"/>
      <c r="D1046" s="62" t="n"/>
      <c r="E1046" s="8" t="n"/>
      <c r="F1046" s="8" t="n"/>
      <c r="G1046" s="8" t="n"/>
      <c r="H1046" s="8" t="n"/>
      <c r="I1046" s="8" t="n"/>
      <c r="J1046" s="8" t="n"/>
      <c r="K1046" s="8" t="n"/>
      <c r="L1046" s="8" t="n"/>
      <c r="M1046" s="61" t="n"/>
      <c r="N1046" s="63" t="n"/>
      <c r="O1046" s="8" t="n"/>
      <c r="P1046" s="8" t="n"/>
      <c r="Q1046" s="8" t="n"/>
      <c r="R1046" s="8" t="n"/>
      <c r="S1046" s="8" t="n"/>
      <c r="T1046" s="8" t="n"/>
      <c r="U1046" s="8" t="n"/>
      <c r="V1046" s="8" t="n"/>
    </row>
    <row r="1047">
      <c r="A1047" s="8" t="n"/>
      <c r="B1047" s="61" t="n"/>
      <c r="C1047" s="8" t="n"/>
      <c r="D1047" s="62" t="n"/>
      <c r="E1047" s="8" t="n"/>
      <c r="F1047" s="8" t="n"/>
      <c r="G1047" s="8" t="n"/>
      <c r="H1047" s="8" t="n"/>
      <c r="I1047" s="8" t="n"/>
      <c r="J1047" s="8" t="n"/>
      <c r="K1047" s="8" t="n"/>
      <c r="L1047" s="8" t="n"/>
      <c r="M1047" s="61" t="n"/>
      <c r="N1047" s="63" t="n"/>
      <c r="O1047" s="8" t="n"/>
      <c r="P1047" s="8" t="n"/>
      <c r="Q1047" s="8" t="n"/>
      <c r="R1047" s="8" t="n"/>
      <c r="S1047" s="8" t="n"/>
      <c r="T1047" s="8" t="n"/>
      <c r="U1047" s="8" t="n"/>
      <c r="V1047" s="8" t="n"/>
    </row>
    <row r="1048">
      <c r="A1048" s="8" t="n"/>
      <c r="B1048" s="61" t="n"/>
      <c r="C1048" s="8" t="n"/>
      <c r="D1048" s="62" t="n"/>
      <c r="E1048" s="8" t="n"/>
      <c r="F1048" s="8" t="n"/>
      <c r="G1048" s="8" t="n"/>
      <c r="H1048" s="8" t="n"/>
      <c r="I1048" s="8" t="n"/>
      <c r="J1048" s="8" t="n"/>
      <c r="K1048" s="8" t="n"/>
      <c r="L1048" s="8" t="n"/>
      <c r="M1048" s="61" t="n"/>
      <c r="N1048" s="63" t="n"/>
      <c r="O1048" s="8" t="n"/>
      <c r="P1048" s="8" t="n"/>
      <c r="Q1048" s="8" t="n"/>
      <c r="R1048" s="8" t="n"/>
      <c r="S1048" s="8" t="n"/>
      <c r="T1048" s="8" t="n"/>
      <c r="U1048" s="8" t="n"/>
      <c r="V1048" s="8" t="n"/>
    </row>
    <row r="1049">
      <c r="A1049" s="8" t="n"/>
      <c r="B1049" s="61" t="n"/>
      <c r="C1049" s="8" t="n"/>
      <c r="D1049" s="62" t="n"/>
      <c r="E1049" s="8" t="n"/>
      <c r="F1049" s="8" t="n"/>
      <c r="G1049" s="8" t="n"/>
      <c r="H1049" s="8" t="n"/>
      <c r="I1049" s="8" t="n"/>
      <c r="J1049" s="8" t="n"/>
      <c r="K1049" s="8" t="n"/>
      <c r="L1049" s="8" t="n"/>
      <c r="M1049" s="61" t="n"/>
      <c r="N1049" s="63" t="n"/>
      <c r="O1049" s="8" t="n"/>
      <c r="P1049" s="8" t="n"/>
      <c r="Q1049" s="8" t="n"/>
      <c r="R1049" s="8" t="n"/>
      <c r="S1049" s="8" t="n"/>
      <c r="T1049" s="8" t="n"/>
      <c r="U1049" s="8" t="n"/>
      <c r="V1049" s="8" t="n"/>
    </row>
    <row r="1050">
      <c r="A1050" s="8" t="n"/>
      <c r="B1050" s="61" t="n"/>
      <c r="C1050" s="8" t="n"/>
      <c r="D1050" s="62" t="n"/>
      <c r="E1050" s="8" t="n"/>
      <c r="F1050" s="8" t="n"/>
      <c r="G1050" s="8" t="n"/>
      <c r="H1050" s="8" t="n"/>
      <c r="I1050" s="8" t="n"/>
      <c r="J1050" s="8" t="n"/>
      <c r="K1050" s="8" t="n"/>
      <c r="L1050" s="8" t="n"/>
      <c r="M1050" s="61" t="n"/>
      <c r="N1050" s="63" t="n"/>
      <c r="O1050" s="8" t="n"/>
      <c r="P1050" s="8" t="n"/>
      <c r="Q1050" s="8" t="n"/>
      <c r="R1050" s="8" t="n"/>
      <c r="S1050" s="8" t="n"/>
      <c r="T1050" s="8" t="n"/>
      <c r="U1050" s="8" t="n"/>
      <c r="V1050" s="8" t="n"/>
    </row>
    <row r="1051">
      <c r="A1051" s="8" t="n"/>
      <c r="B1051" s="61" t="n"/>
      <c r="C1051" s="8" t="n"/>
      <c r="D1051" s="62" t="n"/>
      <c r="E1051" s="8" t="n"/>
      <c r="F1051" s="8" t="n"/>
      <c r="G1051" s="8" t="n"/>
      <c r="H1051" s="8" t="n"/>
      <c r="I1051" s="8" t="n"/>
      <c r="J1051" s="8" t="n"/>
      <c r="K1051" s="8" t="n"/>
      <c r="L1051" s="8" t="n"/>
      <c r="M1051" s="61" t="n"/>
      <c r="N1051" s="63" t="n"/>
      <c r="O1051" s="8" t="n"/>
      <c r="P1051" s="8" t="n"/>
      <c r="Q1051" s="8" t="n"/>
      <c r="R1051" s="8" t="n"/>
      <c r="S1051" s="8" t="n"/>
      <c r="T1051" s="8" t="n"/>
      <c r="U1051" s="8" t="n"/>
      <c r="V1051" s="8" t="n"/>
    </row>
    <row r="1052">
      <c r="A1052" s="8" t="n"/>
      <c r="B1052" s="61" t="n"/>
      <c r="C1052" s="8" t="n"/>
      <c r="D1052" s="62" t="n"/>
      <c r="E1052" s="8" t="n"/>
      <c r="F1052" s="8" t="n"/>
      <c r="G1052" s="8" t="n"/>
      <c r="H1052" s="8" t="n"/>
      <c r="I1052" s="8" t="n"/>
      <c r="J1052" s="8" t="n"/>
      <c r="K1052" s="8" t="n"/>
      <c r="L1052" s="8" t="n"/>
      <c r="M1052" s="61" t="n"/>
      <c r="N1052" s="63" t="n"/>
      <c r="O1052" s="8" t="n"/>
      <c r="P1052" s="8" t="n"/>
      <c r="Q1052" s="8" t="n"/>
      <c r="R1052" s="8" t="n"/>
      <c r="S1052" s="8" t="n"/>
      <c r="T1052" s="8" t="n"/>
      <c r="U1052" s="8" t="n"/>
      <c r="V1052" s="8" t="n"/>
    </row>
    <row r="1053">
      <c r="A1053" s="8" t="n"/>
      <c r="B1053" s="61" t="n"/>
      <c r="C1053" s="8" t="n"/>
      <c r="D1053" s="62" t="n"/>
      <c r="E1053" s="8" t="n"/>
      <c r="F1053" s="8" t="n"/>
      <c r="G1053" s="8" t="n"/>
      <c r="H1053" s="8" t="n"/>
      <c r="I1053" s="8" t="n"/>
      <c r="J1053" s="8" t="n"/>
      <c r="K1053" s="8" t="n"/>
      <c r="L1053" s="8" t="n"/>
      <c r="M1053" s="61" t="n"/>
      <c r="N1053" s="63" t="n"/>
      <c r="O1053" s="8" t="n"/>
      <c r="P1053" s="8" t="n"/>
      <c r="Q1053" s="8" t="n"/>
      <c r="R1053" s="8" t="n"/>
      <c r="S1053" s="8" t="n"/>
      <c r="T1053" s="8" t="n"/>
      <c r="U1053" s="8" t="n"/>
      <c r="V1053" s="8" t="n"/>
    </row>
    <row r="1054">
      <c r="A1054" s="8" t="n"/>
      <c r="B1054" s="61" t="n"/>
      <c r="C1054" s="8" t="n"/>
      <c r="D1054" s="62" t="n"/>
      <c r="E1054" s="8" t="n"/>
      <c r="F1054" s="8" t="n"/>
      <c r="G1054" s="8" t="n"/>
      <c r="H1054" s="8" t="n"/>
      <c r="I1054" s="8" t="n"/>
      <c r="J1054" s="8" t="n"/>
      <c r="K1054" s="8" t="n"/>
      <c r="L1054" s="8" t="n"/>
      <c r="M1054" s="61" t="n"/>
      <c r="N1054" s="63" t="n"/>
      <c r="O1054" s="8" t="n"/>
      <c r="P1054" s="8" t="n"/>
      <c r="Q1054" s="8" t="n"/>
      <c r="R1054" s="8" t="n"/>
      <c r="S1054" s="8" t="n"/>
      <c r="T1054" s="8" t="n"/>
      <c r="U1054" s="8" t="n"/>
      <c r="V1054" s="8" t="n"/>
    </row>
    <row r="1055">
      <c r="A1055" s="8" t="n"/>
      <c r="B1055" s="61" t="n"/>
      <c r="C1055" s="8" t="n"/>
      <c r="D1055" s="62" t="n"/>
      <c r="E1055" s="8" t="n"/>
      <c r="F1055" s="8" t="n"/>
      <c r="G1055" s="8" t="n"/>
      <c r="H1055" s="8" t="n"/>
      <c r="I1055" s="8" t="n"/>
      <c r="J1055" s="8" t="n"/>
      <c r="K1055" s="8" t="n"/>
      <c r="L1055" s="8" t="n"/>
      <c r="M1055" s="61" t="n"/>
      <c r="N1055" s="63" t="n"/>
      <c r="O1055" s="8" t="n"/>
      <c r="P1055" s="8" t="n"/>
      <c r="Q1055" s="8" t="n"/>
      <c r="R1055" s="8" t="n"/>
      <c r="S1055" s="8" t="n"/>
      <c r="T1055" s="8" t="n"/>
      <c r="U1055" s="8" t="n"/>
      <c r="V1055" s="8" t="n"/>
    </row>
    <row r="1056">
      <c r="A1056" s="8" t="n"/>
      <c r="B1056" s="61" t="n"/>
      <c r="C1056" s="8" t="n"/>
      <c r="D1056" s="62" t="n"/>
      <c r="E1056" s="8" t="n"/>
      <c r="F1056" s="8" t="n"/>
      <c r="G1056" s="8" t="n"/>
      <c r="H1056" s="8" t="n"/>
      <c r="I1056" s="8" t="n"/>
      <c r="J1056" s="8" t="n"/>
      <c r="K1056" s="8" t="n"/>
      <c r="L1056" s="8" t="n"/>
      <c r="M1056" s="61" t="n"/>
      <c r="N1056" s="63" t="n"/>
      <c r="O1056" s="8" t="n"/>
      <c r="P1056" s="8" t="n"/>
      <c r="Q1056" s="8" t="n"/>
      <c r="R1056" s="8" t="n"/>
      <c r="S1056" s="8" t="n"/>
      <c r="T1056" s="8" t="n"/>
      <c r="U1056" s="8" t="n"/>
      <c r="V1056" s="8" t="n"/>
    </row>
    <row r="1057">
      <c r="A1057" s="8" t="n"/>
      <c r="B1057" s="61" t="n"/>
      <c r="C1057" s="8" t="n"/>
      <c r="D1057" s="62" t="n"/>
      <c r="E1057" s="8" t="n"/>
      <c r="F1057" s="8" t="n"/>
      <c r="G1057" s="8" t="n"/>
      <c r="H1057" s="8" t="n"/>
      <c r="I1057" s="8" t="n"/>
      <c r="J1057" s="8" t="n"/>
      <c r="K1057" s="8" t="n"/>
      <c r="L1057" s="8" t="n"/>
      <c r="M1057" s="61" t="n"/>
      <c r="N1057" s="63" t="n"/>
      <c r="O1057" s="8" t="n"/>
      <c r="P1057" s="8" t="n"/>
      <c r="Q1057" s="8" t="n"/>
      <c r="R1057" s="8" t="n"/>
      <c r="S1057" s="8" t="n"/>
      <c r="T1057" s="8" t="n"/>
      <c r="U1057" s="8" t="n"/>
      <c r="V1057" s="8" t="n"/>
    </row>
    <row r="1058">
      <c r="A1058" s="8" t="n"/>
      <c r="B1058" s="61" t="n"/>
      <c r="C1058" s="8" t="n"/>
      <c r="D1058" s="62" t="n"/>
      <c r="E1058" s="8" t="n"/>
      <c r="F1058" s="8" t="n"/>
      <c r="G1058" s="8" t="n"/>
      <c r="H1058" s="8" t="n"/>
      <c r="I1058" s="8" t="n"/>
      <c r="J1058" s="8" t="n"/>
      <c r="K1058" s="8" t="n"/>
      <c r="L1058" s="8" t="n"/>
      <c r="M1058" s="61" t="n"/>
      <c r="N1058" s="63" t="n"/>
      <c r="O1058" s="8" t="n"/>
      <c r="P1058" s="8" t="n"/>
      <c r="Q1058" s="8" t="n"/>
      <c r="R1058" s="8" t="n"/>
      <c r="S1058" s="8" t="n"/>
      <c r="T1058" s="8" t="n"/>
      <c r="U1058" s="8" t="n"/>
      <c r="V1058" s="8" t="n"/>
    </row>
    <row r="1059">
      <c r="A1059" s="8" t="n"/>
      <c r="B1059" s="61" t="n"/>
      <c r="C1059" s="8" t="n"/>
      <c r="D1059" s="62" t="n"/>
      <c r="E1059" s="8" t="n"/>
      <c r="F1059" s="8" t="n"/>
      <c r="G1059" s="8" t="n"/>
      <c r="H1059" s="8" t="n"/>
      <c r="I1059" s="8" t="n"/>
      <c r="J1059" s="8" t="n"/>
      <c r="K1059" s="8" t="n"/>
      <c r="L1059" s="8" t="n"/>
      <c r="M1059" s="61" t="n"/>
      <c r="N1059" s="63" t="n"/>
      <c r="O1059" s="8" t="n"/>
      <c r="P1059" s="8" t="n"/>
      <c r="Q1059" s="8" t="n"/>
      <c r="R1059" s="8" t="n"/>
      <c r="S1059" s="8" t="n"/>
      <c r="T1059" s="8" t="n"/>
      <c r="U1059" s="8" t="n"/>
      <c r="V1059" s="8" t="n"/>
    </row>
    <row r="1060">
      <c r="A1060" s="8" t="n"/>
      <c r="B1060" s="61" t="n"/>
      <c r="C1060" s="8" t="n"/>
      <c r="D1060" s="62" t="n"/>
      <c r="E1060" s="8" t="n"/>
      <c r="F1060" s="8" t="n"/>
      <c r="G1060" s="8" t="n"/>
      <c r="H1060" s="8" t="n"/>
      <c r="I1060" s="8" t="n"/>
      <c r="J1060" s="8" t="n"/>
      <c r="K1060" s="8" t="n"/>
      <c r="L1060" s="8" t="n"/>
      <c r="M1060" s="61" t="n"/>
      <c r="N1060" s="63" t="n"/>
      <c r="O1060" s="8" t="n"/>
      <c r="P1060" s="8" t="n"/>
      <c r="Q1060" s="8" t="n"/>
      <c r="R1060" s="8" t="n"/>
      <c r="S1060" s="8" t="n"/>
      <c r="T1060" s="8" t="n"/>
      <c r="U1060" s="8" t="n"/>
      <c r="V1060" s="8" t="n"/>
    </row>
    <row r="1061">
      <c r="A1061" s="8" t="n"/>
      <c r="B1061" s="61" t="n"/>
      <c r="C1061" s="8" t="n"/>
      <c r="D1061" s="62" t="n"/>
      <c r="E1061" s="8" t="n"/>
      <c r="F1061" s="8" t="n"/>
      <c r="G1061" s="8" t="n"/>
      <c r="H1061" s="8" t="n"/>
      <c r="I1061" s="8" t="n"/>
      <c r="J1061" s="8" t="n"/>
      <c r="K1061" s="8" t="n"/>
      <c r="L1061" s="8" t="n"/>
      <c r="M1061" s="61" t="n"/>
      <c r="N1061" s="63" t="n"/>
      <c r="O1061" s="8" t="n"/>
      <c r="P1061" s="8" t="n"/>
      <c r="Q1061" s="8" t="n"/>
      <c r="R1061" s="8" t="n"/>
      <c r="S1061" s="8" t="n"/>
      <c r="T1061" s="8" t="n"/>
      <c r="U1061" s="8" t="n"/>
      <c r="V1061" s="8" t="n"/>
    </row>
    <row r="1062">
      <c r="A1062" s="8" t="n"/>
      <c r="B1062" s="61" t="n"/>
      <c r="C1062" s="8" t="n"/>
      <c r="D1062" s="62" t="n"/>
      <c r="E1062" s="8" t="n"/>
      <c r="F1062" s="8" t="n"/>
      <c r="G1062" s="8" t="n"/>
      <c r="H1062" s="8" t="n"/>
      <c r="I1062" s="8" t="n"/>
      <c r="J1062" s="8" t="n"/>
      <c r="K1062" s="8" t="n"/>
      <c r="L1062" s="8" t="n"/>
      <c r="M1062" s="61" t="n"/>
      <c r="N1062" s="63" t="n"/>
      <c r="O1062" s="8" t="n"/>
      <c r="P1062" s="8" t="n"/>
      <c r="Q1062" s="8" t="n"/>
      <c r="R1062" s="8" t="n"/>
      <c r="S1062" s="8" t="n"/>
      <c r="T1062" s="8" t="n"/>
      <c r="U1062" s="8" t="n"/>
      <c r="V1062" s="8" t="n"/>
    </row>
    <row r="1063">
      <c r="A1063" s="8" t="n"/>
      <c r="B1063" s="61" t="n"/>
      <c r="C1063" s="8" t="n"/>
      <c r="D1063" s="62" t="n"/>
      <c r="E1063" s="8" t="n"/>
      <c r="F1063" s="8" t="n"/>
      <c r="G1063" s="8" t="n"/>
      <c r="H1063" s="8" t="n"/>
      <c r="I1063" s="8" t="n"/>
      <c r="J1063" s="8" t="n"/>
      <c r="K1063" s="8" t="n"/>
      <c r="L1063" s="8" t="n"/>
      <c r="M1063" s="61" t="n"/>
      <c r="N1063" s="63" t="n"/>
      <c r="O1063" s="8" t="n"/>
      <c r="P1063" s="8" t="n"/>
      <c r="Q1063" s="8" t="n"/>
      <c r="R1063" s="8" t="n"/>
      <c r="S1063" s="8" t="n"/>
      <c r="T1063" s="8" t="n"/>
      <c r="U1063" s="8" t="n"/>
      <c r="V1063" s="8" t="n"/>
    </row>
    <row r="1064">
      <c r="A1064" s="8" t="n"/>
      <c r="B1064" s="61" t="n"/>
      <c r="C1064" s="8" t="n"/>
      <c r="D1064" s="62" t="n"/>
      <c r="E1064" s="8" t="n"/>
      <c r="F1064" s="8" t="n"/>
      <c r="G1064" s="8" t="n"/>
      <c r="H1064" s="8" t="n"/>
      <c r="I1064" s="8" t="n"/>
      <c r="J1064" s="8" t="n"/>
      <c r="K1064" s="8" t="n"/>
      <c r="L1064" s="8" t="n"/>
      <c r="M1064" s="61" t="n"/>
      <c r="N1064" s="63" t="n"/>
      <c r="O1064" s="8" t="n"/>
      <c r="P1064" s="8" t="n"/>
      <c r="Q1064" s="8" t="n"/>
      <c r="R1064" s="8" t="n"/>
      <c r="S1064" s="8" t="n"/>
      <c r="T1064" s="8" t="n"/>
      <c r="U1064" s="8" t="n"/>
      <c r="V1064" s="8" t="n"/>
    </row>
    <row r="1065">
      <c r="A1065" s="8" t="n"/>
      <c r="B1065" s="61" t="n"/>
      <c r="C1065" s="8" t="n"/>
      <c r="D1065" s="62" t="n"/>
      <c r="E1065" s="8" t="n"/>
      <c r="F1065" s="8" t="n"/>
      <c r="G1065" s="8" t="n"/>
      <c r="H1065" s="8" t="n"/>
      <c r="I1065" s="8" t="n"/>
      <c r="J1065" s="8" t="n"/>
      <c r="K1065" s="8" t="n"/>
      <c r="L1065" s="8" t="n"/>
      <c r="M1065" s="61" t="n"/>
      <c r="N1065" s="63" t="n"/>
      <c r="O1065" s="8" t="n"/>
      <c r="P1065" s="8" t="n"/>
      <c r="Q1065" s="8" t="n"/>
      <c r="R1065" s="8" t="n"/>
      <c r="S1065" s="8" t="n"/>
      <c r="T1065" s="8" t="n"/>
      <c r="U1065" s="8" t="n"/>
      <c r="V1065" s="8" t="n"/>
    </row>
    <row r="1066">
      <c r="A1066" s="8" t="n"/>
      <c r="B1066" s="61" t="n"/>
      <c r="C1066" s="8" t="n"/>
      <c r="D1066" s="62" t="n"/>
      <c r="E1066" s="8" t="n"/>
      <c r="F1066" s="8" t="n"/>
      <c r="G1066" s="8" t="n"/>
      <c r="H1066" s="8" t="n"/>
      <c r="I1066" s="8" t="n"/>
      <c r="J1066" s="8" t="n"/>
      <c r="K1066" s="8" t="n"/>
      <c r="L1066" s="8" t="n"/>
      <c r="M1066" s="61" t="n"/>
      <c r="N1066" s="63" t="n"/>
      <c r="O1066" s="8" t="n"/>
      <c r="P1066" s="8" t="n"/>
      <c r="Q1066" s="8" t="n"/>
      <c r="R1066" s="8" t="n"/>
      <c r="S1066" s="8" t="n"/>
      <c r="T1066" s="8" t="n"/>
      <c r="U1066" s="8" t="n"/>
      <c r="V1066" s="8" t="n"/>
    </row>
    <row r="1067">
      <c r="A1067" s="8" t="n"/>
      <c r="B1067" s="61" t="n"/>
      <c r="C1067" s="8" t="n"/>
      <c r="D1067" s="62" t="n"/>
      <c r="E1067" s="8" t="n"/>
      <c r="F1067" s="8" t="n"/>
      <c r="G1067" s="8" t="n"/>
      <c r="H1067" s="8" t="n"/>
      <c r="I1067" s="8" t="n"/>
      <c r="J1067" s="8" t="n"/>
      <c r="K1067" s="8" t="n"/>
      <c r="L1067" s="8" t="n"/>
      <c r="M1067" s="61" t="n"/>
      <c r="N1067" s="63" t="n"/>
      <c r="O1067" s="8" t="n"/>
      <c r="P1067" s="8" t="n"/>
      <c r="Q1067" s="8" t="n"/>
      <c r="R1067" s="8" t="n"/>
      <c r="S1067" s="8" t="n"/>
      <c r="T1067" s="8" t="n"/>
      <c r="U1067" s="8" t="n"/>
      <c r="V1067" s="8" t="n"/>
    </row>
    <row r="1068">
      <c r="A1068" s="8" t="n"/>
      <c r="B1068" s="61" t="n"/>
      <c r="C1068" s="8" t="n"/>
      <c r="D1068" s="62" t="n"/>
      <c r="E1068" s="8" t="n"/>
      <c r="F1068" s="8" t="n"/>
      <c r="G1068" s="8" t="n"/>
      <c r="H1068" s="8" t="n"/>
      <c r="I1068" s="8" t="n"/>
      <c r="J1068" s="8" t="n"/>
      <c r="K1068" s="8" t="n"/>
      <c r="L1068" s="8" t="n"/>
      <c r="M1068" s="61" t="n"/>
      <c r="N1068" s="63" t="n"/>
      <c r="O1068" s="8" t="n"/>
      <c r="P1068" s="8" t="n"/>
      <c r="Q1068" s="8" t="n"/>
      <c r="R1068" s="8" t="n"/>
      <c r="S1068" s="8" t="n"/>
      <c r="T1068" s="8" t="n"/>
      <c r="U1068" s="8" t="n"/>
      <c r="V1068" s="8" t="n"/>
    </row>
    <row r="1069">
      <c r="A1069" s="8" t="n"/>
      <c r="B1069" s="61" t="n"/>
      <c r="C1069" s="8" t="n"/>
      <c r="D1069" s="62" t="n"/>
      <c r="E1069" s="8" t="n"/>
      <c r="F1069" s="8" t="n"/>
      <c r="G1069" s="8" t="n"/>
      <c r="H1069" s="8" t="n"/>
      <c r="I1069" s="8" t="n"/>
      <c r="J1069" s="8" t="n"/>
      <c r="K1069" s="8" t="n"/>
      <c r="L1069" s="8" t="n"/>
      <c r="M1069" s="61" t="n"/>
      <c r="N1069" s="63" t="n"/>
      <c r="O1069" s="8" t="n"/>
      <c r="P1069" s="8" t="n"/>
      <c r="Q1069" s="8" t="n"/>
      <c r="R1069" s="8" t="n"/>
      <c r="S1069" s="8" t="n"/>
      <c r="T1069" s="8" t="n"/>
      <c r="U1069" s="8" t="n"/>
      <c r="V1069" s="8" t="n"/>
    </row>
    <row r="1070">
      <c r="A1070" s="8" t="n"/>
      <c r="B1070" s="61" t="n"/>
      <c r="C1070" s="8" t="n"/>
      <c r="D1070" s="62" t="n"/>
      <c r="E1070" s="8" t="n"/>
      <c r="F1070" s="8" t="n"/>
      <c r="G1070" s="8" t="n"/>
      <c r="H1070" s="8" t="n"/>
      <c r="I1070" s="8" t="n"/>
      <c r="J1070" s="8" t="n"/>
      <c r="K1070" s="8" t="n"/>
      <c r="L1070" s="8" t="n"/>
      <c r="M1070" s="61" t="n"/>
      <c r="N1070" s="63" t="n"/>
      <c r="O1070" s="8" t="n"/>
      <c r="P1070" s="8" t="n"/>
      <c r="Q1070" s="8" t="n"/>
      <c r="R1070" s="8" t="n"/>
      <c r="S1070" s="8" t="n"/>
      <c r="T1070" s="8" t="n"/>
      <c r="U1070" s="8" t="n"/>
      <c r="V1070" s="8" t="n"/>
    </row>
    <row r="1071">
      <c r="A1071" s="8" t="n"/>
      <c r="B1071" s="61" t="n"/>
      <c r="C1071" s="8" t="n"/>
      <c r="D1071" s="62" t="n"/>
      <c r="E1071" s="8" t="n"/>
      <c r="F1071" s="8" t="n"/>
      <c r="G1071" s="8" t="n"/>
      <c r="H1071" s="8" t="n"/>
      <c r="I1071" s="8" t="n"/>
      <c r="J1071" s="8" t="n"/>
      <c r="K1071" s="8" t="n"/>
      <c r="L1071" s="8" t="n"/>
      <c r="M1071" s="61" t="n"/>
      <c r="N1071" s="63" t="n"/>
      <c r="O1071" s="8" t="n"/>
      <c r="P1071" s="8" t="n"/>
      <c r="Q1071" s="8" t="n"/>
      <c r="R1071" s="8" t="n"/>
      <c r="S1071" s="8" t="n"/>
      <c r="T1071" s="8" t="n"/>
      <c r="U1071" s="8" t="n"/>
      <c r="V1071" s="8" t="n"/>
    </row>
    <row r="1072">
      <c r="A1072" s="8" t="n"/>
      <c r="B1072" s="61" t="n"/>
      <c r="C1072" s="8" t="n"/>
      <c r="D1072" s="62" t="n"/>
      <c r="E1072" s="8" t="n"/>
      <c r="F1072" s="8" t="n"/>
      <c r="G1072" s="8" t="n"/>
      <c r="H1072" s="8" t="n"/>
      <c r="I1072" s="8" t="n"/>
      <c r="J1072" s="8" t="n"/>
      <c r="K1072" s="8" t="n"/>
      <c r="L1072" s="8" t="n"/>
      <c r="M1072" s="61" t="n"/>
      <c r="N1072" s="63" t="n"/>
      <c r="O1072" s="8" t="n"/>
      <c r="P1072" s="8" t="n"/>
      <c r="Q1072" s="8" t="n"/>
      <c r="R1072" s="8" t="n"/>
      <c r="S1072" s="8" t="n"/>
      <c r="T1072" s="8" t="n"/>
      <c r="U1072" s="8" t="n"/>
      <c r="V1072" s="8" t="n"/>
    </row>
    <row r="1073">
      <c r="A1073" s="8" t="n"/>
      <c r="B1073" s="61" t="n"/>
      <c r="C1073" s="8" t="n"/>
      <c r="D1073" s="62" t="n"/>
      <c r="E1073" s="8" t="n"/>
      <c r="F1073" s="8" t="n"/>
      <c r="G1073" s="8" t="n"/>
      <c r="H1073" s="8" t="n"/>
      <c r="I1073" s="8" t="n"/>
      <c r="J1073" s="8" t="n"/>
      <c r="K1073" s="8" t="n"/>
      <c r="L1073" s="8" t="n"/>
      <c r="M1073" s="61" t="n"/>
      <c r="N1073" s="63" t="n"/>
      <c r="O1073" s="8" t="n"/>
      <c r="P1073" s="8" t="n"/>
      <c r="Q1073" s="8" t="n"/>
      <c r="R1073" s="8" t="n"/>
      <c r="S1073" s="8" t="n"/>
      <c r="T1073" s="8" t="n"/>
      <c r="U1073" s="8" t="n"/>
      <c r="V1073" s="8" t="n"/>
    </row>
    <row r="1074">
      <c r="A1074" s="8" t="n"/>
      <c r="B1074" s="61" t="n"/>
      <c r="C1074" s="8" t="n"/>
      <c r="D1074" s="62" t="n"/>
      <c r="E1074" s="8" t="n"/>
      <c r="F1074" s="8" t="n"/>
      <c r="G1074" s="8" t="n"/>
      <c r="H1074" s="8" t="n"/>
      <c r="I1074" s="8" t="n"/>
      <c r="J1074" s="8" t="n"/>
      <c r="K1074" s="8" t="n"/>
      <c r="L1074" s="8" t="n"/>
      <c r="M1074" s="61" t="n"/>
      <c r="N1074" s="63" t="n"/>
      <c r="O1074" s="8" t="n"/>
      <c r="P1074" s="8" t="n"/>
      <c r="Q1074" s="8" t="n"/>
      <c r="R1074" s="8" t="n"/>
      <c r="S1074" s="8" t="n"/>
      <c r="T1074" s="8" t="n"/>
      <c r="U1074" s="8" t="n"/>
      <c r="V1074" s="8" t="n"/>
    </row>
    <row r="1075">
      <c r="A1075" s="8" t="n"/>
      <c r="B1075" s="61" t="n"/>
      <c r="C1075" s="8" t="n"/>
      <c r="D1075" s="62" t="n"/>
      <c r="E1075" s="8" t="n"/>
      <c r="F1075" s="8" t="n"/>
      <c r="G1075" s="8" t="n"/>
      <c r="H1075" s="8" t="n"/>
      <c r="I1075" s="8" t="n"/>
      <c r="J1075" s="8" t="n"/>
      <c r="K1075" s="8" t="n"/>
      <c r="L1075" s="8" t="n"/>
      <c r="M1075" s="61" t="n"/>
      <c r="N1075" s="63" t="n"/>
      <c r="O1075" s="8" t="n"/>
      <c r="P1075" s="8" t="n"/>
      <c r="Q1075" s="8" t="n"/>
      <c r="R1075" s="8" t="n"/>
      <c r="S1075" s="8" t="n"/>
      <c r="T1075" s="8" t="n"/>
      <c r="U1075" s="8" t="n"/>
      <c r="V1075" s="8" t="n"/>
    </row>
    <row r="1076">
      <c r="A1076" s="8" t="n"/>
      <c r="B1076" s="61" t="n"/>
      <c r="C1076" s="8" t="n"/>
      <c r="D1076" s="62" t="n"/>
      <c r="E1076" s="8" t="n"/>
      <c r="F1076" s="8" t="n"/>
      <c r="G1076" s="8" t="n"/>
      <c r="H1076" s="8" t="n"/>
      <c r="I1076" s="8" t="n"/>
      <c r="J1076" s="8" t="n"/>
      <c r="K1076" s="8" t="n"/>
      <c r="L1076" s="8" t="n"/>
      <c r="M1076" s="61" t="n"/>
      <c r="N1076" s="63" t="n"/>
      <c r="O1076" s="8" t="n"/>
      <c r="P1076" s="8" t="n"/>
      <c r="Q1076" s="8" t="n"/>
      <c r="R1076" s="8" t="n"/>
      <c r="S1076" s="8" t="n"/>
      <c r="T1076" s="8" t="n"/>
      <c r="U1076" s="8" t="n"/>
      <c r="V1076" s="8" t="n"/>
    </row>
  </sheetData>
  <mergeCells count="2">
    <mergeCell ref="G2:H2"/>
    <mergeCell ref="E2:F2"/>
  </mergeCells>
  <conditionalFormatting sqref="D5:D20076">
    <cfRule type="expression" priority="1" dxfId="1">
      <formula>$E5="Receita"</formula>
    </cfRule>
    <cfRule type="expression" priority="8" dxfId="4">
      <formula>AND($C5&lt;&gt;"",OR($D5="",$D5="Sem categoria"))</formula>
    </cfRule>
  </conditionalFormatting>
  <conditionalFormatting sqref="E5:E20076">
    <cfRule type="expression" priority="2" dxfId="5">
      <formula>$E5="Receita"</formula>
    </cfRule>
    <cfRule type="expression" priority="3" dxfId="6">
      <formula>$E5="Investimento"</formula>
    </cfRule>
    <cfRule type="expression" priority="4" dxfId="3">
      <formula>AND($E5&lt;&gt;"",$E5&lt;&gt;"Receita",$E5&lt;&gt;"Investimento")</formula>
    </cfRule>
  </conditionalFormatting>
  <conditionalFormatting sqref="G5:G20076">
    <cfRule type="expression" priority="5" dxfId="7" stopIfTrue="1">
      <formula>AND($G5="Pendente",IF($M5&lt;&gt;"",$M5,$B5)&lt;&gt;"",IF($M5&lt;&gt;"",$M5,$B5)&lt;TODAY())</formula>
    </cfRule>
    <cfRule type="expression" priority="6" dxfId="2">
      <formula>$G5="Pendente"</formula>
    </cfRule>
  </conditionalFormatting>
  <conditionalFormatting sqref="B5:B20076">
    <cfRule type="expression" priority="7" dxfId="4">
      <formula>AND($C5&lt;&gt;"",OR($B5="",$B5="Sem categoria"))</formula>
    </cfRule>
  </conditionalFormatting>
  <conditionalFormatting sqref="F5:F20076">
    <cfRule type="expression" priority="9" dxfId="4">
      <formula>AND($C5&lt;&gt;"",OR($F5="",$F5="Sem categoria"))</formula>
    </cfRule>
  </conditionalFormatting>
  <conditionalFormatting sqref="C77:C20076">
    <cfRule type="expression" priority="10" dxfId="8">
      <formula>AND($C77&lt;&gt;"",COUNTIFS($B$5:$B$20076,$B77,$C$5:$C$20076,$C77,$D$5:$D$20076,$D77)&gt;1)</formula>
    </cfRule>
  </conditionalFormatting>
  <dataValidations count="10">
    <dataValidation sqref="C5:C20076" showDropDown="0" showInputMessage="1" showErrorMessage="0" allowBlank="1" promptTitle="Descrição" prompt="Escolha um favorito (Alt+↓) ou digite. Com favorito, Tipo, Categoria, Pote e Situação se preenchem sozinhos." type="list">
      <formula1>=ListaFavoritos</formula1>
    </dataValidation>
    <dataValidation sqref="E5:E20076" showDropDown="0" showInputMessage="0" showErrorMessage="1" allowBlank="1" errorTitle="Valor inválido" error="Escolha um tipo cadastrado na aba Config." type="list">
      <formula1>=Tipos</formula1>
    </dataValidation>
    <dataValidation sqref="F5:F20076" showDropDown="0" showInputMessage="0" showErrorMessage="1" allowBlank="1" errorTitle="Valor inválido" error="Escolha uma categoria cadastrada na aba Config." type="list">
      <formula1>=Categorias</formula1>
    </dataValidation>
    <dataValidation sqref="H5:H20076" showDropDown="0" showInputMessage="0" showErrorMessage="1" allowBlank="1" errorTitle="Valor inválido" error="Escolha um pote cadastrado na aba Config." type="list">
      <formula1>=Potes</formula1>
    </dataValidation>
    <dataValidation sqref="I5:I20076" showDropDown="0" showInputMessage="0" showErrorMessage="1" allowBlank="1" errorTitle="Valor inválido" error="Escolha uma pessoa cadastrada na aba Config." type="list">
      <formula1>=Pessoas</formula1>
    </dataValidation>
    <dataValidation sqref="J5:J20076" showDropDown="0" showInputMessage="0" showErrorMessage="1" allowBlank="1" errorTitle="Valor inválido" error="Escolha uma conta ou cartão cadastrado na aba Config." type="list">
      <formula1>=Contas</formula1>
    </dataValidation>
    <dataValidation sqref="K5:K20076" showDropDown="0" showInputMessage="0" showErrorMessage="1" allowBlank="1" errorTitle="Valor inválido" error="Escolha uma forma de pagamento cadastrada na aba Config." type="list">
      <formula1>=FormasPagamento</formula1>
    </dataValidation>
    <dataValidation sqref="G5:G20076" showDropDown="0" showInputMessage="1" showErrorMessage="1" allowBlank="1" errorTitle="Valor inválido" error="Escolha uma situação cadastrada na aba Config." promptTitle="Situação" prompt="Pago/Recebido entra nos totais. Use Pendente para contas futuras e troque para Pago quando pagar." type="list">
      <formula1>=Situacoes</formula1>
    </dataValidation>
    <dataValidation sqref="D5:D20076" showDropDown="0" showInputMessage="0" showErrorMessage="1" allowBlank="1" errorTitle="Valor inválido" error="Digite um valor positivo: o Tipo define se é entrada ou saída." type="decimal" operator="greaterThanOrEqual">
      <formula1>0</formula1>
    </dataValidation>
    <dataValidation sqref="B5:B20076 M5:M20076 N5:N20076" showDropDown="0" showInputMessage="1" showErrorMessage="1" allowBlank="1" errorTitle="Data inválida" error="Digite uma data válida (dd/mm/aaaa). Dica: Ctrl+; insere a data de hoje." promptTitle="Data" prompt="Ctrl+;  insere a data de hoje." type="date" operator="greaterThan">
      <formula1>36526</formula1>
    </dataValidation>
  </dataValidations>
  <pageMargins left="0.3" right="0.3" top="1" bottom="1" header="0.5" footer="0.5"/>
  <pageSetup orientation="landscape" paperSize="9" fitToHeight="0" fitToWidth="1"/>
  <ignoredErrors>
    <ignoredError sqref="D5:D76 E5:E76 F5:F76 G5:G76 H5:H76 I5:I76 J5:J76 K5:K76" calculatedColumn="1"/>
  </ignoredErrors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4F8CFF"/>
    <outlinePr summaryBelow="1" summaryRight="1"/>
    <pageSetUpPr fitToPage="1"/>
  </sheetPr>
  <dimension ref="A1:Z34"/>
  <sheetViews>
    <sheetView showGridLines="0" tabSelected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style="1" min="1" max="1"/>
    <col width="28" customWidth="1" style="1" min="2" max="2"/>
    <col width="22" customWidth="1" style="1" min="3" max="3"/>
    <col width="7" customWidth="1" style="1" min="4" max="4"/>
    <col width="15" customWidth="1" style="1" min="5" max="5"/>
    <col width="15" customWidth="1" style="1" min="6" max="6"/>
    <col width="26" customWidth="1" style="1" min="7" max="7"/>
    <col hidden="1" width="6" customWidth="1" style="1" min="8" max="8"/>
    <col hidden="1" width="12" customWidth="1" style="1" min="9" max="9"/>
    <col hidden="1" width="6" customWidth="1" style="1" min="10" max="10"/>
    <col hidden="1" width="6" customWidth="1" style="1" min="11" max="11"/>
    <col width="3" customWidth="1" style="1" min="12" max="12"/>
    <col width="12" customWidth="1" style="1" min="13" max="13"/>
    <col width="26" customWidth="1" style="1" min="14" max="14"/>
    <col width="13" customWidth="1" style="1" min="15" max="15"/>
    <col width="12" customWidth="1" style="1" min="16" max="16"/>
    <col width="20" customWidth="1" style="1" min="17" max="17"/>
    <col width="12" customWidth="1" style="1" min="18" max="18"/>
    <col width="12" customWidth="1" style="1" min="19" max="19"/>
    <col width="10" customWidth="1" style="1" min="20" max="20"/>
    <col width="14" customWidth="1" style="1" min="21" max="21"/>
    <col width="16" customWidth="1" style="1" min="22" max="22"/>
    <col width="8" customWidth="1" style="1" min="23" max="23"/>
    <col width="13" customWidth="1" style="1" min="24" max="24"/>
    <col width="13" customWidth="1" style="1" min="25" max="25"/>
    <col width="13" customWidth="1" style="1" min="26" max="26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30" customHeight="1">
      <c r="A2" s="1" t="n"/>
      <c r="B2" s="52" t="inlineStr">
        <is>
          <t>Contas do mês</t>
        </is>
      </c>
      <c r="C2" s="1" t="n"/>
      <c r="D2" s="1" t="n"/>
      <c r="E2" s="64">
        <f>"Mês: "&amp;MesSelecionado&amp;" / "&amp;AnoSelecionado</f>
        <v/>
      </c>
      <c r="F2" s="8" t="n"/>
      <c r="G2" s="8" t="n"/>
      <c r="H2" s="1" t="n"/>
      <c r="I2" s="54">
        <f>HYPERLINK("#Inicio!A1","⌂  Início")</f>
        <v/>
      </c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8" customHeight="1">
      <c r="A3" s="1" t="n"/>
      <c r="B3" s="4" t="inlineStr">
        <is>
          <t>Checklist das contas e receitas recorrentes (marcadas em Favoritos). O status vem dos lançamentos do mês escolhido no Dashboard.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50" t="inlineStr">
        <is>
          <t>BLOCO PRONTO PARA COLAR — só as contas que faltam lançar</t>
        </is>
      </c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20" customHeight="1">
      <c r="A5" s="8" t="n"/>
      <c r="B5" s="65" t="inlineStr">
        <is>
          <t>CONTAS LANÇADAS</t>
        </is>
      </c>
      <c r="C5" s="66" t="n"/>
      <c r="D5" s="8" t="n"/>
      <c r="E5" s="67" t="inlineStr">
        <is>
          <t>PREVISTO</t>
        </is>
      </c>
      <c r="F5" s="68" t="inlineStr">
        <is>
          <t>JÁ LANÇADO</t>
        </is>
      </c>
      <c r="G5" s="69" t="inlineStr">
        <is>
          <t>FALTA LANÇAR (PREVISTO)</t>
        </is>
      </c>
      <c r="H5" s="8" t="n"/>
      <c r="I5" s="8" t="n"/>
      <c r="J5" s="8" t="n"/>
      <c r="K5" s="8" t="n"/>
      <c r="L5" s="8" t="n"/>
      <c r="M5" s="51" t="inlineStr">
        <is>
          <t>1. Selecione as linhas preenchidas do bloco abaixo e copie (Ctrl+C).</t>
        </is>
      </c>
      <c r="N5" s="8" t="n"/>
      <c r="O5" s="8" t="n"/>
      <c r="P5" s="8" t="n"/>
      <c r="Q5" s="8" t="n"/>
      <c r="R5" s="8" t="n"/>
      <c r="S5" s="53">
        <f>HYPERLINK("#Lancamentos!B"&amp;(ROWS(tbLancamentos[Data])+5),"✚  Ir para a primeira linha vazia")</f>
        <v/>
      </c>
      <c r="T5" s="8" t="n"/>
      <c r="U5" s="8" t="n"/>
      <c r="V5" s="8" t="n"/>
      <c r="W5" s="8" t="n"/>
      <c r="X5" s="8" t="n"/>
      <c r="Y5" s="8" t="n"/>
      <c r="Z5" s="8" t="n"/>
    </row>
    <row r="6" ht="30" customHeight="1">
      <c r="A6" s="8" t="n"/>
      <c r="B6" s="70">
        <f>SUMPRODUCT(--(I10:I34&gt;0))&amp;" de "&amp;SUMPRODUCT(--(LEN(B10:B34)&gt;0))</f>
        <v/>
      </c>
      <c r="C6" s="8" t="n"/>
      <c r="D6" s="8" t="n"/>
      <c r="E6" s="71">
        <f>SUM(E10:E34)</f>
        <v/>
      </c>
      <c r="F6" s="71">
        <f>SUM(F10:F34)</f>
        <v/>
      </c>
      <c r="G6" s="71">
        <f>SUMPRODUCT((LEFT(G10:G34,1)="✖")*N(+E10:E34))</f>
        <v/>
      </c>
      <c r="H6" s="8" t="n"/>
      <c r="I6" s="8" t="n"/>
      <c r="J6" s="8" t="n"/>
      <c r="K6" s="8" t="n"/>
      <c r="L6" s="8" t="n"/>
      <c r="M6" s="51" t="inlineStr">
        <is>
          <t>2. Clique no botão ao lado para ir à primeira linha vazia de Lançamentos.</t>
        </is>
      </c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16" customHeight="1">
      <c r="A7" s="8" t="n"/>
      <c r="B7" s="72" t="n"/>
      <c r="C7" s="72" t="n"/>
      <c r="D7" s="8" t="n"/>
      <c r="E7" s="72" t="n"/>
      <c r="F7" s="72" t="n"/>
      <c r="G7" s="72" t="n"/>
      <c r="H7" s="8" t="n"/>
      <c r="I7" s="8" t="n"/>
      <c r="J7" s="8" t="n"/>
      <c r="K7" s="8" t="n"/>
      <c r="L7" s="8" t="n"/>
      <c r="M7" s="51" t="inlineStr">
        <is>
          <t>3. Cole só os valores: Ctrl+Shift+V (ou Ctrl+Alt+V ➜ Valores).</t>
        </is>
      </c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51" t="inlineStr">
        <is>
          <t>4. Elas entram como Pendente: troque para Pago quando pagar.</t>
        </is>
      </c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24" customHeight="1">
      <c r="A9" s="8" t="n"/>
      <c r="B9" s="55" t="inlineStr">
        <is>
          <t>Conta / receita</t>
        </is>
      </c>
      <c r="C9" s="55" t="inlineStr">
        <is>
          <t>Categoria</t>
        </is>
      </c>
      <c r="D9" s="55" t="inlineStr">
        <is>
          <t>Dia</t>
        </is>
      </c>
      <c r="E9" s="55" t="inlineStr">
        <is>
          <t>Previsto</t>
        </is>
      </c>
      <c r="F9" s="55" t="inlineStr">
        <is>
          <t>Lançado no mês</t>
        </is>
      </c>
      <c r="G9" s="55" t="inlineStr">
        <is>
          <t>Status</t>
        </is>
      </c>
      <c r="H9" s="8" t="inlineStr">
        <is>
          <t>Linha</t>
        </is>
      </c>
      <c r="I9" s="8" t="inlineStr">
        <is>
          <t>Lançamentos</t>
        </is>
      </c>
      <c r="J9" s="8" t="inlineStr">
        <is>
          <t>Pendentes</t>
        </is>
      </c>
      <c r="K9" s="8" t="inlineStr">
        <is>
          <t>Falta nº</t>
        </is>
      </c>
      <c r="L9" s="8" t="n"/>
      <c r="M9" s="55" t="inlineStr">
        <is>
          <t>Data</t>
        </is>
      </c>
      <c r="N9" s="55" t="inlineStr">
        <is>
          <t>Descrição</t>
        </is>
      </c>
      <c r="O9" s="55" t="inlineStr">
        <is>
          <t>Valor</t>
        </is>
      </c>
      <c r="P9" s="55" t="inlineStr">
        <is>
          <t>Tipo</t>
        </is>
      </c>
      <c r="Q9" s="55" t="inlineStr">
        <is>
          <t>Categoria</t>
        </is>
      </c>
      <c r="R9" s="55" t="inlineStr">
        <is>
          <t>Situação</t>
        </is>
      </c>
      <c r="S9" s="55" t="inlineStr">
        <is>
          <t>Pote</t>
        </is>
      </c>
      <c r="T9" s="55" t="inlineStr">
        <is>
          <t>Quem</t>
        </is>
      </c>
      <c r="U9" s="55" t="inlineStr">
        <is>
          <t>Conta</t>
        </is>
      </c>
      <c r="V9" s="55" t="inlineStr">
        <is>
          <t>Forma de pagamento</t>
        </is>
      </c>
      <c r="W9" s="55" t="inlineStr">
        <is>
          <t>Parcela</t>
        </is>
      </c>
      <c r="X9" s="8" t="n"/>
      <c r="Y9" s="8" t="n"/>
      <c r="Z9" s="8" t="n"/>
    </row>
    <row r="10" ht="20" customHeight="1">
      <c r="A10" s="8" t="n"/>
      <c r="B10" s="33">
        <f>IF($H10=0,"",INDEX(Atalhos!$B:$B,$H10)&amp;"")</f>
        <v/>
      </c>
      <c r="C10" s="33">
        <f>IF($H10=0,"",INDEX(Atalhos!$D:$D,$H10)&amp;"")</f>
        <v/>
      </c>
      <c r="D10" s="73">
        <f>IF($H10=0,"",IF(INDEX(Atalhos!$K:$K,$H10)="","",INDEX(Atalhos!$K:$K,$H10)))</f>
        <v/>
      </c>
      <c r="E10" s="48">
        <f>IF(B10="","",IF(N(INDEX(Atalhos!$I:$I,$H10))&gt;0,INDEX(Atalhos!$I:$I,$H10),SUMIFS(tbLancamentos[Valor],tbLancamentos[Descrição],B10,tbLancamentos[Mês],Calc!$B$6,tbLancamentos[Ano],Calc!$B$7)))</f>
        <v/>
      </c>
      <c r="F10" s="48">
        <f>IF(B10="","",SUMIFS(tbLancamentos[Valor],tbLancamentos[Descrição],B10,tbLancamentos[Mês],MesNum,tbLancamentos[Ano],AnoSelecionado))</f>
        <v/>
      </c>
      <c r="G10" s="74">
        <f>IF(B10="","",IF(I10=0,IF(AND(D10&lt;&gt;"",DATE(AnoSelecionado,MesNum,MIN(IF(D10="",1,D10),DAY(EOMONTH(DATE(AnoSelecionado,MesNum,1),0))))&lt;TODAY()),"✖ Atrasada — falta lançar","✖ Falta lançar"),IF(J10&gt;0,IF(DATE(AnoSelecionado,MesNum,MIN(IF(D10="",1,D10),DAY(EOMONTH(DATE(AnoSelecionado,MesNum,1),0))))&lt;TODAY(),"⏳ Pendente — vencida","⏳ Pendente"),IF(INDEX(Atalhos!$C:$C,$H10)="Receita","✔ Recebido","✔ Pago"))))</f>
        <v/>
      </c>
      <c r="H10" s="8">
        <f>Calc!AR2</f>
        <v/>
      </c>
      <c r="I10" s="8">
        <f>IF(B10="",0,COUNTIFS(tbLancamentos[Descrição],B10,tbLancamentos[Mês],MesNum,tbLancamentos[Ano],AnoSelecionado))</f>
        <v/>
      </c>
      <c r="J10" s="8">
        <f>IF(B10="",0,COUNTIFS(tbLancamentos[Descrição],B10,tbLancamentos[Mês],MesNum,tbLancamentos[Ano],AnoSelecionado,tbLancamentos[Situação],"Pendente"))</f>
        <v/>
      </c>
      <c r="K10" s="8">
        <f>IF(LEFT(G10,1)="✖",SUMPRODUCT(--(LEFT($G$10:G10,1)="✖")),0)</f>
        <v/>
      </c>
      <c r="L10" s="8" t="n"/>
      <c r="M10" s="75">
        <f>IFERROR(DATE(AnoSelecionado,MesNum,MIN(IF(INDEX($D$10:$D$34,MATCH(1,$K$10:$K$34,0))="",1,INDEX($D$10:$D$34,MATCH(1,$K$10:$K$34,0))),DAY(EOMONTH(DATE(AnoSelecionado,MesNum,1),0)))),"")</f>
        <v/>
      </c>
      <c r="N10" s="76">
        <f>IFERROR(INDEX($B$10:$B$34,MATCH(1,$K$10:$K$34,0)),"")</f>
        <v/>
      </c>
      <c r="O10" s="77">
        <f>IFERROR(IF(N(INDEX($E$10:$E$34,MATCH(1,$K$10:$K$34,0)))&gt;0,INDEX($E$10:$E$34,MATCH(1,$K$10:$K$34,0)),""),"")</f>
        <v/>
      </c>
      <c r="P10" s="76">
        <f>IFERROR(INDEX(Atalhos!$C:$C,INDEX($H$10:$H$34,MATCH(1,$K$10:$K$34,0)))&amp;"","")</f>
        <v/>
      </c>
      <c r="Q10" s="76">
        <f>IFERROR(INDEX(Atalhos!$D:$D,INDEX($H$10:$H$34,MATCH(1,$K$10:$K$34,0)))&amp;"","")</f>
        <v/>
      </c>
      <c r="R10" s="76">
        <f>IFERROR(IF(MATCH(1,$K$10:$K$34,0)&gt;0,"Pendente",""),"")</f>
        <v/>
      </c>
      <c r="S10" s="76">
        <f>IFERROR(INDEX(Atalhos!$E:$E,INDEX($H$10:$H$34,MATCH(1,$K$10:$K$34,0)))&amp;"","")</f>
        <v/>
      </c>
      <c r="T10" s="76">
        <f>IFERROR(INDEX(Atalhos!$F:$F,INDEX($H$10:$H$34,MATCH(1,$K$10:$K$34,0)))&amp;"","")</f>
        <v/>
      </c>
      <c r="U10" s="76">
        <f>IFERROR(INDEX(Atalhos!$G:$G,INDEX($H$10:$H$34,MATCH(1,$K$10:$K$34,0)))&amp;"","")</f>
        <v/>
      </c>
      <c r="V10" s="76">
        <f>IFERROR(INDEX(Atalhos!$H:$H,INDEX($H$10:$H$34,MATCH(1,$K$10:$K$34,0)))&amp;"","")</f>
        <v/>
      </c>
      <c r="W10" s="76">
        <f>""</f>
        <v/>
      </c>
      <c r="X10" s="8" t="n"/>
      <c r="Y10" s="8" t="n"/>
      <c r="Z10" s="8" t="n"/>
    </row>
    <row r="11" ht="20" customHeight="1">
      <c r="A11" s="8" t="n"/>
      <c r="B11" s="33">
        <f>IF($H11=0,"",INDEX(Atalhos!$B:$B,$H11)&amp;"")</f>
        <v/>
      </c>
      <c r="C11" s="33">
        <f>IF($H11=0,"",INDEX(Atalhos!$D:$D,$H11)&amp;"")</f>
        <v/>
      </c>
      <c r="D11" s="73">
        <f>IF($H11=0,"",IF(INDEX(Atalhos!$K:$K,$H11)="","",INDEX(Atalhos!$K:$K,$H11)))</f>
        <v/>
      </c>
      <c r="E11" s="48">
        <f>IF(B11="","",IF(N(INDEX(Atalhos!$I:$I,$H11))&gt;0,INDEX(Atalhos!$I:$I,$H11),SUMIFS(tbLancamentos[Valor],tbLancamentos[Descrição],B11,tbLancamentos[Mês],Calc!$B$6,tbLancamentos[Ano],Calc!$B$7)))</f>
        <v/>
      </c>
      <c r="F11" s="48">
        <f>IF(B11="","",SUMIFS(tbLancamentos[Valor],tbLancamentos[Descrição],B11,tbLancamentos[Mês],MesNum,tbLancamentos[Ano],AnoSelecionado))</f>
        <v/>
      </c>
      <c r="G11" s="74">
        <f>IF(B11="","",IF(I11=0,IF(AND(D11&lt;&gt;"",DATE(AnoSelecionado,MesNum,MIN(IF(D11="",1,D11),DAY(EOMONTH(DATE(AnoSelecionado,MesNum,1),0))))&lt;TODAY()),"✖ Atrasada — falta lançar","✖ Falta lançar"),IF(J11&gt;0,IF(DATE(AnoSelecionado,MesNum,MIN(IF(D11="",1,D11),DAY(EOMONTH(DATE(AnoSelecionado,MesNum,1),0))))&lt;TODAY(),"⏳ Pendente — vencida","⏳ Pendente"),IF(INDEX(Atalhos!$C:$C,$H11)="Receita","✔ Recebido","✔ Pago"))))</f>
        <v/>
      </c>
      <c r="H11" s="8">
        <f>Calc!AR3</f>
        <v/>
      </c>
      <c r="I11" s="8">
        <f>IF(B11="",0,COUNTIFS(tbLancamentos[Descrição],B11,tbLancamentos[Mês],MesNum,tbLancamentos[Ano],AnoSelecionado))</f>
        <v/>
      </c>
      <c r="J11" s="8">
        <f>IF(B11="",0,COUNTIFS(tbLancamentos[Descrição],B11,tbLancamentos[Mês],MesNum,tbLancamentos[Ano],AnoSelecionado,tbLancamentos[Situação],"Pendente"))</f>
        <v/>
      </c>
      <c r="K11" s="8">
        <f>IF(LEFT(G11,1)="✖",SUMPRODUCT(--(LEFT($G$10:G11,1)="✖")),0)</f>
        <v/>
      </c>
      <c r="L11" s="8" t="n"/>
      <c r="M11" s="75">
        <f>IFERROR(DATE(AnoSelecionado,MesNum,MIN(IF(INDEX($D$10:$D$34,MATCH(2,$K$10:$K$34,0))="",1,INDEX($D$10:$D$34,MATCH(2,$K$10:$K$34,0))),DAY(EOMONTH(DATE(AnoSelecionado,MesNum,1),0)))),"")</f>
        <v/>
      </c>
      <c r="N11" s="76">
        <f>IFERROR(INDEX($B$10:$B$34,MATCH(2,$K$10:$K$34,0)),"")</f>
        <v/>
      </c>
      <c r="O11" s="77">
        <f>IFERROR(IF(N(INDEX($E$10:$E$34,MATCH(2,$K$10:$K$34,0)))&gt;0,INDEX($E$10:$E$34,MATCH(2,$K$10:$K$34,0)),""),"")</f>
        <v/>
      </c>
      <c r="P11" s="76">
        <f>IFERROR(INDEX(Atalhos!$C:$C,INDEX($H$10:$H$34,MATCH(2,$K$10:$K$34,0)))&amp;"","")</f>
        <v/>
      </c>
      <c r="Q11" s="76">
        <f>IFERROR(INDEX(Atalhos!$D:$D,INDEX($H$10:$H$34,MATCH(2,$K$10:$K$34,0)))&amp;"","")</f>
        <v/>
      </c>
      <c r="R11" s="76">
        <f>IFERROR(IF(MATCH(2,$K$10:$K$34,0)&gt;0,"Pendente",""),"")</f>
        <v/>
      </c>
      <c r="S11" s="76">
        <f>IFERROR(INDEX(Atalhos!$E:$E,INDEX($H$10:$H$34,MATCH(2,$K$10:$K$34,0)))&amp;"","")</f>
        <v/>
      </c>
      <c r="T11" s="76">
        <f>IFERROR(INDEX(Atalhos!$F:$F,INDEX($H$10:$H$34,MATCH(2,$K$10:$K$34,0)))&amp;"","")</f>
        <v/>
      </c>
      <c r="U11" s="76">
        <f>IFERROR(INDEX(Atalhos!$G:$G,INDEX($H$10:$H$34,MATCH(2,$K$10:$K$34,0)))&amp;"","")</f>
        <v/>
      </c>
      <c r="V11" s="76">
        <f>IFERROR(INDEX(Atalhos!$H:$H,INDEX($H$10:$H$34,MATCH(2,$K$10:$K$34,0)))&amp;"","")</f>
        <v/>
      </c>
      <c r="W11" s="76">
        <f>""</f>
        <v/>
      </c>
      <c r="X11" s="8" t="n"/>
      <c r="Y11" s="8" t="n"/>
      <c r="Z11" s="8" t="n"/>
    </row>
    <row r="12" ht="20" customHeight="1">
      <c r="A12" s="8" t="n"/>
      <c r="B12" s="33">
        <f>IF($H12=0,"",INDEX(Atalhos!$B:$B,$H12)&amp;"")</f>
        <v/>
      </c>
      <c r="C12" s="33">
        <f>IF($H12=0,"",INDEX(Atalhos!$D:$D,$H12)&amp;"")</f>
        <v/>
      </c>
      <c r="D12" s="73">
        <f>IF($H12=0,"",IF(INDEX(Atalhos!$K:$K,$H12)="","",INDEX(Atalhos!$K:$K,$H12)))</f>
        <v/>
      </c>
      <c r="E12" s="48">
        <f>IF(B12="","",IF(N(INDEX(Atalhos!$I:$I,$H12))&gt;0,INDEX(Atalhos!$I:$I,$H12),SUMIFS(tbLancamentos[Valor],tbLancamentos[Descrição],B12,tbLancamentos[Mês],Calc!$B$6,tbLancamentos[Ano],Calc!$B$7)))</f>
        <v/>
      </c>
      <c r="F12" s="48">
        <f>IF(B12="","",SUMIFS(tbLancamentos[Valor],tbLancamentos[Descrição],B12,tbLancamentos[Mês],MesNum,tbLancamentos[Ano],AnoSelecionado))</f>
        <v/>
      </c>
      <c r="G12" s="74">
        <f>IF(B12="","",IF(I12=0,IF(AND(D12&lt;&gt;"",DATE(AnoSelecionado,MesNum,MIN(IF(D12="",1,D12),DAY(EOMONTH(DATE(AnoSelecionado,MesNum,1),0))))&lt;TODAY()),"✖ Atrasada — falta lançar","✖ Falta lançar"),IF(J12&gt;0,IF(DATE(AnoSelecionado,MesNum,MIN(IF(D12="",1,D12),DAY(EOMONTH(DATE(AnoSelecionado,MesNum,1),0))))&lt;TODAY(),"⏳ Pendente — vencida","⏳ Pendente"),IF(INDEX(Atalhos!$C:$C,$H12)="Receita","✔ Recebido","✔ Pago"))))</f>
        <v/>
      </c>
      <c r="H12" s="8">
        <f>Calc!AR4</f>
        <v/>
      </c>
      <c r="I12" s="8">
        <f>IF(B12="",0,COUNTIFS(tbLancamentos[Descrição],B12,tbLancamentos[Mês],MesNum,tbLancamentos[Ano],AnoSelecionado))</f>
        <v/>
      </c>
      <c r="J12" s="8">
        <f>IF(B12="",0,COUNTIFS(tbLancamentos[Descrição],B12,tbLancamentos[Mês],MesNum,tbLancamentos[Ano],AnoSelecionado,tbLancamentos[Situação],"Pendente"))</f>
        <v/>
      </c>
      <c r="K12" s="8">
        <f>IF(LEFT(G12,1)="✖",SUMPRODUCT(--(LEFT($G$10:G12,1)="✖")),0)</f>
        <v/>
      </c>
      <c r="L12" s="8" t="n"/>
      <c r="M12" s="75">
        <f>IFERROR(DATE(AnoSelecionado,MesNum,MIN(IF(INDEX($D$10:$D$34,MATCH(3,$K$10:$K$34,0))="",1,INDEX($D$10:$D$34,MATCH(3,$K$10:$K$34,0))),DAY(EOMONTH(DATE(AnoSelecionado,MesNum,1),0)))),"")</f>
        <v/>
      </c>
      <c r="N12" s="76">
        <f>IFERROR(INDEX($B$10:$B$34,MATCH(3,$K$10:$K$34,0)),"")</f>
        <v/>
      </c>
      <c r="O12" s="77">
        <f>IFERROR(IF(N(INDEX($E$10:$E$34,MATCH(3,$K$10:$K$34,0)))&gt;0,INDEX($E$10:$E$34,MATCH(3,$K$10:$K$34,0)),""),"")</f>
        <v/>
      </c>
      <c r="P12" s="76">
        <f>IFERROR(INDEX(Atalhos!$C:$C,INDEX($H$10:$H$34,MATCH(3,$K$10:$K$34,0)))&amp;"","")</f>
        <v/>
      </c>
      <c r="Q12" s="76">
        <f>IFERROR(INDEX(Atalhos!$D:$D,INDEX($H$10:$H$34,MATCH(3,$K$10:$K$34,0)))&amp;"","")</f>
        <v/>
      </c>
      <c r="R12" s="76">
        <f>IFERROR(IF(MATCH(3,$K$10:$K$34,0)&gt;0,"Pendente",""),"")</f>
        <v/>
      </c>
      <c r="S12" s="76">
        <f>IFERROR(INDEX(Atalhos!$E:$E,INDEX($H$10:$H$34,MATCH(3,$K$10:$K$34,0)))&amp;"","")</f>
        <v/>
      </c>
      <c r="T12" s="76">
        <f>IFERROR(INDEX(Atalhos!$F:$F,INDEX($H$10:$H$34,MATCH(3,$K$10:$K$34,0)))&amp;"","")</f>
        <v/>
      </c>
      <c r="U12" s="76">
        <f>IFERROR(INDEX(Atalhos!$G:$G,INDEX($H$10:$H$34,MATCH(3,$K$10:$K$34,0)))&amp;"","")</f>
        <v/>
      </c>
      <c r="V12" s="76">
        <f>IFERROR(INDEX(Atalhos!$H:$H,INDEX($H$10:$H$34,MATCH(3,$K$10:$K$34,0)))&amp;"","")</f>
        <v/>
      </c>
      <c r="W12" s="76">
        <f>""</f>
        <v/>
      </c>
      <c r="X12" s="8" t="n"/>
      <c r="Y12" s="8" t="n"/>
      <c r="Z12" s="8" t="n"/>
    </row>
    <row r="13" ht="20" customHeight="1">
      <c r="A13" s="8" t="n"/>
      <c r="B13" s="33">
        <f>IF($H13=0,"",INDEX(Atalhos!$B:$B,$H13)&amp;"")</f>
        <v/>
      </c>
      <c r="C13" s="33">
        <f>IF($H13=0,"",INDEX(Atalhos!$D:$D,$H13)&amp;"")</f>
        <v/>
      </c>
      <c r="D13" s="73">
        <f>IF($H13=0,"",IF(INDEX(Atalhos!$K:$K,$H13)="","",INDEX(Atalhos!$K:$K,$H13)))</f>
        <v/>
      </c>
      <c r="E13" s="48">
        <f>IF(B13="","",IF(N(INDEX(Atalhos!$I:$I,$H13))&gt;0,INDEX(Atalhos!$I:$I,$H13),SUMIFS(tbLancamentos[Valor],tbLancamentos[Descrição],B13,tbLancamentos[Mês],Calc!$B$6,tbLancamentos[Ano],Calc!$B$7)))</f>
        <v/>
      </c>
      <c r="F13" s="48">
        <f>IF(B13="","",SUMIFS(tbLancamentos[Valor],tbLancamentos[Descrição],B13,tbLancamentos[Mês],MesNum,tbLancamentos[Ano],AnoSelecionado))</f>
        <v/>
      </c>
      <c r="G13" s="74">
        <f>IF(B13="","",IF(I13=0,IF(AND(D13&lt;&gt;"",DATE(AnoSelecionado,MesNum,MIN(IF(D13="",1,D13),DAY(EOMONTH(DATE(AnoSelecionado,MesNum,1),0))))&lt;TODAY()),"✖ Atrasada — falta lançar","✖ Falta lançar"),IF(J13&gt;0,IF(DATE(AnoSelecionado,MesNum,MIN(IF(D13="",1,D13),DAY(EOMONTH(DATE(AnoSelecionado,MesNum,1),0))))&lt;TODAY(),"⏳ Pendente — vencida","⏳ Pendente"),IF(INDEX(Atalhos!$C:$C,$H13)="Receita","✔ Recebido","✔ Pago"))))</f>
        <v/>
      </c>
      <c r="H13" s="8">
        <f>Calc!AR5</f>
        <v/>
      </c>
      <c r="I13" s="8">
        <f>IF(B13="",0,COUNTIFS(tbLancamentos[Descrição],B13,tbLancamentos[Mês],MesNum,tbLancamentos[Ano],AnoSelecionado))</f>
        <v/>
      </c>
      <c r="J13" s="8">
        <f>IF(B13="",0,COUNTIFS(tbLancamentos[Descrição],B13,tbLancamentos[Mês],MesNum,tbLancamentos[Ano],AnoSelecionado,tbLancamentos[Situação],"Pendente"))</f>
        <v/>
      </c>
      <c r="K13" s="8">
        <f>IF(LEFT(G13,1)="✖",SUMPRODUCT(--(LEFT($G$10:G13,1)="✖")),0)</f>
        <v/>
      </c>
      <c r="L13" s="8" t="n"/>
      <c r="M13" s="75">
        <f>IFERROR(DATE(AnoSelecionado,MesNum,MIN(IF(INDEX($D$10:$D$34,MATCH(4,$K$10:$K$34,0))="",1,INDEX($D$10:$D$34,MATCH(4,$K$10:$K$34,0))),DAY(EOMONTH(DATE(AnoSelecionado,MesNum,1),0)))),"")</f>
        <v/>
      </c>
      <c r="N13" s="76">
        <f>IFERROR(INDEX($B$10:$B$34,MATCH(4,$K$10:$K$34,0)),"")</f>
        <v/>
      </c>
      <c r="O13" s="77">
        <f>IFERROR(IF(N(INDEX($E$10:$E$34,MATCH(4,$K$10:$K$34,0)))&gt;0,INDEX($E$10:$E$34,MATCH(4,$K$10:$K$34,0)),""),"")</f>
        <v/>
      </c>
      <c r="P13" s="76">
        <f>IFERROR(INDEX(Atalhos!$C:$C,INDEX($H$10:$H$34,MATCH(4,$K$10:$K$34,0)))&amp;"","")</f>
        <v/>
      </c>
      <c r="Q13" s="76">
        <f>IFERROR(INDEX(Atalhos!$D:$D,INDEX($H$10:$H$34,MATCH(4,$K$10:$K$34,0)))&amp;"","")</f>
        <v/>
      </c>
      <c r="R13" s="76">
        <f>IFERROR(IF(MATCH(4,$K$10:$K$34,0)&gt;0,"Pendente",""),"")</f>
        <v/>
      </c>
      <c r="S13" s="76">
        <f>IFERROR(INDEX(Atalhos!$E:$E,INDEX($H$10:$H$34,MATCH(4,$K$10:$K$34,0)))&amp;"","")</f>
        <v/>
      </c>
      <c r="T13" s="76">
        <f>IFERROR(INDEX(Atalhos!$F:$F,INDEX($H$10:$H$34,MATCH(4,$K$10:$K$34,0)))&amp;"","")</f>
        <v/>
      </c>
      <c r="U13" s="76">
        <f>IFERROR(INDEX(Atalhos!$G:$G,INDEX($H$10:$H$34,MATCH(4,$K$10:$K$34,0)))&amp;"","")</f>
        <v/>
      </c>
      <c r="V13" s="76">
        <f>IFERROR(INDEX(Atalhos!$H:$H,INDEX($H$10:$H$34,MATCH(4,$K$10:$K$34,0)))&amp;"","")</f>
        <v/>
      </c>
      <c r="W13" s="76">
        <f>""</f>
        <v/>
      </c>
      <c r="X13" s="8" t="n"/>
      <c r="Y13" s="8" t="n"/>
      <c r="Z13" s="8" t="n"/>
    </row>
    <row r="14" ht="20" customHeight="1">
      <c r="A14" s="8" t="n"/>
      <c r="B14" s="33">
        <f>IF($H14=0,"",INDEX(Atalhos!$B:$B,$H14)&amp;"")</f>
        <v/>
      </c>
      <c r="C14" s="33">
        <f>IF($H14=0,"",INDEX(Atalhos!$D:$D,$H14)&amp;"")</f>
        <v/>
      </c>
      <c r="D14" s="73">
        <f>IF($H14=0,"",IF(INDEX(Atalhos!$K:$K,$H14)="","",INDEX(Atalhos!$K:$K,$H14)))</f>
        <v/>
      </c>
      <c r="E14" s="48">
        <f>IF(B14="","",IF(N(INDEX(Atalhos!$I:$I,$H14))&gt;0,INDEX(Atalhos!$I:$I,$H14),SUMIFS(tbLancamentos[Valor],tbLancamentos[Descrição],B14,tbLancamentos[Mês],Calc!$B$6,tbLancamentos[Ano],Calc!$B$7)))</f>
        <v/>
      </c>
      <c r="F14" s="48">
        <f>IF(B14="","",SUMIFS(tbLancamentos[Valor],tbLancamentos[Descrição],B14,tbLancamentos[Mês],MesNum,tbLancamentos[Ano],AnoSelecionado))</f>
        <v/>
      </c>
      <c r="G14" s="74">
        <f>IF(B14="","",IF(I14=0,IF(AND(D14&lt;&gt;"",DATE(AnoSelecionado,MesNum,MIN(IF(D14="",1,D14),DAY(EOMONTH(DATE(AnoSelecionado,MesNum,1),0))))&lt;TODAY()),"✖ Atrasada — falta lançar","✖ Falta lançar"),IF(J14&gt;0,IF(DATE(AnoSelecionado,MesNum,MIN(IF(D14="",1,D14),DAY(EOMONTH(DATE(AnoSelecionado,MesNum,1),0))))&lt;TODAY(),"⏳ Pendente — vencida","⏳ Pendente"),IF(INDEX(Atalhos!$C:$C,$H14)="Receita","✔ Recebido","✔ Pago"))))</f>
        <v/>
      </c>
      <c r="H14" s="8">
        <f>Calc!AR6</f>
        <v/>
      </c>
      <c r="I14" s="8">
        <f>IF(B14="",0,COUNTIFS(tbLancamentos[Descrição],B14,tbLancamentos[Mês],MesNum,tbLancamentos[Ano],AnoSelecionado))</f>
        <v/>
      </c>
      <c r="J14" s="8">
        <f>IF(B14="",0,COUNTIFS(tbLancamentos[Descrição],B14,tbLancamentos[Mês],MesNum,tbLancamentos[Ano],AnoSelecionado,tbLancamentos[Situação],"Pendente"))</f>
        <v/>
      </c>
      <c r="K14" s="8">
        <f>IF(LEFT(G14,1)="✖",SUMPRODUCT(--(LEFT($G$10:G14,1)="✖")),0)</f>
        <v/>
      </c>
      <c r="L14" s="8" t="n"/>
      <c r="M14" s="75">
        <f>IFERROR(DATE(AnoSelecionado,MesNum,MIN(IF(INDEX($D$10:$D$34,MATCH(5,$K$10:$K$34,0))="",1,INDEX($D$10:$D$34,MATCH(5,$K$10:$K$34,0))),DAY(EOMONTH(DATE(AnoSelecionado,MesNum,1),0)))),"")</f>
        <v/>
      </c>
      <c r="N14" s="76">
        <f>IFERROR(INDEX($B$10:$B$34,MATCH(5,$K$10:$K$34,0)),"")</f>
        <v/>
      </c>
      <c r="O14" s="77">
        <f>IFERROR(IF(N(INDEX($E$10:$E$34,MATCH(5,$K$10:$K$34,0)))&gt;0,INDEX($E$10:$E$34,MATCH(5,$K$10:$K$34,0)),""),"")</f>
        <v/>
      </c>
      <c r="P14" s="76">
        <f>IFERROR(INDEX(Atalhos!$C:$C,INDEX($H$10:$H$34,MATCH(5,$K$10:$K$34,0)))&amp;"","")</f>
        <v/>
      </c>
      <c r="Q14" s="76">
        <f>IFERROR(INDEX(Atalhos!$D:$D,INDEX($H$10:$H$34,MATCH(5,$K$10:$K$34,0)))&amp;"","")</f>
        <v/>
      </c>
      <c r="R14" s="76">
        <f>IFERROR(IF(MATCH(5,$K$10:$K$34,0)&gt;0,"Pendente",""),"")</f>
        <v/>
      </c>
      <c r="S14" s="76">
        <f>IFERROR(INDEX(Atalhos!$E:$E,INDEX($H$10:$H$34,MATCH(5,$K$10:$K$34,0)))&amp;"","")</f>
        <v/>
      </c>
      <c r="T14" s="76">
        <f>IFERROR(INDEX(Atalhos!$F:$F,INDEX($H$10:$H$34,MATCH(5,$K$10:$K$34,0)))&amp;"","")</f>
        <v/>
      </c>
      <c r="U14" s="76">
        <f>IFERROR(INDEX(Atalhos!$G:$G,INDEX($H$10:$H$34,MATCH(5,$K$10:$K$34,0)))&amp;"","")</f>
        <v/>
      </c>
      <c r="V14" s="76">
        <f>IFERROR(INDEX(Atalhos!$H:$H,INDEX($H$10:$H$34,MATCH(5,$K$10:$K$34,0)))&amp;"","")</f>
        <v/>
      </c>
      <c r="W14" s="76">
        <f>""</f>
        <v/>
      </c>
      <c r="X14" s="8" t="n"/>
      <c r="Y14" s="8" t="n"/>
      <c r="Z14" s="8" t="n"/>
    </row>
    <row r="15" ht="20" customHeight="1">
      <c r="A15" s="8" t="n"/>
      <c r="B15" s="33">
        <f>IF($H15=0,"",INDEX(Atalhos!$B:$B,$H15)&amp;"")</f>
        <v/>
      </c>
      <c r="C15" s="33">
        <f>IF($H15=0,"",INDEX(Atalhos!$D:$D,$H15)&amp;"")</f>
        <v/>
      </c>
      <c r="D15" s="73">
        <f>IF($H15=0,"",IF(INDEX(Atalhos!$K:$K,$H15)="","",INDEX(Atalhos!$K:$K,$H15)))</f>
        <v/>
      </c>
      <c r="E15" s="48">
        <f>IF(B15="","",IF(N(INDEX(Atalhos!$I:$I,$H15))&gt;0,INDEX(Atalhos!$I:$I,$H15),SUMIFS(tbLancamentos[Valor],tbLancamentos[Descrição],B15,tbLancamentos[Mês],Calc!$B$6,tbLancamentos[Ano],Calc!$B$7)))</f>
        <v/>
      </c>
      <c r="F15" s="48">
        <f>IF(B15="","",SUMIFS(tbLancamentos[Valor],tbLancamentos[Descrição],B15,tbLancamentos[Mês],MesNum,tbLancamentos[Ano],AnoSelecionado))</f>
        <v/>
      </c>
      <c r="G15" s="74">
        <f>IF(B15="","",IF(I15=0,IF(AND(D15&lt;&gt;"",DATE(AnoSelecionado,MesNum,MIN(IF(D15="",1,D15),DAY(EOMONTH(DATE(AnoSelecionado,MesNum,1),0))))&lt;TODAY()),"✖ Atrasada — falta lançar","✖ Falta lançar"),IF(J15&gt;0,IF(DATE(AnoSelecionado,MesNum,MIN(IF(D15="",1,D15),DAY(EOMONTH(DATE(AnoSelecionado,MesNum,1),0))))&lt;TODAY(),"⏳ Pendente — vencida","⏳ Pendente"),IF(INDEX(Atalhos!$C:$C,$H15)="Receita","✔ Recebido","✔ Pago"))))</f>
        <v/>
      </c>
      <c r="H15" s="8">
        <f>Calc!AR7</f>
        <v/>
      </c>
      <c r="I15" s="8">
        <f>IF(B15="",0,COUNTIFS(tbLancamentos[Descrição],B15,tbLancamentos[Mês],MesNum,tbLancamentos[Ano],AnoSelecionado))</f>
        <v/>
      </c>
      <c r="J15" s="8">
        <f>IF(B15="",0,COUNTIFS(tbLancamentos[Descrição],B15,tbLancamentos[Mês],MesNum,tbLancamentos[Ano],AnoSelecionado,tbLancamentos[Situação],"Pendente"))</f>
        <v/>
      </c>
      <c r="K15" s="8">
        <f>IF(LEFT(G15,1)="✖",SUMPRODUCT(--(LEFT($G$10:G15,1)="✖")),0)</f>
        <v/>
      </c>
      <c r="L15" s="8" t="n"/>
      <c r="M15" s="75">
        <f>IFERROR(DATE(AnoSelecionado,MesNum,MIN(IF(INDEX($D$10:$D$34,MATCH(6,$K$10:$K$34,0))="",1,INDEX($D$10:$D$34,MATCH(6,$K$10:$K$34,0))),DAY(EOMONTH(DATE(AnoSelecionado,MesNum,1),0)))),"")</f>
        <v/>
      </c>
      <c r="N15" s="76">
        <f>IFERROR(INDEX($B$10:$B$34,MATCH(6,$K$10:$K$34,0)),"")</f>
        <v/>
      </c>
      <c r="O15" s="77">
        <f>IFERROR(IF(N(INDEX($E$10:$E$34,MATCH(6,$K$10:$K$34,0)))&gt;0,INDEX($E$10:$E$34,MATCH(6,$K$10:$K$34,0)),""),"")</f>
        <v/>
      </c>
      <c r="P15" s="76">
        <f>IFERROR(INDEX(Atalhos!$C:$C,INDEX($H$10:$H$34,MATCH(6,$K$10:$K$34,0)))&amp;"","")</f>
        <v/>
      </c>
      <c r="Q15" s="76">
        <f>IFERROR(INDEX(Atalhos!$D:$D,INDEX($H$10:$H$34,MATCH(6,$K$10:$K$34,0)))&amp;"","")</f>
        <v/>
      </c>
      <c r="R15" s="76">
        <f>IFERROR(IF(MATCH(6,$K$10:$K$34,0)&gt;0,"Pendente",""),"")</f>
        <v/>
      </c>
      <c r="S15" s="76">
        <f>IFERROR(INDEX(Atalhos!$E:$E,INDEX($H$10:$H$34,MATCH(6,$K$10:$K$34,0)))&amp;"","")</f>
        <v/>
      </c>
      <c r="T15" s="76">
        <f>IFERROR(INDEX(Atalhos!$F:$F,INDEX($H$10:$H$34,MATCH(6,$K$10:$K$34,0)))&amp;"","")</f>
        <v/>
      </c>
      <c r="U15" s="76">
        <f>IFERROR(INDEX(Atalhos!$G:$G,INDEX($H$10:$H$34,MATCH(6,$K$10:$K$34,0)))&amp;"","")</f>
        <v/>
      </c>
      <c r="V15" s="76">
        <f>IFERROR(INDEX(Atalhos!$H:$H,INDEX($H$10:$H$34,MATCH(6,$K$10:$K$34,0)))&amp;"","")</f>
        <v/>
      </c>
      <c r="W15" s="76">
        <f>""</f>
        <v/>
      </c>
      <c r="X15" s="8" t="n"/>
      <c r="Y15" s="8" t="n"/>
      <c r="Z15" s="8" t="n"/>
    </row>
    <row r="16" ht="20" customHeight="1">
      <c r="A16" s="8" t="n"/>
      <c r="B16" s="33">
        <f>IF($H16=0,"",INDEX(Atalhos!$B:$B,$H16)&amp;"")</f>
        <v/>
      </c>
      <c r="C16" s="33">
        <f>IF($H16=0,"",INDEX(Atalhos!$D:$D,$H16)&amp;"")</f>
        <v/>
      </c>
      <c r="D16" s="73">
        <f>IF($H16=0,"",IF(INDEX(Atalhos!$K:$K,$H16)="","",INDEX(Atalhos!$K:$K,$H16)))</f>
        <v/>
      </c>
      <c r="E16" s="48">
        <f>IF(B16="","",IF(N(INDEX(Atalhos!$I:$I,$H16))&gt;0,INDEX(Atalhos!$I:$I,$H16),SUMIFS(tbLancamentos[Valor],tbLancamentos[Descrição],B16,tbLancamentos[Mês],Calc!$B$6,tbLancamentos[Ano],Calc!$B$7)))</f>
        <v/>
      </c>
      <c r="F16" s="48">
        <f>IF(B16="","",SUMIFS(tbLancamentos[Valor],tbLancamentos[Descrição],B16,tbLancamentos[Mês],MesNum,tbLancamentos[Ano],AnoSelecionado))</f>
        <v/>
      </c>
      <c r="G16" s="74">
        <f>IF(B16="","",IF(I16=0,IF(AND(D16&lt;&gt;"",DATE(AnoSelecionado,MesNum,MIN(IF(D16="",1,D16),DAY(EOMONTH(DATE(AnoSelecionado,MesNum,1),0))))&lt;TODAY()),"✖ Atrasada — falta lançar","✖ Falta lançar"),IF(J16&gt;0,IF(DATE(AnoSelecionado,MesNum,MIN(IF(D16="",1,D16),DAY(EOMONTH(DATE(AnoSelecionado,MesNum,1),0))))&lt;TODAY(),"⏳ Pendente — vencida","⏳ Pendente"),IF(INDEX(Atalhos!$C:$C,$H16)="Receita","✔ Recebido","✔ Pago"))))</f>
        <v/>
      </c>
      <c r="H16" s="8">
        <f>Calc!AR8</f>
        <v/>
      </c>
      <c r="I16" s="8">
        <f>IF(B16="",0,COUNTIFS(tbLancamentos[Descrição],B16,tbLancamentos[Mês],MesNum,tbLancamentos[Ano],AnoSelecionado))</f>
        <v/>
      </c>
      <c r="J16" s="8">
        <f>IF(B16="",0,COUNTIFS(tbLancamentos[Descrição],B16,tbLancamentos[Mês],MesNum,tbLancamentos[Ano],AnoSelecionado,tbLancamentos[Situação],"Pendente"))</f>
        <v/>
      </c>
      <c r="K16" s="8">
        <f>IF(LEFT(G16,1)="✖",SUMPRODUCT(--(LEFT($G$10:G16,1)="✖")),0)</f>
        <v/>
      </c>
      <c r="L16" s="8" t="n"/>
      <c r="M16" s="75">
        <f>IFERROR(DATE(AnoSelecionado,MesNum,MIN(IF(INDEX($D$10:$D$34,MATCH(7,$K$10:$K$34,0))="",1,INDEX($D$10:$D$34,MATCH(7,$K$10:$K$34,0))),DAY(EOMONTH(DATE(AnoSelecionado,MesNum,1),0)))),"")</f>
        <v/>
      </c>
      <c r="N16" s="76">
        <f>IFERROR(INDEX($B$10:$B$34,MATCH(7,$K$10:$K$34,0)),"")</f>
        <v/>
      </c>
      <c r="O16" s="77">
        <f>IFERROR(IF(N(INDEX($E$10:$E$34,MATCH(7,$K$10:$K$34,0)))&gt;0,INDEX($E$10:$E$34,MATCH(7,$K$10:$K$34,0)),""),"")</f>
        <v/>
      </c>
      <c r="P16" s="76">
        <f>IFERROR(INDEX(Atalhos!$C:$C,INDEX($H$10:$H$34,MATCH(7,$K$10:$K$34,0)))&amp;"","")</f>
        <v/>
      </c>
      <c r="Q16" s="76">
        <f>IFERROR(INDEX(Atalhos!$D:$D,INDEX($H$10:$H$34,MATCH(7,$K$10:$K$34,0)))&amp;"","")</f>
        <v/>
      </c>
      <c r="R16" s="76">
        <f>IFERROR(IF(MATCH(7,$K$10:$K$34,0)&gt;0,"Pendente",""),"")</f>
        <v/>
      </c>
      <c r="S16" s="76">
        <f>IFERROR(INDEX(Atalhos!$E:$E,INDEX($H$10:$H$34,MATCH(7,$K$10:$K$34,0)))&amp;"","")</f>
        <v/>
      </c>
      <c r="T16" s="76">
        <f>IFERROR(INDEX(Atalhos!$F:$F,INDEX($H$10:$H$34,MATCH(7,$K$10:$K$34,0)))&amp;"","")</f>
        <v/>
      </c>
      <c r="U16" s="76">
        <f>IFERROR(INDEX(Atalhos!$G:$G,INDEX($H$10:$H$34,MATCH(7,$K$10:$K$34,0)))&amp;"","")</f>
        <v/>
      </c>
      <c r="V16" s="76">
        <f>IFERROR(INDEX(Atalhos!$H:$H,INDEX($H$10:$H$34,MATCH(7,$K$10:$K$34,0)))&amp;"","")</f>
        <v/>
      </c>
      <c r="W16" s="76">
        <f>""</f>
        <v/>
      </c>
      <c r="X16" s="8" t="n"/>
      <c r="Y16" s="8" t="n"/>
      <c r="Z16" s="8" t="n"/>
    </row>
    <row r="17" ht="20" customHeight="1">
      <c r="A17" s="8" t="n"/>
      <c r="B17" s="33">
        <f>IF($H17=0,"",INDEX(Atalhos!$B:$B,$H17)&amp;"")</f>
        <v/>
      </c>
      <c r="C17" s="33">
        <f>IF($H17=0,"",INDEX(Atalhos!$D:$D,$H17)&amp;"")</f>
        <v/>
      </c>
      <c r="D17" s="73">
        <f>IF($H17=0,"",IF(INDEX(Atalhos!$K:$K,$H17)="","",INDEX(Atalhos!$K:$K,$H17)))</f>
        <v/>
      </c>
      <c r="E17" s="48">
        <f>IF(B17="","",IF(N(INDEX(Atalhos!$I:$I,$H17))&gt;0,INDEX(Atalhos!$I:$I,$H17),SUMIFS(tbLancamentos[Valor],tbLancamentos[Descrição],B17,tbLancamentos[Mês],Calc!$B$6,tbLancamentos[Ano],Calc!$B$7)))</f>
        <v/>
      </c>
      <c r="F17" s="48">
        <f>IF(B17="","",SUMIFS(tbLancamentos[Valor],tbLancamentos[Descrição],B17,tbLancamentos[Mês],MesNum,tbLancamentos[Ano],AnoSelecionado))</f>
        <v/>
      </c>
      <c r="G17" s="74">
        <f>IF(B17="","",IF(I17=0,IF(AND(D17&lt;&gt;"",DATE(AnoSelecionado,MesNum,MIN(IF(D17="",1,D17),DAY(EOMONTH(DATE(AnoSelecionado,MesNum,1),0))))&lt;TODAY()),"✖ Atrasada — falta lançar","✖ Falta lançar"),IF(J17&gt;0,IF(DATE(AnoSelecionado,MesNum,MIN(IF(D17="",1,D17),DAY(EOMONTH(DATE(AnoSelecionado,MesNum,1),0))))&lt;TODAY(),"⏳ Pendente — vencida","⏳ Pendente"),IF(INDEX(Atalhos!$C:$C,$H17)="Receita","✔ Recebido","✔ Pago"))))</f>
        <v/>
      </c>
      <c r="H17" s="8">
        <f>Calc!AR9</f>
        <v/>
      </c>
      <c r="I17" s="8">
        <f>IF(B17="",0,COUNTIFS(tbLancamentos[Descrição],B17,tbLancamentos[Mês],MesNum,tbLancamentos[Ano],AnoSelecionado))</f>
        <v/>
      </c>
      <c r="J17" s="8">
        <f>IF(B17="",0,COUNTIFS(tbLancamentos[Descrição],B17,tbLancamentos[Mês],MesNum,tbLancamentos[Ano],AnoSelecionado,tbLancamentos[Situação],"Pendente"))</f>
        <v/>
      </c>
      <c r="K17" s="8">
        <f>IF(LEFT(G17,1)="✖",SUMPRODUCT(--(LEFT($G$10:G17,1)="✖")),0)</f>
        <v/>
      </c>
      <c r="L17" s="8" t="n"/>
      <c r="M17" s="75">
        <f>IFERROR(DATE(AnoSelecionado,MesNum,MIN(IF(INDEX($D$10:$D$34,MATCH(8,$K$10:$K$34,0))="",1,INDEX($D$10:$D$34,MATCH(8,$K$10:$K$34,0))),DAY(EOMONTH(DATE(AnoSelecionado,MesNum,1),0)))),"")</f>
        <v/>
      </c>
      <c r="N17" s="76">
        <f>IFERROR(INDEX($B$10:$B$34,MATCH(8,$K$10:$K$34,0)),"")</f>
        <v/>
      </c>
      <c r="O17" s="77">
        <f>IFERROR(IF(N(INDEX($E$10:$E$34,MATCH(8,$K$10:$K$34,0)))&gt;0,INDEX($E$10:$E$34,MATCH(8,$K$10:$K$34,0)),""),"")</f>
        <v/>
      </c>
      <c r="P17" s="76">
        <f>IFERROR(INDEX(Atalhos!$C:$C,INDEX($H$10:$H$34,MATCH(8,$K$10:$K$34,0)))&amp;"","")</f>
        <v/>
      </c>
      <c r="Q17" s="76">
        <f>IFERROR(INDEX(Atalhos!$D:$D,INDEX($H$10:$H$34,MATCH(8,$K$10:$K$34,0)))&amp;"","")</f>
        <v/>
      </c>
      <c r="R17" s="76">
        <f>IFERROR(IF(MATCH(8,$K$10:$K$34,0)&gt;0,"Pendente",""),"")</f>
        <v/>
      </c>
      <c r="S17" s="76">
        <f>IFERROR(INDEX(Atalhos!$E:$E,INDEX($H$10:$H$34,MATCH(8,$K$10:$K$34,0)))&amp;"","")</f>
        <v/>
      </c>
      <c r="T17" s="76">
        <f>IFERROR(INDEX(Atalhos!$F:$F,INDEX($H$10:$H$34,MATCH(8,$K$10:$K$34,0)))&amp;"","")</f>
        <v/>
      </c>
      <c r="U17" s="76">
        <f>IFERROR(INDEX(Atalhos!$G:$G,INDEX($H$10:$H$34,MATCH(8,$K$10:$K$34,0)))&amp;"","")</f>
        <v/>
      </c>
      <c r="V17" s="76">
        <f>IFERROR(INDEX(Atalhos!$H:$H,INDEX($H$10:$H$34,MATCH(8,$K$10:$K$34,0)))&amp;"","")</f>
        <v/>
      </c>
      <c r="W17" s="76">
        <f>""</f>
        <v/>
      </c>
      <c r="X17" s="8" t="n"/>
      <c r="Y17" s="8" t="n"/>
      <c r="Z17" s="8" t="n"/>
    </row>
    <row r="18" ht="20" customHeight="1">
      <c r="A18" s="8" t="n"/>
      <c r="B18" s="33">
        <f>IF($H18=0,"",INDEX(Atalhos!$B:$B,$H18)&amp;"")</f>
        <v/>
      </c>
      <c r="C18" s="33">
        <f>IF($H18=0,"",INDEX(Atalhos!$D:$D,$H18)&amp;"")</f>
        <v/>
      </c>
      <c r="D18" s="73">
        <f>IF($H18=0,"",IF(INDEX(Atalhos!$K:$K,$H18)="","",INDEX(Atalhos!$K:$K,$H18)))</f>
        <v/>
      </c>
      <c r="E18" s="48">
        <f>IF(B18="","",IF(N(INDEX(Atalhos!$I:$I,$H18))&gt;0,INDEX(Atalhos!$I:$I,$H18),SUMIFS(tbLancamentos[Valor],tbLancamentos[Descrição],B18,tbLancamentos[Mês],Calc!$B$6,tbLancamentos[Ano],Calc!$B$7)))</f>
        <v/>
      </c>
      <c r="F18" s="48">
        <f>IF(B18="","",SUMIFS(tbLancamentos[Valor],tbLancamentos[Descrição],B18,tbLancamentos[Mês],MesNum,tbLancamentos[Ano],AnoSelecionado))</f>
        <v/>
      </c>
      <c r="G18" s="74">
        <f>IF(B18="","",IF(I18=0,IF(AND(D18&lt;&gt;"",DATE(AnoSelecionado,MesNum,MIN(IF(D18="",1,D18),DAY(EOMONTH(DATE(AnoSelecionado,MesNum,1),0))))&lt;TODAY()),"✖ Atrasada — falta lançar","✖ Falta lançar"),IF(J18&gt;0,IF(DATE(AnoSelecionado,MesNum,MIN(IF(D18="",1,D18),DAY(EOMONTH(DATE(AnoSelecionado,MesNum,1),0))))&lt;TODAY(),"⏳ Pendente — vencida","⏳ Pendente"),IF(INDEX(Atalhos!$C:$C,$H18)="Receita","✔ Recebido","✔ Pago"))))</f>
        <v/>
      </c>
      <c r="H18" s="8">
        <f>Calc!AR10</f>
        <v/>
      </c>
      <c r="I18" s="8">
        <f>IF(B18="",0,COUNTIFS(tbLancamentos[Descrição],B18,tbLancamentos[Mês],MesNum,tbLancamentos[Ano],AnoSelecionado))</f>
        <v/>
      </c>
      <c r="J18" s="8">
        <f>IF(B18="",0,COUNTIFS(tbLancamentos[Descrição],B18,tbLancamentos[Mês],MesNum,tbLancamentos[Ano],AnoSelecionado,tbLancamentos[Situação],"Pendente"))</f>
        <v/>
      </c>
      <c r="K18" s="8">
        <f>IF(LEFT(G18,1)="✖",SUMPRODUCT(--(LEFT($G$10:G18,1)="✖")),0)</f>
        <v/>
      </c>
      <c r="L18" s="8" t="n"/>
      <c r="M18" s="75">
        <f>IFERROR(DATE(AnoSelecionado,MesNum,MIN(IF(INDEX($D$10:$D$34,MATCH(9,$K$10:$K$34,0))="",1,INDEX($D$10:$D$34,MATCH(9,$K$10:$K$34,0))),DAY(EOMONTH(DATE(AnoSelecionado,MesNum,1),0)))),"")</f>
        <v/>
      </c>
      <c r="N18" s="76">
        <f>IFERROR(INDEX($B$10:$B$34,MATCH(9,$K$10:$K$34,0)),"")</f>
        <v/>
      </c>
      <c r="O18" s="77">
        <f>IFERROR(IF(N(INDEX($E$10:$E$34,MATCH(9,$K$10:$K$34,0)))&gt;0,INDEX($E$10:$E$34,MATCH(9,$K$10:$K$34,0)),""),"")</f>
        <v/>
      </c>
      <c r="P18" s="76">
        <f>IFERROR(INDEX(Atalhos!$C:$C,INDEX($H$10:$H$34,MATCH(9,$K$10:$K$34,0)))&amp;"","")</f>
        <v/>
      </c>
      <c r="Q18" s="76">
        <f>IFERROR(INDEX(Atalhos!$D:$D,INDEX($H$10:$H$34,MATCH(9,$K$10:$K$34,0)))&amp;"","")</f>
        <v/>
      </c>
      <c r="R18" s="76">
        <f>IFERROR(IF(MATCH(9,$K$10:$K$34,0)&gt;0,"Pendente",""),"")</f>
        <v/>
      </c>
      <c r="S18" s="76">
        <f>IFERROR(INDEX(Atalhos!$E:$E,INDEX($H$10:$H$34,MATCH(9,$K$10:$K$34,0)))&amp;"","")</f>
        <v/>
      </c>
      <c r="T18" s="76">
        <f>IFERROR(INDEX(Atalhos!$F:$F,INDEX($H$10:$H$34,MATCH(9,$K$10:$K$34,0)))&amp;"","")</f>
        <v/>
      </c>
      <c r="U18" s="76">
        <f>IFERROR(INDEX(Atalhos!$G:$G,INDEX($H$10:$H$34,MATCH(9,$K$10:$K$34,0)))&amp;"","")</f>
        <v/>
      </c>
      <c r="V18" s="76">
        <f>IFERROR(INDEX(Atalhos!$H:$H,INDEX($H$10:$H$34,MATCH(9,$K$10:$K$34,0)))&amp;"","")</f>
        <v/>
      </c>
      <c r="W18" s="76">
        <f>""</f>
        <v/>
      </c>
      <c r="X18" s="8" t="n"/>
      <c r="Y18" s="8" t="n"/>
      <c r="Z18" s="8" t="n"/>
    </row>
    <row r="19" ht="20" customHeight="1">
      <c r="A19" s="8" t="n"/>
      <c r="B19" s="33">
        <f>IF($H19=0,"",INDEX(Atalhos!$B:$B,$H19)&amp;"")</f>
        <v/>
      </c>
      <c r="C19" s="33">
        <f>IF($H19=0,"",INDEX(Atalhos!$D:$D,$H19)&amp;"")</f>
        <v/>
      </c>
      <c r="D19" s="73">
        <f>IF($H19=0,"",IF(INDEX(Atalhos!$K:$K,$H19)="","",INDEX(Atalhos!$K:$K,$H19)))</f>
        <v/>
      </c>
      <c r="E19" s="48">
        <f>IF(B19="","",IF(N(INDEX(Atalhos!$I:$I,$H19))&gt;0,INDEX(Atalhos!$I:$I,$H19),SUMIFS(tbLancamentos[Valor],tbLancamentos[Descrição],B19,tbLancamentos[Mês],Calc!$B$6,tbLancamentos[Ano],Calc!$B$7)))</f>
        <v/>
      </c>
      <c r="F19" s="48">
        <f>IF(B19="","",SUMIFS(tbLancamentos[Valor],tbLancamentos[Descrição],B19,tbLancamentos[Mês],MesNum,tbLancamentos[Ano],AnoSelecionado))</f>
        <v/>
      </c>
      <c r="G19" s="74">
        <f>IF(B19="","",IF(I19=0,IF(AND(D19&lt;&gt;"",DATE(AnoSelecionado,MesNum,MIN(IF(D19="",1,D19),DAY(EOMONTH(DATE(AnoSelecionado,MesNum,1),0))))&lt;TODAY()),"✖ Atrasada — falta lançar","✖ Falta lançar"),IF(J19&gt;0,IF(DATE(AnoSelecionado,MesNum,MIN(IF(D19="",1,D19),DAY(EOMONTH(DATE(AnoSelecionado,MesNum,1),0))))&lt;TODAY(),"⏳ Pendente — vencida","⏳ Pendente"),IF(INDEX(Atalhos!$C:$C,$H19)="Receita","✔ Recebido","✔ Pago"))))</f>
        <v/>
      </c>
      <c r="H19" s="8">
        <f>Calc!AR11</f>
        <v/>
      </c>
      <c r="I19" s="8">
        <f>IF(B19="",0,COUNTIFS(tbLancamentos[Descrição],B19,tbLancamentos[Mês],MesNum,tbLancamentos[Ano],AnoSelecionado))</f>
        <v/>
      </c>
      <c r="J19" s="8">
        <f>IF(B19="",0,COUNTIFS(tbLancamentos[Descrição],B19,tbLancamentos[Mês],MesNum,tbLancamentos[Ano],AnoSelecionado,tbLancamentos[Situação],"Pendente"))</f>
        <v/>
      </c>
      <c r="K19" s="8">
        <f>IF(LEFT(G19,1)="✖",SUMPRODUCT(--(LEFT($G$10:G19,1)="✖")),0)</f>
        <v/>
      </c>
      <c r="L19" s="8" t="n"/>
      <c r="M19" s="75">
        <f>IFERROR(DATE(AnoSelecionado,MesNum,MIN(IF(INDEX($D$10:$D$34,MATCH(10,$K$10:$K$34,0))="",1,INDEX($D$10:$D$34,MATCH(10,$K$10:$K$34,0))),DAY(EOMONTH(DATE(AnoSelecionado,MesNum,1),0)))),"")</f>
        <v/>
      </c>
      <c r="N19" s="76">
        <f>IFERROR(INDEX($B$10:$B$34,MATCH(10,$K$10:$K$34,0)),"")</f>
        <v/>
      </c>
      <c r="O19" s="77">
        <f>IFERROR(IF(N(INDEX($E$10:$E$34,MATCH(10,$K$10:$K$34,0)))&gt;0,INDEX($E$10:$E$34,MATCH(10,$K$10:$K$34,0)),""),"")</f>
        <v/>
      </c>
      <c r="P19" s="76">
        <f>IFERROR(INDEX(Atalhos!$C:$C,INDEX($H$10:$H$34,MATCH(10,$K$10:$K$34,0)))&amp;"","")</f>
        <v/>
      </c>
      <c r="Q19" s="76">
        <f>IFERROR(INDEX(Atalhos!$D:$D,INDEX($H$10:$H$34,MATCH(10,$K$10:$K$34,0)))&amp;"","")</f>
        <v/>
      </c>
      <c r="R19" s="76">
        <f>IFERROR(IF(MATCH(10,$K$10:$K$34,0)&gt;0,"Pendente",""),"")</f>
        <v/>
      </c>
      <c r="S19" s="76">
        <f>IFERROR(INDEX(Atalhos!$E:$E,INDEX($H$10:$H$34,MATCH(10,$K$10:$K$34,0)))&amp;"","")</f>
        <v/>
      </c>
      <c r="T19" s="76">
        <f>IFERROR(INDEX(Atalhos!$F:$F,INDEX($H$10:$H$34,MATCH(10,$K$10:$K$34,0)))&amp;"","")</f>
        <v/>
      </c>
      <c r="U19" s="76">
        <f>IFERROR(INDEX(Atalhos!$G:$G,INDEX($H$10:$H$34,MATCH(10,$K$10:$K$34,0)))&amp;"","")</f>
        <v/>
      </c>
      <c r="V19" s="76">
        <f>IFERROR(INDEX(Atalhos!$H:$H,INDEX($H$10:$H$34,MATCH(10,$K$10:$K$34,0)))&amp;"","")</f>
        <v/>
      </c>
      <c r="W19" s="76">
        <f>""</f>
        <v/>
      </c>
      <c r="X19" s="8" t="n"/>
      <c r="Y19" s="8" t="n"/>
      <c r="Z19" s="8" t="n"/>
    </row>
    <row r="20" ht="20" customHeight="1">
      <c r="A20" s="8" t="n"/>
      <c r="B20" s="33">
        <f>IF($H20=0,"",INDEX(Atalhos!$B:$B,$H20)&amp;"")</f>
        <v/>
      </c>
      <c r="C20" s="33">
        <f>IF($H20=0,"",INDEX(Atalhos!$D:$D,$H20)&amp;"")</f>
        <v/>
      </c>
      <c r="D20" s="73">
        <f>IF($H20=0,"",IF(INDEX(Atalhos!$K:$K,$H20)="","",INDEX(Atalhos!$K:$K,$H20)))</f>
        <v/>
      </c>
      <c r="E20" s="48">
        <f>IF(B20="","",IF(N(INDEX(Atalhos!$I:$I,$H20))&gt;0,INDEX(Atalhos!$I:$I,$H20),SUMIFS(tbLancamentos[Valor],tbLancamentos[Descrição],B20,tbLancamentos[Mês],Calc!$B$6,tbLancamentos[Ano],Calc!$B$7)))</f>
        <v/>
      </c>
      <c r="F20" s="48">
        <f>IF(B20="","",SUMIFS(tbLancamentos[Valor],tbLancamentos[Descrição],B20,tbLancamentos[Mês],MesNum,tbLancamentos[Ano],AnoSelecionado))</f>
        <v/>
      </c>
      <c r="G20" s="74">
        <f>IF(B20="","",IF(I20=0,IF(AND(D20&lt;&gt;"",DATE(AnoSelecionado,MesNum,MIN(IF(D20="",1,D20),DAY(EOMONTH(DATE(AnoSelecionado,MesNum,1),0))))&lt;TODAY()),"✖ Atrasada — falta lançar","✖ Falta lançar"),IF(J20&gt;0,IF(DATE(AnoSelecionado,MesNum,MIN(IF(D20="",1,D20),DAY(EOMONTH(DATE(AnoSelecionado,MesNum,1),0))))&lt;TODAY(),"⏳ Pendente — vencida","⏳ Pendente"),IF(INDEX(Atalhos!$C:$C,$H20)="Receita","✔ Recebido","✔ Pago"))))</f>
        <v/>
      </c>
      <c r="H20" s="8">
        <f>Calc!AR12</f>
        <v/>
      </c>
      <c r="I20" s="8">
        <f>IF(B20="",0,COUNTIFS(tbLancamentos[Descrição],B20,tbLancamentos[Mês],MesNum,tbLancamentos[Ano],AnoSelecionado))</f>
        <v/>
      </c>
      <c r="J20" s="8">
        <f>IF(B20="",0,COUNTIFS(tbLancamentos[Descrição],B20,tbLancamentos[Mês],MesNum,tbLancamentos[Ano],AnoSelecionado,tbLancamentos[Situação],"Pendente"))</f>
        <v/>
      </c>
      <c r="K20" s="8">
        <f>IF(LEFT(G20,1)="✖",SUMPRODUCT(--(LEFT($G$10:G20,1)="✖")),0)</f>
        <v/>
      </c>
      <c r="L20" s="8" t="n"/>
      <c r="M20" s="75">
        <f>IFERROR(DATE(AnoSelecionado,MesNum,MIN(IF(INDEX($D$10:$D$34,MATCH(11,$K$10:$K$34,0))="",1,INDEX($D$10:$D$34,MATCH(11,$K$10:$K$34,0))),DAY(EOMONTH(DATE(AnoSelecionado,MesNum,1),0)))),"")</f>
        <v/>
      </c>
      <c r="N20" s="76">
        <f>IFERROR(INDEX($B$10:$B$34,MATCH(11,$K$10:$K$34,0)),"")</f>
        <v/>
      </c>
      <c r="O20" s="77">
        <f>IFERROR(IF(N(INDEX($E$10:$E$34,MATCH(11,$K$10:$K$34,0)))&gt;0,INDEX($E$10:$E$34,MATCH(11,$K$10:$K$34,0)),""),"")</f>
        <v/>
      </c>
      <c r="P20" s="76">
        <f>IFERROR(INDEX(Atalhos!$C:$C,INDEX($H$10:$H$34,MATCH(11,$K$10:$K$34,0)))&amp;"","")</f>
        <v/>
      </c>
      <c r="Q20" s="76">
        <f>IFERROR(INDEX(Atalhos!$D:$D,INDEX($H$10:$H$34,MATCH(11,$K$10:$K$34,0)))&amp;"","")</f>
        <v/>
      </c>
      <c r="R20" s="76">
        <f>IFERROR(IF(MATCH(11,$K$10:$K$34,0)&gt;0,"Pendente",""),"")</f>
        <v/>
      </c>
      <c r="S20" s="76">
        <f>IFERROR(INDEX(Atalhos!$E:$E,INDEX($H$10:$H$34,MATCH(11,$K$10:$K$34,0)))&amp;"","")</f>
        <v/>
      </c>
      <c r="T20" s="76">
        <f>IFERROR(INDEX(Atalhos!$F:$F,INDEX($H$10:$H$34,MATCH(11,$K$10:$K$34,0)))&amp;"","")</f>
        <v/>
      </c>
      <c r="U20" s="76">
        <f>IFERROR(INDEX(Atalhos!$G:$G,INDEX($H$10:$H$34,MATCH(11,$K$10:$K$34,0)))&amp;"","")</f>
        <v/>
      </c>
      <c r="V20" s="76">
        <f>IFERROR(INDEX(Atalhos!$H:$H,INDEX($H$10:$H$34,MATCH(11,$K$10:$K$34,0)))&amp;"","")</f>
        <v/>
      </c>
      <c r="W20" s="76">
        <f>""</f>
        <v/>
      </c>
      <c r="X20" s="8" t="n"/>
      <c r="Y20" s="8" t="n"/>
      <c r="Z20" s="8" t="n"/>
    </row>
    <row r="21" ht="20" customHeight="1">
      <c r="A21" s="8" t="n"/>
      <c r="B21" s="33">
        <f>IF($H21=0,"",INDEX(Atalhos!$B:$B,$H21)&amp;"")</f>
        <v/>
      </c>
      <c r="C21" s="33">
        <f>IF($H21=0,"",INDEX(Atalhos!$D:$D,$H21)&amp;"")</f>
        <v/>
      </c>
      <c r="D21" s="73">
        <f>IF($H21=0,"",IF(INDEX(Atalhos!$K:$K,$H21)="","",INDEX(Atalhos!$K:$K,$H21)))</f>
        <v/>
      </c>
      <c r="E21" s="48">
        <f>IF(B21="","",IF(N(INDEX(Atalhos!$I:$I,$H21))&gt;0,INDEX(Atalhos!$I:$I,$H21),SUMIFS(tbLancamentos[Valor],tbLancamentos[Descrição],B21,tbLancamentos[Mês],Calc!$B$6,tbLancamentos[Ano],Calc!$B$7)))</f>
        <v/>
      </c>
      <c r="F21" s="48">
        <f>IF(B21="","",SUMIFS(tbLancamentos[Valor],tbLancamentos[Descrição],B21,tbLancamentos[Mês],MesNum,tbLancamentos[Ano],AnoSelecionado))</f>
        <v/>
      </c>
      <c r="G21" s="74">
        <f>IF(B21="","",IF(I21=0,IF(AND(D21&lt;&gt;"",DATE(AnoSelecionado,MesNum,MIN(IF(D21="",1,D21),DAY(EOMONTH(DATE(AnoSelecionado,MesNum,1),0))))&lt;TODAY()),"✖ Atrasada — falta lançar","✖ Falta lançar"),IF(J21&gt;0,IF(DATE(AnoSelecionado,MesNum,MIN(IF(D21="",1,D21),DAY(EOMONTH(DATE(AnoSelecionado,MesNum,1),0))))&lt;TODAY(),"⏳ Pendente — vencida","⏳ Pendente"),IF(INDEX(Atalhos!$C:$C,$H21)="Receita","✔ Recebido","✔ Pago"))))</f>
        <v/>
      </c>
      <c r="H21" s="8">
        <f>Calc!AR13</f>
        <v/>
      </c>
      <c r="I21" s="8">
        <f>IF(B21="",0,COUNTIFS(tbLancamentos[Descrição],B21,tbLancamentos[Mês],MesNum,tbLancamentos[Ano],AnoSelecionado))</f>
        <v/>
      </c>
      <c r="J21" s="8">
        <f>IF(B21="",0,COUNTIFS(tbLancamentos[Descrição],B21,tbLancamentos[Mês],MesNum,tbLancamentos[Ano],AnoSelecionado,tbLancamentos[Situação],"Pendente"))</f>
        <v/>
      </c>
      <c r="K21" s="8">
        <f>IF(LEFT(G21,1)="✖",SUMPRODUCT(--(LEFT($G$10:G21,1)="✖")),0)</f>
        <v/>
      </c>
      <c r="L21" s="8" t="n"/>
      <c r="M21" s="75">
        <f>IFERROR(DATE(AnoSelecionado,MesNum,MIN(IF(INDEX($D$10:$D$34,MATCH(12,$K$10:$K$34,0))="",1,INDEX($D$10:$D$34,MATCH(12,$K$10:$K$34,0))),DAY(EOMONTH(DATE(AnoSelecionado,MesNum,1),0)))),"")</f>
        <v/>
      </c>
      <c r="N21" s="76">
        <f>IFERROR(INDEX($B$10:$B$34,MATCH(12,$K$10:$K$34,0)),"")</f>
        <v/>
      </c>
      <c r="O21" s="77">
        <f>IFERROR(IF(N(INDEX($E$10:$E$34,MATCH(12,$K$10:$K$34,0)))&gt;0,INDEX($E$10:$E$34,MATCH(12,$K$10:$K$34,0)),""),"")</f>
        <v/>
      </c>
      <c r="P21" s="76">
        <f>IFERROR(INDEX(Atalhos!$C:$C,INDEX($H$10:$H$34,MATCH(12,$K$10:$K$34,0)))&amp;"","")</f>
        <v/>
      </c>
      <c r="Q21" s="76">
        <f>IFERROR(INDEX(Atalhos!$D:$D,INDEX($H$10:$H$34,MATCH(12,$K$10:$K$34,0)))&amp;"","")</f>
        <v/>
      </c>
      <c r="R21" s="76">
        <f>IFERROR(IF(MATCH(12,$K$10:$K$34,0)&gt;0,"Pendente",""),"")</f>
        <v/>
      </c>
      <c r="S21" s="76">
        <f>IFERROR(INDEX(Atalhos!$E:$E,INDEX($H$10:$H$34,MATCH(12,$K$10:$K$34,0)))&amp;"","")</f>
        <v/>
      </c>
      <c r="T21" s="76">
        <f>IFERROR(INDEX(Atalhos!$F:$F,INDEX($H$10:$H$34,MATCH(12,$K$10:$K$34,0)))&amp;"","")</f>
        <v/>
      </c>
      <c r="U21" s="76">
        <f>IFERROR(INDEX(Atalhos!$G:$G,INDEX($H$10:$H$34,MATCH(12,$K$10:$K$34,0)))&amp;"","")</f>
        <v/>
      </c>
      <c r="V21" s="76">
        <f>IFERROR(INDEX(Atalhos!$H:$H,INDEX($H$10:$H$34,MATCH(12,$K$10:$K$34,0)))&amp;"","")</f>
        <v/>
      </c>
      <c r="W21" s="76">
        <f>""</f>
        <v/>
      </c>
      <c r="X21" s="8" t="n"/>
      <c r="Y21" s="8" t="n"/>
      <c r="Z21" s="8" t="n"/>
    </row>
    <row r="22" ht="20" customHeight="1">
      <c r="A22" s="8" t="n"/>
      <c r="B22" s="33">
        <f>IF($H22=0,"",INDEX(Atalhos!$B:$B,$H22)&amp;"")</f>
        <v/>
      </c>
      <c r="C22" s="33">
        <f>IF($H22=0,"",INDEX(Atalhos!$D:$D,$H22)&amp;"")</f>
        <v/>
      </c>
      <c r="D22" s="73">
        <f>IF($H22=0,"",IF(INDEX(Atalhos!$K:$K,$H22)="","",INDEX(Atalhos!$K:$K,$H22)))</f>
        <v/>
      </c>
      <c r="E22" s="48">
        <f>IF(B22="","",IF(N(INDEX(Atalhos!$I:$I,$H22))&gt;0,INDEX(Atalhos!$I:$I,$H22),SUMIFS(tbLancamentos[Valor],tbLancamentos[Descrição],B22,tbLancamentos[Mês],Calc!$B$6,tbLancamentos[Ano],Calc!$B$7)))</f>
        <v/>
      </c>
      <c r="F22" s="48">
        <f>IF(B22="","",SUMIFS(tbLancamentos[Valor],tbLancamentos[Descrição],B22,tbLancamentos[Mês],MesNum,tbLancamentos[Ano],AnoSelecionado))</f>
        <v/>
      </c>
      <c r="G22" s="74">
        <f>IF(B22="","",IF(I22=0,IF(AND(D22&lt;&gt;"",DATE(AnoSelecionado,MesNum,MIN(IF(D22="",1,D22),DAY(EOMONTH(DATE(AnoSelecionado,MesNum,1),0))))&lt;TODAY()),"✖ Atrasada — falta lançar","✖ Falta lançar"),IF(J22&gt;0,IF(DATE(AnoSelecionado,MesNum,MIN(IF(D22="",1,D22),DAY(EOMONTH(DATE(AnoSelecionado,MesNum,1),0))))&lt;TODAY(),"⏳ Pendente — vencida","⏳ Pendente"),IF(INDEX(Atalhos!$C:$C,$H22)="Receita","✔ Recebido","✔ Pago"))))</f>
        <v/>
      </c>
      <c r="H22" s="8">
        <f>Calc!AR14</f>
        <v/>
      </c>
      <c r="I22" s="8">
        <f>IF(B22="",0,COUNTIFS(tbLancamentos[Descrição],B22,tbLancamentos[Mês],MesNum,tbLancamentos[Ano],AnoSelecionado))</f>
        <v/>
      </c>
      <c r="J22" s="8">
        <f>IF(B22="",0,COUNTIFS(tbLancamentos[Descrição],B22,tbLancamentos[Mês],MesNum,tbLancamentos[Ano],AnoSelecionado,tbLancamentos[Situação],"Pendente"))</f>
        <v/>
      </c>
      <c r="K22" s="8">
        <f>IF(LEFT(G22,1)="✖",SUMPRODUCT(--(LEFT($G$10:G22,1)="✖")),0)</f>
        <v/>
      </c>
      <c r="L22" s="8" t="n"/>
      <c r="M22" s="75">
        <f>IFERROR(DATE(AnoSelecionado,MesNum,MIN(IF(INDEX($D$10:$D$34,MATCH(13,$K$10:$K$34,0))="",1,INDEX($D$10:$D$34,MATCH(13,$K$10:$K$34,0))),DAY(EOMONTH(DATE(AnoSelecionado,MesNum,1),0)))),"")</f>
        <v/>
      </c>
      <c r="N22" s="76">
        <f>IFERROR(INDEX($B$10:$B$34,MATCH(13,$K$10:$K$34,0)),"")</f>
        <v/>
      </c>
      <c r="O22" s="77">
        <f>IFERROR(IF(N(INDEX($E$10:$E$34,MATCH(13,$K$10:$K$34,0)))&gt;0,INDEX($E$10:$E$34,MATCH(13,$K$10:$K$34,0)),""),"")</f>
        <v/>
      </c>
      <c r="P22" s="76">
        <f>IFERROR(INDEX(Atalhos!$C:$C,INDEX($H$10:$H$34,MATCH(13,$K$10:$K$34,0)))&amp;"","")</f>
        <v/>
      </c>
      <c r="Q22" s="76">
        <f>IFERROR(INDEX(Atalhos!$D:$D,INDEX($H$10:$H$34,MATCH(13,$K$10:$K$34,0)))&amp;"","")</f>
        <v/>
      </c>
      <c r="R22" s="76">
        <f>IFERROR(IF(MATCH(13,$K$10:$K$34,0)&gt;0,"Pendente",""),"")</f>
        <v/>
      </c>
      <c r="S22" s="76">
        <f>IFERROR(INDEX(Atalhos!$E:$E,INDEX($H$10:$H$34,MATCH(13,$K$10:$K$34,0)))&amp;"","")</f>
        <v/>
      </c>
      <c r="T22" s="76">
        <f>IFERROR(INDEX(Atalhos!$F:$F,INDEX($H$10:$H$34,MATCH(13,$K$10:$K$34,0)))&amp;"","")</f>
        <v/>
      </c>
      <c r="U22" s="76">
        <f>IFERROR(INDEX(Atalhos!$G:$G,INDEX($H$10:$H$34,MATCH(13,$K$10:$K$34,0)))&amp;"","")</f>
        <v/>
      </c>
      <c r="V22" s="76">
        <f>IFERROR(INDEX(Atalhos!$H:$H,INDEX($H$10:$H$34,MATCH(13,$K$10:$K$34,0)))&amp;"","")</f>
        <v/>
      </c>
      <c r="W22" s="76">
        <f>""</f>
        <v/>
      </c>
      <c r="X22" s="8" t="n"/>
      <c r="Y22" s="8" t="n"/>
      <c r="Z22" s="8" t="n"/>
    </row>
    <row r="23" ht="20" customHeight="1">
      <c r="A23" s="8" t="n"/>
      <c r="B23" s="33">
        <f>IF($H23=0,"",INDEX(Atalhos!$B:$B,$H23)&amp;"")</f>
        <v/>
      </c>
      <c r="C23" s="33">
        <f>IF($H23=0,"",INDEX(Atalhos!$D:$D,$H23)&amp;"")</f>
        <v/>
      </c>
      <c r="D23" s="73">
        <f>IF($H23=0,"",IF(INDEX(Atalhos!$K:$K,$H23)="","",INDEX(Atalhos!$K:$K,$H23)))</f>
        <v/>
      </c>
      <c r="E23" s="48">
        <f>IF(B23="","",IF(N(INDEX(Atalhos!$I:$I,$H23))&gt;0,INDEX(Atalhos!$I:$I,$H23),SUMIFS(tbLancamentos[Valor],tbLancamentos[Descrição],B23,tbLancamentos[Mês],Calc!$B$6,tbLancamentos[Ano],Calc!$B$7)))</f>
        <v/>
      </c>
      <c r="F23" s="48">
        <f>IF(B23="","",SUMIFS(tbLancamentos[Valor],tbLancamentos[Descrição],B23,tbLancamentos[Mês],MesNum,tbLancamentos[Ano],AnoSelecionado))</f>
        <v/>
      </c>
      <c r="G23" s="74">
        <f>IF(B23="","",IF(I23=0,IF(AND(D23&lt;&gt;"",DATE(AnoSelecionado,MesNum,MIN(IF(D23="",1,D23),DAY(EOMONTH(DATE(AnoSelecionado,MesNum,1),0))))&lt;TODAY()),"✖ Atrasada — falta lançar","✖ Falta lançar"),IF(J23&gt;0,IF(DATE(AnoSelecionado,MesNum,MIN(IF(D23="",1,D23),DAY(EOMONTH(DATE(AnoSelecionado,MesNum,1),0))))&lt;TODAY(),"⏳ Pendente — vencida","⏳ Pendente"),IF(INDEX(Atalhos!$C:$C,$H23)="Receita","✔ Recebido","✔ Pago"))))</f>
        <v/>
      </c>
      <c r="H23" s="8">
        <f>Calc!AR15</f>
        <v/>
      </c>
      <c r="I23" s="8">
        <f>IF(B23="",0,COUNTIFS(tbLancamentos[Descrição],B23,tbLancamentos[Mês],MesNum,tbLancamentos[Ano],AnoSelecionado))</f>
        <v/>
      </c>
      <c r="J23" s="8">
        <f>IF(B23="",0,COUNTIFS(tbLancamentos[Descrição],B23,tbLancamentos[Mês],MesNum,tbLancamentos[Ano],AnoSelecionado,tbLancamentos[Situação],"Pendente"))</f>
        <v/>
      </c>
      <c r="K23" s="8">
        <f>IF(LEFT(G23,1)="✖",SUMPRODUCT(--(LEFT($G$10:G23,1)="✖")),0)</f>
        <v/>
      </c>
      <c r="L23" s="8" t="n"/>
      <c r="M23" s="75">
        <f>IFERROR(DATE(AnoSelecionado,MesNum,MIN(IF(INDEX($D$10:$D$34,MATCH(14,$K$10:$K$34,0))="",1,INDEX($D$10:$D$34,MATCH(14,$K$10:$K$34,0))),DAY(EOMONTH(DATE(AnoSelecionado,MesNum,1),0)))),"")</f>
        <v/>
      </c>
      <c r="N23" s="76">
        <f>IFERROR(INDEX($B$10:$B$34,MATCH(14,$K$10:$K$34,0)),"")</f>
        <v/>
      </c>
      <c r="O23" s="77">
        <f>IFERROR(IF(N(INDEX($E$10:$E$34,MATCH(14,$K$10:$K$34,0)))&gt;0,INDEX($E$10:$E$34,MATCH(14,$K$10:$K$34,0)),""),"")</f>
        <v/>
      </c>
      <c r="P23" s="76">
        <f>IFERROR(INDEX(Atalhos!$C:$C,INDEX($H$10:$H$34,MATCH(14,$K$10:$K$34,0)))&amp;"","")</f>
        <v/>
      </c>
      <c r="Q23" s="76">
        <f>IFERROR(INDEX(Atalhos!$D:$D,INDEX($H$10:$H$34,MATCH(14,$K$10:$K$34,0)))&amp;"","")</f>
        <v/>
      </c>
      <c r="R23" s="76">
        <f>IFERROR(IF(MATCH(14,$K$10:$K$34,0)&gt;0,"Pendente",""),"")</f>
        <v/>
      </c>
      <c r="S23" s="76">
        <f>IFERROR(INDEX(Atalhos!$E:$E,INDEX($H$10:$H$34,MATCH(14,$K$10:$K$34,0)))&amp;"","")</f>
        <v/>
      </c>
      <c r="T23" s="76">
        <f>IFERROR(INDEX(Atalhos!$F:$F,INDEX($H$10:$H$34,MATCH(14,$K$10:$K$34,0)))&amp;"","")</f>
        <v/>
      </c>
      <c r="U23" s="76">
        <f>IFERROR(INDEX(Atalhos!$G:$G,INDEX($H$10:$H$34,MATCH(14,$K$10:$K$34,0)))&amp;"","")</f>
        <v/>
      </c>
      <c r="V23" s="76">
        <f>IFERROR(INDEX(Atalhos!$H:$H,INDEX($H$10:$H$34,MATCH(14,$K$10:$K$34,0)))&amp;"","")</f>
        <v/>
      </c>
      <c r="W23" s="76">
        <f>""</f>
        <v/>
      </c>
      <c r="X23" s="8" t="n"/>
      <c r="Y23" s="8" t="n"/>
      <c r="Z23" s="8" t="n"/>
    </row>
    <row r="24" ht="20" customHeight="1">
      <c r="A24" s="8" t="n"/>
      <c r="B24" s="33">
        <f>IF($H24=0,"",INDEX(Atalhos!$B:$B,$H24)&amp;"")</f>
        <v/>
      </c>
      <c r="C24" s="33">
        <f>IF($H24=0,"",INDEX(Atalhos!$D:$D,$H24)&amp;"")</f>
        <v/>
      </c>
      <c r="D24" s="73">
        <f>IF($H24=0,"",IF(INDEX(Atalhos!$K:$K,$H24)="","",INDEX(Atalhos!$K:$K,$H24)))</f>
        <v/>
      </c>
      <c r="E24" s="48">
        <f>IF(B24="","",IF(N(INDEX(Atalhos!$I:$I,$H24))&gt;0,INDEX(Atalhos!$I:$I,$H24),SUMIFS(tbLancamentos[Valor],tbLancamentos[Descrição],B24,tbLancamentos[Mês],Calc!$B$6,tbLancamentos[Ano],Calc!$B$7)))</f>
        <v/>
      </c>
      <c r="F24" s="48">
        <f>IF(B24="","",SUMIFS(tbLancamentos[Valor],tbLancamentos[Descrição],B24,tbLancamentos[Mês],MesNum,tbLancamentos[Ano],AnoSelecionado))</f>
        <v/>
      </c>
      <c r="G24" s="74">
        <f>IF(B24="","",IF(I24=0,IF(AND(D24&lt;&gt;"",DATE(AnoSelecionado,MesNum,MIN(IF(D24="",1,D24),DAY(EOMONTH(DATE(AnoSelecionado,MesNum,1),0))))&lt;TODAY()),"✖ Atrasada — falta lançar","✖ Falta lançar"),IF(J24&gt;0,IF(DATE(AnoSelecionado,MesNum,MIN(IF(D24="",1,D24),DAY(EOMONTH(DATE(AnoSelecionado,MesNum,1),0))))&lt;TODAY(),"⏳ Pendente — vencida","⏳ Pendente"),IF(INDEX(Atalhos!$C:$C,$H24)="Receita","✔ Recebido","✔ Pago"))))</f>
        <v/>
      </c>
      <c r="H24" s="8">
        <f>Calc!AR16</f>
        <v/>
      </c>
      <c r="I24" s="8">
        <f>IF(B24="",0,COUNTIFS(tbLancamentos[Descrição],B24,tbLancamentos[Mês],MesNum,tbLancamentos[Ano],AnoSelecionado))</f>
        <v/>
      </c>
      <c r="J24" s="8">
        <f>IF(B24="",0,COUNTIFS(tbLancamentos[Descrição],B24,tbLancamentos[Mês],MesNum,tbLancamentos[Ano],AnoSelecionado,tbLancamentos[Situação],"Pendente"))</f>
        <v/>
      </c>
      <c r="K24" s="8">
        <f>IF(LEFT(G24,1)="✖",SUMPRODUCT(--(LEFT($G$10:G24,1)="✖")),0)</f>
        <v/>
      </c>
      <c r="L24" s="8" t="n"/>
      <c r="M24" s="75">
        <f>IFERROR(DATE(AnoSelecionado,MesNum,MIN(IF(INDEX($D$10:$D$34,MATCH(15,$K$10:$K$34,0))="",1,INDEX($D$10:$D$34,MATCH(15,$K$10:$K$34,0))),DAY(EOMONTH(DATE(AnoSelecionado,MesNum,1),0)))),"")</f>
        <v/>
      </c>
      <c r="N24" s="76">
        <f>IFERROR(INDEX($B$10:$B$34,MATCH(15,$K$10:$K$34,0)),"")</f>
        <v/>
      </c>
      <c r="O24" s="77">
        <f>IFERROR(IF(N(INDEX($E$10:$E$34,MATCH(15,$K$10:$K$34,0)))&gt;0,INDEX($E$10:$E$34,MATCH(15,$K$10:$K$34,0)),""),"")</f>
        <v/>
      </c>
      <c r="P24" s="76">
        <f>IFERROR(INDEX(Atalhos!$C:$C,INDEX($H$10:$H$34,MATCH(15,$K$10:$K$34,0)))&amp;"","")</f>
        <v/>
      </c>
      <c r="Q24" s="76">
        <f>IFERROR(INDEX(Atalhos!$D:$D,INDEX($H$10:$H$34,MATCH(15,$K$10:$K$34,0)))&amp;"","")</f>
        <v/>
      </c>
      <c r="R24" s="76">
        <f>IFERROR(IF(MATCH(15,$K$10:$K$34,0)&gt;0,"Pendente",""),"")</f>
        <v/>
      </c>
      <c r="S24" s="76">
        <f>IFERROR(INDEX(Atalhos!$E:$E,INDEX($H$10:$H$34,MATCH(15,$K$10:$K$34,0)))&amp;"","")</f>
        <v/>
      </c>
      <c r="T24" s="76">
        <f>IFERROR(INDEX(Atalhos!$F:$F,INDEX($H$10:$H$34,MATCH(15,$K$10:$K$34,0)))&amp;"","")</f>
        <v/>
      </c>
      <c r="U24" s="76">
        <f>IFERROR(INDEX(Atalhos!$G:$G,INDEX($H$10:$H$34,MATCH(15,$K$10:$K$34,0)))&amp;"","")</f>
        <v/>
      </c>
      <c r="V24" s="76">
        <f>IFERROR(INDEX(Atalhos!$H:$H,INDEX($H$10:$H$34,MATCH(15,$K$10:$K$34,0)))&amp;"","")</f>
        <v/>
      </c>
      <c r="W24" s="76">
        <f>""</f>
        <v/>
      </c>
      <c r="X24" s="8" t="n"/>
      <c r="Y24" s="8" t="n"/>
      <c r="Z24" s="8" t="n"/>
    </row>
    <row r="25" ht="20" customHeight="1">
      <c r="A25" s="8" t="n"/>
      <c r="B25" s="33">
        <f>IF($H25=0,"",INDEX(Atalhos!$B:$B,$H25)&amp;"")</f>
        <v/>
      </c>
      <c r="C25" s="33">
        <f>IF($H25=0,"",INDEX(Atalhos!$D:$D,$H25)&amp;"")</f>
        <v/>
      </c>
      <c r="D25" s="73">
        <f>IF($H25=0,"",IF(INDEX(Atalhos!$K:$K,$H25)="","",INDEX(Atalhos!$K:$K,$H25)))</f>
        <v/>
      </c>
      <c r="E25" s="48">
        <f>IF(B25="","",IF(N(INDEX(Atalhos!$I:$I,$H25))&gt;0,INDEX(Atalhos!$I:$I,$H25),SUMIFS(tbLancamentos[Valor],tbLancamentos[Descrição],B25,tbLancamentos[Mês],Calc!$B$6,tbLancamentos[Ano],Calc!$B$7)))</f>
        <v/>
      </c>
      <c r="F25" s="48">
        <f>IF(B25="","",SUMIFS(tbLancamentos[Valor],tbLancamentos[Descrição],B25,tbLancamentos[Mês],MesNum,tbLancamentos[Ano],AnoSelecionado))</f>
        <v/>
      </c>
      <c r="G25" s="74">
        <f>IF(B25="","",IF(I25=0,IF(AND(D25&lt;&gt;"",DATE(AnoSelecionado,MesNum,MIN(IF(D25="",1,D25),DAY(EOMONTH(DATE(AnoSelecionado,MesNum,1),0))))&lt;TODAY()),"✖ Atrasada — falta lançar","✖ Falta lançar"),IF(J25&gt;0,IF(DATE(AnoSelecionado,MesNum,MIN(IF(D25="",1,D25),DAY(EOMONTH(DATE(AnoSelecionado,MesNum,1),0))))&lt;TODAY(),"⏳ Pendente — vencida","⏳ Pendente"),IF(INDEX(Atalhos!$C:$C,$H25)="Receita","✔ Recebido","✔ Pago"))))</f>
        <v/>
      </c>
      <c r="H25" s="8">
        <f>Calc!AR17</f>
        <v/>
      </c>
      <c r="I25" s="8">
        <f>IF(B25="",0,COUNTIFS(tbLancamentos[Descrição],B25,tbLancamentos[Mês],MesNum,tbLancamentos[Ano],AnoSelecionado))</f>
        <v/>
      </c>
      <c r="J25" s="8">
        <f>IF(B25="",0,COUNTIFS(tbLancamentos[Descrição],B25,tbLancamentos[Mês],MesNum,tbLancamentos[Ano],AnoSelecionado,tbLancamentos[Situação],"Pendente"))</f>
        <v/>
      </c>
      <c r="K25" s="8">
        <f>IF(LEFT(G25,1)="✖",SUMPRODUCT(--(LEFT($G$10:G25,1)="✖")),0)</f>
        <v/>
      </c>
      <c r="L25" s="8" t="n"/>
      <c r="M25" s="75">
        <f>IFERROR(DATE(AnoSelecionado,MesNum,MIN(IF(INDEX($D$10:$D$34,MATCH(16,$K$10:$K$34,0))="",1,INDEX($D$10:$D$34,MATCH(16,$K$10:$K$34,0))),DAY(EOMONTH(DATE(AnoSelecionado,MesNum,1),0)))),"")</f>
        <v/>
      </c>
      <c r="N25" s="76">
        <f>IFERROR(INDEX($B$10:$B$34,MATCH(16,$K$10:$K$34,0)),"")</f>
        <v/>
      </c>
      <c r="O25" s="77">
        <f>IFERROR(IF(N(INDEX($E$10:$E$34,MATCH(16,$K$10:$K$34,0)))&gt;0,INDEX($E$10:$E$34,MATCH(16,$K$10:$K$34,0)),""),"")</f>
        <v/>
      </c>
      <c r="P25" s="76">
        <f>IFERROR(INDEX(Atalhos!$C:$C,INDEX($H$10:$H$34,MATCH(16,$K$10:$K$34,0)))&amp;"","")</f>
        <v/>
      </c>
      <c r="Q25" s="76">
        <f>IFERROR(INDEX(Atalhos!$D:$D,INDEX($H$10:$H$34,MATCH(16,$K$10:$K$34,0)))&amp;"","")</f>
        <v/>
      </c>
      <c r="R25" s="76">
        <f>IFERROR(IF(MATCH(16,$K$10:$K$34,0)&gt;0,"Pendente",""),"")</f>
        <v/>
      </c>
      <c r="S25" s="76">
        <f>IFERROR(INDEX(Atalhos!$E:$E,INDEX($H$10:$H$34,MATCH(16,$K$10:$K$34,0)))&amp;"","")</f>
        <v/>
      </c>
      <c r="T25" s="76">
        <f>IFERROR(INDEX(Atalhos!$F:$F,INDEX($H$10:$H$34,MATCH(16,$K$10:$K$34,0)))&amp;"","")</f>
        <v/>
      </c>
      <c r="U25" s="76">
        <f>IFERROR(INDEX(Atalhos!$G:$G,INDEX($H$10:$H$34,MATCH(16,$K$10:$K$34,0)))&amp;"","")</f>
        <v/>
      </c>
      <c r="V25" s="76">
        <f>IFERROR(INDEX(Atalhos!$H:$H,INDEX($H$10:$H$34,MATCH(16,$K$10:$K$34,0)))&amp;"","")</f>
        <v/>
      </c>
      <c r="W25" s="76">
        <f>""</f>
        <v/>
      </c>
      <c r="X25" s="8" t="n"/>
      <c r="Y25" s="8" t="n"/>
      <c r="Z25" s="8" t="n"/>
    </row>
    <row r="26" ht="20" customHeight="1">
      <c r="A26" s="8" t="n"/>
      <c r="B26" s="33">
        <f>IF($H26=0,"",INDEX(Atalhos!$B:$B,$H26)&amp;"")</f>
        <v/>
      </c>
      <c r="C26" s="33">
        <f>IF($H26=0,"",INDEX(Atalhos!$D:$D,$H26)&amp;"")</f>
        <v/>
      </c>
      <c r="D26" s="73">
        <f>IF($H26=0,"",IF(INDEX(Atalhos!$K:$K,$H26)="","",INDEX(Atalhos!$K:$K,$H26)))</f>
        <v/>
      </c>
      <c r="E26" s="48">
        <f>IF(B26="","",IF(N(INDEX(Atalhos!$I:$I,$H26))&gt;0,INDEX(Atalhos!$I:$I,$H26),SUMIFS(tbLancamentos[Valor],tbLancamentos[Descrição],B26,tbLancamentos[Mês],Calc!$B$6,tbLancamentos[Ano],Calc!$B$7)))</f>
        <v/>
      </c>
      <c r="F26" s="48">
        <f>IF(B26="","",SUMIFS(tbLancamentos[Valor],tbLancamentos[Descrição],B26,tbLancamentos[Mês],MesNum,tbLancamentos[Ano],AnoSelecionado))</f>
        <v/>
      </c>
      <c r="G26" s="74">
        <f>IF(B26="","",IF(I26=0,IF(AND(D26&lt;&gt;"",DATE(AnoSelecionado,MesNum,MIN(IF(D26="",1,D26),DAY(EOMONTH(DATE(AnoSelecionado,MesNum,1),0))))&lt;TODAY()),"✖ Atrasada — falta lançar","✖ Falta lançar"),IF(J26&gt;0,IF(DATE(AnoSelecionado,MesNum,MIN(IF(D26="",1,D26),DAY(EOMONTH(DATE(AnoSelecionado,MesNum,1),0))))&lt;TODAY(),"⏳ Pendente — vencida","⏳ Pendente"),IF(INDEX(Atalhos!$C:$C,$H26)="Receita","✔ Recebido","✔ Pago"))))</f>
        <v/>
      </c>
      <c r="H26" s="8">
        <f>Calc!AR18</f>
        <v/>
      </c>
      <c r="I26" s="8">
        <f>IF(B26="",0,COUNTIFS(tbLancamentos[Descrição],B26,tbLancamentos[Mês],MesNum,tbLancamentos[Ano],AnoSelecionado))</f>
        <v/>
      </c>
      <c r="J26" s="8">
        <f>IF(B26="",0,COUNTIFS(tbLancamentos[Descrição],B26,tbLancamentos[Mês],MesNum,tbLancamentos[Ano],AnoSelecionado,tbLancamentos[Situação],"Pendente"))</f>
        <v/>
      </c>
      <c r="K26" s="8">
        <f>IF(LEFT(G26,1)="✖",SUMPRODUCT(--(LEFT($G$10:G26,1)="✖")),0)</f>
        <v/>
      </c>
      <c r="L26" s="8" t="n"/>
      <c r="M26" s="75">
        <f>IFERROR(DATE(AnoSelecionado,MesNum,MIN(IF(INDEX($D$10:$D$34,MATCH(17,$K$10:$K$34,0))="",1,INDEX($D$10:$D$34,MATCH(17,$K$10:$K$34,0))),DAY(EOMONTH(DATE(AnoSelecionado,MesNum,1),0)))),"")</f>
        <v/>
      </c>
      <c r="N26" s="76">
        <f>IFERROR(INDEX($B$10:$B$34,MATCH(17,$K$10:$K$34,0)),"")</f>
        <v/>
      </c>
      <c r="O26" s="77">
        <f>IFERROR(IF(N(INDEX($E$10:$E$34,MATCH(17,$K$10:$K$34,0)))&gt;0,INDEX($E$10:$E$34,MATCH(17,$K$10:$K$34,0)),""),"")</f>
        <v/>
      </c>
      <c r="P26" s="76">
        <f>IFERROR(INDEX(Atalhos!$C:$C,INDEX($H$10:$H$34,MATCH(17,$K$10:$K$34,0)))&amp;"","")</f>
        <v/>
      </c>
      <c r="Q26" s="76">
        <f>IFERROR(INDEX(Atalhos!$D:$D,INDEX($H$10:$H$34,MATCH(17,$K$10:$K$34,0)))&amp;"","")</f>
        <v/>
      </c>
      <c r="R26" s="76">
        <f>IFERROR(IF(MATCH(17,$K$10:$K$34,0)&gt;0,"Pendente",""),"")</f>
        <v/>
      </c>
      <c r="S26" s="76">
        <f>IFERROR(INDEX(Atalhos!$E:$E,INDEX($H$10:$H$34,MATCH(17,$K$10:$K$34,0)))&amp;"","")</f>
        <v/>
      </c>
      <c r="T26" s="76">
        <f>IFERROR(INDEX(Atalhos!$F:$F,INDEX($H$10:$H$34,MATCH(17,$K$10:$K$34,0)))&amp;"","")</f>
        <v/>
      </c>
      <c r="U26" s="76">
        <f>IFERROR(INDEX(Atalhos!$G:$G,INDEX($H$10:$H$34,MATCH(17,$K$10:$K$34,0)))&amp;"","")</f>
        <v/>
      </c>
      <c r="V26" s="76">
        <f>IFERROR(INDEX(Atalhos!$H:$H,INDEX($H$10:$H$34,MATCH(17,$K$10:$K$34,0)))&amp;"","")</f>
        <v/>
      </c>
      <c r="W26" s="76">
        <f>""</f>
        <v/>
      </c>
      <c r="X26" s="8" t="n"/>
      <c r="Y26" s="8" t="n"/>
      <c r="Z26" s="8" t="n"/>
    </row>
    <row r="27" ht="20" customHeight="1">
      <c r="A27" s="8" t="n"/>
      <c r="B27" s="33">
        <f>IF($H27=0,"",INDEX(Atalhos!$B:$B,$H27)&amp;"")</f>
        <v/>
      </c>
      <c r="C27" s="33">
        <f>IF($H27=0,"",INDEX(Atalhos!$D:$D,$H27)&amp;"")</f>
        <v/>
      </c>
      <c r="D27" s="73">
        <f>IF($H27=0,"",IF(INDEX(Atalhos!$K:$K,$H27)="","",INDEX(Atalhos!$K:$K,$H27)))</f>
        <v/>
      </c>
      <c r="E27" s="48">
        <f>IF(B27="","",IF(N(INDEX(Atalhos!$I:$I,$H27))&gt;0,INDEX(Atalhos!$I:$I,$H27),SUMIFS(tbLancamentos[Valor],tbLancamentos[Descrição],B27,tbLancamentos[Mês],Calc!$B$6,tbLancamentos[Ano],Calc!$B$7)))</f>
        <v/>
      </c>
      <c r="F27" s="48">
        <f>IF(B27="","",SUMIFS(tbLancamentos[Valor],tbLancamentos[Descrição],B27,tbLancamentos[Mês],MesNum,tbLancamentos[Ano],AnoSelecionado))</f>
        <v/>
      </c>
      <c r="G27" s="74">
        <f>IF(B27="","",IF(I27=0,IF(AND(D27&lt;&gt;"",DATE(AnoSelecionado,MesNum,MIN(IF(D27="",1,D27),DAY(EOMONTH(DATE(AnoSelecionado,MesNum,1),0))))&lt;TODAY()),"✖ Atrasada — falta lançar","✖ Falta lançar"),IF(J27&gt;0,IF(DATE(AnoSelecionado,MesNum,MIN(IF(D27="",1,D27),DAY(EOMONTH(DATE(AnoSelecionado,MesNum,1),0))))&lt;TODAY(),"⏳ Pendente — vencida","⏳ Pendente"),IF(INDEX(Atalhos!$C:$C,$H27)="Receita","✔ Recebido","✔ Pago"))))</f>
        <v/>
      </c>
      <c r="H27" s="8">
        <f>Calc!AR19</f>
        <v/>
      </c>
      <c r="I27" s="8">
        <f>IF(B27="",0,COUNTIFS(tbLancamentos[Descrição],B27,tbLancamentos[Mês],MesNum,tbLancamentos[Ano],AnoSelecionado))</f>
        <v/>
      </c>
      <c r="J27" s="8">
        <f>IF(B27="",0,COUNTIFS(tbLancamentos[Descrição],B27,tbLancamentos[Mês],MesNum,tbLancamentos[Ano],AnoSelecionado,tbLancamentos[Situação],"Pendente"))</f>
        <v/>
      </c>
      <c r="K27" s="8">
        <f>IF(LEFT(G27,1)="✖",SUMPRODUCT(--(LEFT($G$10:G27,1)="✖")),0)</f>
        <v/>
      </c>
      <c r="L27" s="8" t="n"/>
      <c r="M27" s="75">
        <f>IFERROR(DATE(AnoSelecionado,MesNum,MIN(IF(INDEX($D$10:$D$34,MATCH(18,$K$10:$K$34,0))="",1,INDEX($D$10:$D$34,MATCH(18,$K$10:$K$34,0))),DAY(EOMONTH(DATE(AnoSelecionado,MesNum,1),0)))),"")</f>
        <v/>
      </c>
      <c r="N27" s="76">
        <f>IFERROR(INDEX($B$10:$B$34,MATCH(18,$K$10:$K$34,0)),"")</f>
        <v/>
      </c>
      <c r="O27" s="77">
        <f>IFERROR(IF(N(INDEX($E$10:$E$34,MATCH(18,$K$10:$K$34,0)))&gt;0,INDEX($E$10:$E$34,MATCH(18,$K$10:$K$34,0)),""),"")</f>
        <v/>
      </c>
      <c r="P27" s="76">
        <f>IFERROR(INDEX(Atalhos!$C:$C,INDEX($H$10:$H$34,MATCH(18,$K$10:$K$34,0)))&amp;"","")</f>
        <v/>
      </c>
      <c r="Q27" s="76">
        <f>IFERROR(INDEX(Atalhos!$D:$D,INDEX($H$10:$H$34,MATCH(18,$K$10:$K$34,0)))&amp;"","")</f>
        <v/>
      </c>
      <c r="R27" s="76">
        <f>IFERROR(IF(MATCH(18,$K$10:$K$34,0)&gt;0,"Pendente",""),"")</f>
        <v/>
      </c>
      <c r="S27" s="76">
        <f>IFERROR(INDEX(Atalhos!$E:$E,INDEX($H$10:$H$34,MATCH(18,$K$10:$K$34,0)))&amp;"","")</f>
        <v/>
      </c>
      <c r="T27" s="76">
        <f>IFERROR(INDEX(Atalhos!$F:$F,INDEX($H$10:$H$34,MATCH(18,$K$10:$K$34,0)))&amp;"","")</f>
        <v/>
      </c>
      <c r="U27" s="76">
        <f>IFERROR(INDEX(Atalhos!$G:$G,INDEX($H$10:$H$34,MATCH(18,$K$10:$K$34,0)))&amp;"","")</f>
        <v/>
      </c>
      <c r="V27" s="76">
        <f>IFERROR(INDEX(Atalhos!$H:$H,INDEX($H$10:$H$34,MATCH(18,$K$10:$K$34,0)))&amp;"","")</f>
        <v/>
      </c>
      <c r="W27" s="76">
        <f>""</f>
        <v/>
      </c>
      <c r="X27" s="8" t="n"/>
      <c r="Y27" s="8" t="n"/>
      <c r="Z27" s="8" t="n"/>
    </row>
    <row r="28" ht="20" customHeight="1">
      <c r="A28" s="8" t="n"/>
      <c r="B28" s="33">
        <f>IF($H28=0,"",INDEX(Atalhos!$B:$B,$H28)&amp;"")</f>
        <v/>
      </c>
      <c r="C28" s="33">
        <f>IF($H28=0,"",INDEX(Atalhos!$D:$D,$H28)&amp;"")</f>
        <v/>
      </c>
      <c r="D28" s="73">
        <f>IF($H28=0,"",IF(INDEX(Atalhos!$K:$K,$H28)="","",INDEX(Atalhos!$K:$K,$H28)))</f>
        <v/>
      </c>
      <c r="E28" s="48">
        <f>IF(B28="","",IF(N(INDEX(Atalhos!$I:$I,$H28))&gt;0,INDEX(Atalhos!$I:$I,$H28),SUMIFS(tbLancamentos[Valor],tbLancamentos[Descrição],B28,tbLancamentos[Mês],Calc!$B$6,tbLancamentos[Ano],Calc!$B$7)))</f>
        <v/>
      </c>
      <c r="F28" s="48">
        <f>IF(B28="","",SUMIFS(tbLancamentos[Valor],tbLancamentos[Descrição],B28,tbLancamentos[Mês],MesNum,tbLancamentos[Ano],AnoSelecionado))</f>
        <v/>
      </c>
      <c r="G28" s="74">
        <f>IF(B28="","",IF(I28=0,IF(AND(D28&lt;&gt;"",DATE(AnoSelecionado,MesNum,MIN(IF(D28="",1,D28),DAY(EOMONTH(DATE(AnoSelecionado,MesNum,1),0))))&lt;TODAY()),"✖ Atrasada — falta lançar","✖ Falta lançar"),IF(J28&gt;0,IF(DATE(AnoSelecionado,MesNum,MIN(IF(D28="",1,D28),DAY(EOMONTH(DATE(AnoSelecionado,MesNum,1),0))))&lt;TODAY(),"⏳ Pendente — vencida","⏳ Pendente"),IF(INDEX(Atalhos!$C:$C,$H28)="Receita","✔ Recebido","✔ Pago"))))</f>
        <v/>
      </c>
      <c r="H28" s="8">
        <f>Calc!AR20</f>
        <v/>
      </c>
      <c r="I28" s="8">
        <f>IF(B28="",0,COUNTIFS(tbLancamentos[Descrição],B28,tbLancamentos[Mês],MesNum,tbLancamentos[Ano],AnoSelecionado))</f>
        <v/>
      </c>
      <c r="J28" s="8">
        <f>IF(B28="",0,COUNTIFS(tbLancamentos[Descrição],B28,tbLancamentos[Mês],MesNum,tbLancamentos[Ano],AnoSelecionado,tbLancamentos[Situação],"Pendente"))</f>
        <v/>
      </c>
      <c r="K28" s="8">
        <f>IF(LEFT(G28,1)="✖",SUMPRODUCT(--(LEFT($G$10:G28,1)="✖")),0)</f>
        <v/>
      </c>
      <c r="L28" s="8" t="n"/>
      <c r="M28" s="75">
        <f>IFERROR(DATE(AnoSelecionado,MesNum,MIN(IF(INDEX($D$10:$D$34,MATCH(19,$K$10:$K$34,0))="",1,INDEX($D$10:$D$34,MATCH(19,$K$10:$K$34,0))),DAY(EOMONTH(DATE(AnoSelecionado,MesNum,1),0)))),"")</f>
        <v/>
      </c>
      <c r="N28" s="76">
        <f>IFERROR(INDEX($B$10:$B$34,MATCH(19,$K$10:$K$34,0)),"")</f>
        <v/>
      </c>
      <c r="O28" s="77">
        <f>IFERROR(IF(N(INDEX($E$10:$E$34,MATCH(19,$K$10:$K$34,0)))&gt;0,INDEX($E$10:$E$34,MATCH(19,$K$10:$K$34,0)),""),"")</f>
        <v/>
      </c>
      <c r="P28" s="76">
        <f>IFERROR(INDEX(Atalhos!$C:$C,INDEX($H$10:$H$34,MATCH(19,$K$10:$K$34,0)))&amp;"","")</f>
        <v/>
      </c>
      <c r="Q28" s="76">
        <f>IFERROR(INDEX(Atalhos!$D:$D,INDEX($H$10:$H$34,MATCH(19,$K$10:$K$34,0)))&amp;"","")</f>
        <v/>
      </c>
      <c r="R28" s="76">
        <f>IFERROR(IF(MATCH(19,$K$10:$K$34,0)&gt;0,"Pendente",""),"")</f>
        <v/>
      </c>
      <c r="S28" s="76">
        <f>IFERROR(INDEX(Atalhos!$E:$E,INDEX($H$10:$H$34,MATCH(19,$K$10:$K$34,0)))&amp;"","")</f>
        <v/>
      </c>
      <c r="T28" s="76">
        <f>IFERROR(INDEX(Atalhos!$F:$F,INDEX($H$10:$H$34,MATCH(19,$K$10:$K$34,0)))&amp;"","")</f>
        <v/>
      </c>
      <c r="U28" s="76">
        <f>IFERROR(INDEX(Atalhos!$G:$G,INDEX($H$10:$H$34,MATCH(19,$K$10:$K$34,0)))&amp;"","")</f>
        <v/>
      </c>
      <c r="V28" s="76">
        <f>IFERROR(INDEX(Atalhos!$H:$H,INDEX($H$10:$H$34,MATCH(19,$K$10:$K$34,0)))&amp;"","")</f>
        <v/>
      </c>
      <c r="W28" s="76">
        <f>""</f>
        <v/>
      </c>
      <c r="X28" s="8" t="n"/>
      <c r="Y28" s="8" t="n"/>
      <c r="Z28" s="8" t="n"/>
    </row>
    <row r="29" ht="20" customHeight="1">
      <c r="A29" s="8" t="n"/>
      <c r="B29" s="33">
        <f>IF($H29=0,"",INDEX(Atalhos!$B:$B,$H29)&amp;"")</f>
        <v/>
      </c>
      <c r="C29" s="33">
        <f>IF($H29=0,"",INDEX(Atalhos!$D:$D,$H29)&amp;"")</f>
        <v/>
      </c>
      <c r="D29" s="73">
        <f>IF($H29=0,"",IF(INDEX(Atalhos!$K:$K,$H29)="","",INDEX(Atalhos!$K:$K,$H29)))</f>
        <v/>
      </c>
      <c r="E29" s="48">
        <f>IF(B29="","",IF(N(INDEX(Atalhos!$I:$I,$H29))&gt;0,INDEX(Atalhos!$I:$I,$H29),SUMIFS(tbLancamentos[Valor],tbLancamentos[Descrição],B29,tbLancamentos[Mês],Calc!$B$6,tbLancamentos[Ano],Calc!$B$7)))</f>
        <v/>
      </c>
      <c r="F29" s="48">
        <f>IF(B29="","",SUMIFS(tbLancamentos[Valor],tbLancamentos[Descrição],B29,tbLancamentos[Mês],MesNum,tbLancamentos[Ano],AnoSelecionado))</f>
        <v/>
      </c>
      <c r="G29" s="74">
        <f>IF(B29="","",IF(I29=0,IF(AND(D29&lt;&gt;"",DATE(AnoSelecionado,MesNum,MIN(IF(D29="",1,D29),DAY(EOMONTH(DATE(AnoSelecionado,MesNum,1),0))))&lt;TODAY()),"✖ Atrasada — falta lançar","✖ Falta lançar"),IF(J29&gt;0,IF(DATE(AnoSelecionado,MesNum,MIN(IF(D29="",1,D29),DAY(EOMONTH(DATE(AnoSelecionado,MesNum,1),0))))&lt;TODAY(),"⏳ Pendente — vencida","⏳ Pendente"),IF(INDEX(Atalhos!$C:$C,$H29)="Receita","✔ Recebido","✔ Pago"))))</f>
        <v/>
      </c>
      <c r="H29" s="8">
        <f>Calc!AR21</f>
        <v/>
      </c>
      <c r="I29" s="8">
        <f>IF(B29="",0,COUNTIFS(tbLancamentos[Descrição],B29,tbLancamentos[Mês],MesNum,tbLancamentos[Ano],AnoSelecionado))</f>
        <v/>
      </c>
      <c r="J29" s="8">
        <f>IF(B29="",0,COUNTIFS(tbLancamentos[Descrição],B29,tbLancamentos[Mês],MesNum,tbLancamentos[Ano],AnoSelecionado,tbLancamentos[Situação],"Pendente"))</f>
        <v/>
      </c>
      <c r="K29" s="8">
        <f>IF(LEFT(G29,1)="✖",SUMPRODUCT(--(LEFT($G$10:G29,1)="✖")),0)</f>
        <v/>
      </c>
      <c r="L29" s="8" t="n"/>
      <c r="M29" s="75">
        <f>IFERROR(DATE(AnoSelecionado,MesNum,MIN(IF(INDEX($D$10:$D$34,MATCH(20,$K$10:$K$34,0))="",1,INDEX($D$10:$D$34,MATCH(20,$K$10:$K$34,0))),DAY(EOMONTH(DATE(AnoSelecionado,MesNum,1),0)))),"")</f>
        <v/>
      </c>
      <c r="N29" s="76">
        <f>IFERROR(INDEX($B$10:$B$34,MATCH(20,$K$10:$K$34,0)),"")</f>
        <v/>
      </c>
      <c r="O29" s="77">
        <f>IFERROR(IF(N(INDEX($E$10:$E$34,MATCH(20,$K$10:$K$34,0)))&gt;0,INDEX($E$10:$E$34,MATCH(20,$K$10:$K$34,0)),""),"")</f>
        <v/>
      </c>
      <c r="P29" s="76">
        <f>IFERROR(INDEX(Atalhos!$C:$C,INDEX($H$10:$H$34,MATCH(20,$K$10:$K$34,0)))&amp;"","")</f>
        <v/>
      </c>
      <c r="Q29" s="76">
        <f>IFERROR(INDEX(Atalhos!$D:$D,INDEX($H$10:$H$34,MATCH(20,$K$10:$K$34,0)))&amp;"","")</f>
        <v/>
      </c>
      <c r="R29" s="76">
        <f>IFERROR(IF(MATCH(20,$K$10:$K$34,0)&gt;0,"Pendente",""),"")</f>
        <v/>
      </c>
      <c r="S29" s="76">
        <f>IFERROR(INDEX(Atalhos!$E:$E,INDEX($H$10:$H$34,MATCH(20,$K$10:$K$34,0)))&amp;"","")</f>
        <v/>
      </c>
      <c r="T29" s="76">
        <f>IFERROR(INDEX(Atalhos!$F:$F,INDEX($H$10:$H$34,MATCH(20,$K$10:$K$34,0)))&amp;"","")</f>
        <v/>
      </c>
      <c r="U29" s="76">
        <f>IFERROR(INDEX(Atalhos!$G:$G,INDEX($H$10:$H$34,MATCH(20,$K$10:$K$34,0)))&amp;"","")</f>
        <v/>
      </c>
      <c r="V29" s="76">
        <f>IFERROR(INDEX(Atalhos!$H:$H,INDEX($H$10:$H$34,MATCH(20,$K$10:$K$34,0)))&amp;"","")</f>
        <v/>
      </c>
      <c r="W29" s="76">
        <f>""</f>
        <v/>
      </c>
      <c r="X29" s="8" t="n"/>
      <c r="Y29" s="8" t="n"/>
      <c r="Z29" s="8" t="n"/>
    </row>
    <row r="30" ht="20" customHeight="1">
      <c r="A30" s="8" t="n"/>
      <c r="B30" s="33">
        <f>IF($H30=0,"",INDEX(Atalhos!$B:$B,$H30)&amp;"")</f>
        <v/>
      </c>
      <c r="C30" s="33">
        <f>IF($H30=0,"",INDEX(Atalhos!$D:$D,$H30)&amp;"")</f>
        <v/>
      </c>
      <c r="D30" s="73">
        <f>IF($H30=0,"",IF(INDEX(Atalhos!$K:$K,$H30)="","",INDEX(Atalhos!$K:$K,$H30)))</f>
        <v/>
      </c>
      <c r="E30" s="48">
        <f>IF(B30="","",IF(N(INDEX(Atalhos!$I:$I,$H30))&gt;0,INDEX(Atalhos!$I:$I,$H30),SUMIFS(tbLancamentos[Valor],tbLancamentos[Descrição],B30,tbLancamentos[Mês],Calc!$B$6,tbLancamentos[Ano],Calc!$B$7)))</f>
        <v/>
      </c>
      <c r="F30" s="48">
        <f>IF(B30="","",SUMIFS(tbLancamentos[Valor],tbLancamentos[Descrição],B30,tbLancamentos[Mês],MesNum,tbLancamentos[Ano],AnoSelecionado))</f>
        <v/>
      </c>
      <c r="G30" s="74">
        <f>IF(B30="","",IF(I30=0,IF(AND(D30&lt;&gt;"",DATE(AnoSelecionado,MesNum,MIN(IF(D30="",1,D30),DAY(EOMONTH(DATE(AnoSelecionado,MesNum,1),0))))&lt;TODAY()),"✖ Atrasada — falta lançar","✖ Falta lançar"),IF(J30&gt;0,IF(DATE(AnoSelecionado,MesNum,MIN(IF(D30="",1,D30),DAY(EOMONTH(DATE(AnoSelecionado,MesNum,1),0))))&lt;TODAY(),"⏳ Pendente — vencida","⏳ Pendente"),IF(INDEX(Atalhos!$C:$C,$H30)="Receita","✔ Recebido","✔ Pago"))))</f>
        <v/>
      </c>
      <c r="H30" s="8">
        <f>Calc!AR22</f>
        <v/>
      </c>
      <c r="I30" s="8">
        <f>IF(B30="",0,COUNTIFS(tbLancamentos[Descrição],B30,tbLancamentos[Mês],MesNum,tbLancamentos[Ano],AnoSelecionado))</f>
        <v/>
      </c>
      <c r="J30" s="8">
        <f>IF(B30="",0,COUNTIFS(tbLancamentos[Descrição],B30,tbLancamentos[Mês],MesNum,tbLancamentos[Ano],AnoSelecionado,tbLancamentos[Situação],"Pendente"))</f>
        <v/>
      </c>
      <c r="K30" s="8">
        <f>IF(LEFT(G30,1)="✖",SUMPRODUCT(--(LEFT($G$10:G30,1)="✖")),0)</f>
        <v/>
      </c>
      <c r="L30" s="8" t="n"/>
      <c r="M30" s="75">
        <f>IFERROR(DATE(AnoSelecionado,MesNum,MIN(IF(INDEX($D$10:$D$34,MATCH(21,$K$10:$K$34,0))="",1,INDEX($D$10:$D$34,MATCH(21,$K$10:$K$34,0))),DAY(EOMONTH(DATE(AnoSelecionado,MesNum,1),0)))),"")</f>
        <v/>
      </c>
      <c r="N30" s="76">
        <f>IFERROR(INDEX($B$10:$B$34,MATCH(21,$K$10:$K$34,0)),"")</f>
        <v/>
      </c>
      <c r="O30" s="77">
        <f>IFERROR(IF(N(INDEX($E$10:$E$34,MATCH(21,$K$10:$K$34,0)))&gt;0,INDEX($E$10:$E$34,MATCH(21,$K$10:$K$34,0)),""),"")</f>
        <v/>
      </c>
      <c r="P30" s="76">
        <f>IFERROR(INDEX(Atalhos!$C:$C,INDEX($H$10:$H$34,MATCH(21,$K$10:$K$34,0)))&amp;"","")</f>
        <v/>
      </c>
      <c r="Q30" s="76">
        <f>IFERROR(INDEX(Atalhos!$D:$D,INDEX($H$10:$H$34,MATCH(21,$K$10:$K$34,0)))&amp;"","")</f>
        <v/>
      </c>
      <c r="R30" s="76">
        <f>IFERROR(IF(MATCH(21,$K$10:$K$34,0)&gt;0,"Pendente",""),"")</f>
        <v/>
      </c>
      <c r="S30" s="76">
        <f>IFERROR(INDEX(Atalhos!$E:$E,INDEX($H$10:$H$34,MATCH(21,$K$10:$K$34,0)))&amp;"","")</f>
        <v/>
      </c>
      <c r="T30" s="76">
        <f>IFERROR(INDEX(Atalhos!$F:$F,INDEX($H$10:$H$34,MATCH(21,$K$10:$K$34,0)))&amp;"","")</f>
        <v/>
      </c>
      <c r="U30" s="76">
        <f>IFERROR(INDEX(Atalhos!$G:$G,INDEX($H$10:$H$34,MATCH(21,$K$10:$K$34,0)))&amp;"","")</f>
        <v/>
      </c>
      <c r="V30" s="76">
        <f>IFERROR(INDEX(Atalhos!$H:$H,INDEX($H$10:$H$34,MATCH(21,$K$10:$K$34,0)))&amp;"","")</f>
        <v/>
      </c>
      <c r="W30" s="76">
        <f>""</f>
        <v/>
      </c>
      <c r="X30" s="8" t="n"/>
      <c r="Y30" s="8" t="n"/>
      <c r="Z30" s="8" t="n"/>
    </row>
    <row r="31" ht="20" customHeight="1">
      <c r="A31" s="8" t="n"/>
      <c r="B31" s="33">
        <f>IF($H31=0,"",INDEX(Atalhos!$B:$B,$H31)&amp;"")</f>
        <v/>
      </c>
      <c r="C31" s="33">
        <f>IF($H31=0,"",INDEX(Atalhos!$D:$D,$H31)&amp;"")</f>
        <v/>
      </c>
      <c r="D31" s="73">
        <f>IF($H31=0,"",IF(INDEX(Atalhos!$K:$K,$H31)="","",INDEX(Atalhos!$K:$K,$H31)))</f>
        <v/>
      </c>
      <c r="E31" s="48">
        <f>IF(B31="","",IF(N(INDEX(Atalhos!$I:$I,$H31))&gt;0,INDEX(Atalhos!$I:$I,$H31),SUMIFS(tbLancamentos[Valor],tbLancamentos[Descrição],B31,tbLancamentos[Mês],Calc!$B$6,tbLancamentos[Ano],Calc!$B$7)))</f>
        <v/>
      </c>
      <c r="F31" s="48">
        <f>IF(B31="","",SUMIFS(tbLancamentos[Valor],tbLancamentos[Descrição],B31,tbLancamentos[Mês],MesNum,tbLancamentos[Ano],AnoSelecionado))</f>
        <v/>
      </c>
      <c r="G31" s="74">
        <f>IF(B31="","",IF(I31=0,IF(AND(D31&lt;&gt;"",DATE(AnoSelecionado,MesNum,MIN(IF(D31="",1,D31),DAY(EOMONTH(DATE(AnoSelecionado,MesNum,1),0))))&lt;TODAY()),"✖ Atrasada — falta lançar","✖ Falta lançar"),IF(J31&gt;0,IF(DATE(AnoSelecionado,MesNum,MIN(IF(D31="",1,D31),DAY(EOMONTH(DATE(AnoSelecionado,MesNum,1),0))))&lt;TODAY(),"⏳ Pendente — vencida","⏳ Pendente"),IF(INDEX(Atalhos!$C:$C,$H31)="Receita","✔ Recebido","✔ Pago"))))</f>
        <v/>
      </c>
      <c r="H31" s="8">
        <f>Calc!AR23</f>
        <v/>
      </c>
      <c r="I31" s="8">
        <f>IF(B31="",0,COUNTIFS(tbLancamentos[Descrição],B31,tbLancamentos[Mês],MesNum,tbLancamentos[Ano],AnoSelecionado))</f>
        <v/>
      </c>
      <c r="J31" s="8">
        <f>IF(B31="",0,COUNTIFS(tbLancamentos[Descrição],B31,tbLancamentos[Mês],MesNum,tbLancamentos[Ano],AnoSelecionado,tbLancamentos[Situação],"Pendente"))</f>
        <v/>
      </c>
      <c r="K31" s="8">
        <f>IF(LEFT(G31,1)="✖",SUMPRODUCT(--(LEFT($G$10:G31,1)="✖")),0)</f>
        <v/>
      </c>
      <c r="L31" s="8" t="n"/>
      <c r="M31" s="75">
        <f>IFERROR(DATE(AnoSelecionado,MesNum,MIN(IF(INDEX($D$10:$D$34,MATCH(22,$K$10:$K$34,0))="",1,INDEX($D$10:$D$34,MATCH(22,$K$10:$K$34,0))),DAY(EOMONTH(DATE(AnoSelecionado,MesNum,1),0)))),"")</f>
        <v/>
      </c>
      <c r="N31" s="76">
        <f>IFERROR(INDEX($B$10:$B$34,MATCH(22,$K$10:$K$34,0)),"")</f>
        <v/>
      </c>
      <c r="O31" s="77">
        <f>IFERROR(IF(N(INDEX($E$10:$E$34,MATCH(22,$K$10:$K$34,0)))&gt;0,INDEX($E$10:$E$34,MATCH(22,$K$10:$K$34,0)),""),"")</f>
        <v/>
      </c>
      <c r="P31" s="76">
        <f>IFERROR(INDEX(Atalhos!$C:$C,INDEX($H$10:$H$34,MATCH(22,$K$10:$K$34,0)))&amp;"","")</f>
        <v/>
      </c>
      <c r="Q31" s="76">
        <f>IFERROR(INDEX(Atalhos!$D:$D,INDEX($H$10:$H$34,MATCH(22,$K$10:$K$34,0)))&amp;"","")</f>
        <v/>
      </c>
      <c r="R31" s="76">
        <f>IFERROR(IF(MATCH(22,$K$10:$K$34,0)&gt;0,"Pendente",""),"")</f>
        <v/>
      </c>
      <c r="S31" s="76">
        <f>IFERROR(INDEX(Atalhos!$E:$E,INDEX($H$10:$H$34,MATCH(22,$K$10:$K$34,0)))&amp;"","")</f>
        <v/>
      </c>
      <c r="T31" s="76">
        <f>IFERROR(INDEX(Atalhos!$F:$F,INDEX($H$10:$H$34,MATCH(22,$K$10:$K$34,0)))&amp;"","")</f>
        <v/>
      </c>
      <c r="U31" s="76">
        <f>IFERROR(INDEX(Atalhos!$G:$G,INDEX($H$10:$H$34,MATCH(22,$K$10:$K$34,0)))&amp;"","")</f>
        <v/>
      </c>
      <c r="V31" s="76">
        <f>IFERROR(INDEX(Atalhos!$H:$H,INDEX($H$10:$H$34,MATCH(22,$K$10:$K$34,0)))&amp;"","")</f>
        <v/>
      </c>
      <c r="W31" s="76">
        <f>""</f>
        <v/>
      </c>
      <c r="X31" s="8" t="n"/>
      <c r="Y31" s="8" t="n"/>
      <c r="Z31" s="8" t="n"/>
    </row>
    <row r="32" ht="20" customHeight="1">
      <c r="A32" s="8" t="n"/>
      <c r="B32" s="33">
        <f>IF($H32=0,"",INDEX(Atalhos!$B:$B,$H32)&amp;"")</f>
        <v/>
      </c>
      <c r="C32" s="33">
        <f>IF($H32=0,"",INDEX(Atalhos!$D:$D,$H32)&amp;"")</f>
        <v/>
      </c>
      <c r="D32" s="73">
        <f>IF($H32=0,"",IF(INDEX(Atalhos!$K:$K,$H32)="","",INDEX(Atalhos!$K:$K,$H32)))</f>
        <v/>
      </c>
      <c r="E32" s="48">
        <f>IF(B32="","",IF(N(INDEX(Atalhos!$I:$I,$H32))&gt;0,INDEX(Atalhos!$I:$I,$H32),SUMIFS(tbLancamentos[Valor],tbLancamentos[Descrição],B32,tbLancamentos[Mês],Calc!$B$6,tbLancamentos[Ano],Calc!$B$7)))</f>
        <v/>
      </c>
      <c r="F32" s="48">
        <f>IF(B32="","",SUMIFS(tbLancamentos[Valor],tbLancamentos[Descrição],B32,tbLancamentos[Mês],MesNum,tbLancamentos[Ano],AnoSelecionado))</f>
        <v/>
      </c>
      <c r="G32" s="74">
        <f>IF(B32="","",IF(I32=0,IF(AND(D32&lt;&gt;"",DATE(AnoSelecionado,MesNum,MIN(IF(D32="",1,D32),DAY(EOMONTH(DATE(AnoSelecionado,MesNum,1),0))))&lt;TODAY()),"✖ Atrasada — falta lançar","✖ Falta lançar"),IF(J32&gt;0,IF(DATE(AnoSelecionado,MesNum,MIN(IF(D32="",1,D32),DAY(EOMONTH(DATE(AnoSelecionado,MesNum,1),0))))&lt;TODAY(),"⏳ Pendente — vencida","⏳ Pendente"),IF(INDEX(Atalhos!$C:$C,$H32)="Receita","✔ Recebido","✔ Pago"))))</f>
        <v/>
      </c>
      <c r="H32" s="8">
        <f>Calc!AR24</f>
        <v/>
      </c>
      <c r="I32" s="8">
        <f>IF(B32="",0,COUNTIFS(tbLancamentos[Descrição],B32,tbLancamentos[Mês],MesNum,tbLancamentos[Ano],AnoSelecionado))</f>
        <v/>
      </c>
      <c r="J32" s="8">
        <f>IF(B32="",0,COUNTIFS(tbLancamentos[Descrição],B32,tbLancamentos[Mês],MesNum,tbLancamentos[Ano],AnoSelecionado,tbLancamentos[Situação],"Pendente"))</f>
        <v/>
      </c>
      <c r="K32" s="8">
        <f>IF(LEFT(G32,1)="✖",SUMPRODUCT(--(LEFT($G$10:G32,1)="✖")),0)</f>
        <v/>
      </c>
      <c r="L32" s="8" t="n"/>
      <c r="M32" s="75">
        <f>IFERROR(DATE(AnoSelecionado,MesNum,MIN(IF(INDEX($D$10:$D$34,MATCH(23,$K$10:$K$34,0))="",1,INDEX($D$10:$D$34,MATCH(23,$K$10:$K$34,0))),DAY(EOMONTH(DATE(AnoSelecionado,MesNum,1),0)))),"")</f>
        <v/>
      </c>
      <c r="N32" s="76">
        <f>IFERROR(INDEX($B$10:$B$34,MATCH(23,$K$10:$K$34,0)),"")</f>
        <v/>
      </c>
      <c r="O32" s="77">
        <f>IFERROR(IF(N(INDEX($E$10:$E$34,MATCH(23,$K$10:$K$34,0)))&gt;0,INDEX($E$10:$E$34,MATCH(23,$K$10:$K$34,0)),""),"")</f>
        <v/>
      </c>
      <c r="P32" s="76">
        <f>IFERROR(INDEX(Atalhos!$C:$C,INDEX($H$10:$H$34,MATCH(23,$K$10:$K$34,0)))&amp;"","")</f>
        <v/>
      </c>
      <c r="Q32" s="76">
        <f>IFERROR(INDEX(Atalhos!$D:$D,INDEX($H$10:$H$34,MATCH(23,$K$10:$K$34,0)))&amp;"","")</f>
        <v/>
      </c>
      <c r="R32" s="76">
        <f>IFERROR(IF(MATCH(23,$K$10:$K$34,0)&gt;0,"Pendente",""),"")</f>
        <v/>
      </c>
      <c r="S32" s="76">
        <f>IFERROR(INDEX(Atalhos!$E:$E,INDEX($H$10:$H$34,MATCH(23,$K$10:$K$34,0)))&amp;"","")</f>
        <v/>
      </c>
      <c r="T32" s="76">
        <f>IFERROR(INDEX(Atalhos!$F:$F,INDEX($H$10:$H$34,MATCH(23,$K$10:$K$34,0)))&amp;"","")</f>
        <v/>
      </c>
      <c r="U32" s="76">
        <f>IFERROR(INDEX(Atalhos!$G:$G,INDEX($H$10:$H$34,MATCH(23,$K$10:$K$34,0)))&amp;"","")</f>
        <v/>
      </c>
      <c r="V32" s="76">
        <f>IFERROR(INDEX(Atalhos!$H:$H,INDEX($H$10:$H$34,MATCH(23,$K$10:$K$34,0)))&amp;"","")</f>
        <v/>
      </c>
      <c r="W32" s="76">
        <f>""</f>
        <v/>
      </c>
      <c r="X32" s="8" t="n"/>
      <c r="Y32" s="8" t="n"/>
      <c r="Z32" s="8" t="n"/>
    </row>
    <row r="33" ht="20" customHeight="1">
      <c r="A33" s="8" t="n"/>
      <c r="B33" s="33">
        <f>IF($H33=0,"",INDEX(Atalhos!$B:$B,$H33)&amp;"")</f>
        <v/>
      </c>
      <c r="C33" s="33">
        <f>IF($H33=0,"",INDEX(Atalhos!$D:$D,$H33)&amp;"")</f>
        <v/>
      </c>
      <c r="D33" s="73">
        <f>IF($H33=0,"",IF(INDEX(Atalhos!$K:$K,$H33)="","",INDEX(Atalhos!$K:$K,$H33)))</f>
        <v/>
      </c>
      <c r="E33" s="48">
        <f>IF(B33="","",IF(N(INDEX(Atalhos!$I:$I,$H33))&gt;0,INDEX(Atalhos!$I:$I,$H33),SUMIFS(tbLancamentos[Valor],tbLancamentos[Descrição],B33,tbLancamentos[Mês],Calc!$B$6,tbLancamentos[Ano],Calc!$B$7)))</f>
        <v/>
      </c>
      <c r="F33" s="48">
        <f>IF(B33="","",SUMIFS(tbLancamentos[Valor],tbLancamentos[Descrição],B33,tbLancamentos[Mês],MesNum,tbLancamentos[Ano],AnoSelecionado))</f>
        <v/>
      </c>
      <c r="G33" s="74">
        <f>IF(B33="","",IF(I33=0,IF(AND(D33&lt;&gt;"",DATE(AnoSelecionado,MesNum,MIN(IF(D33="",1,D33),DAY(EOMONTH(DATE(AnoSelecionado,MesNum,1),0))))&lt;TODAY()),"✖ Atrasada — falta lançar","✖ Falta lançar"),IF(J33&gt;0,IF(DATE(AnoSelecionado,MesNum,MIN(IF(D33="",1,D33),DAY(EOMONTH(DATE(AnoSelecionado,MesNum,1),0))))&lt;TODAY(),"⏳ Pendente — vencida","⏳ Pendente"),IF(INDEX(Atalhos!$C:$C,$H33)="Receita","✔ Recebido","✔ Pago"))))</f>
        <v/>
      </c>
      <c r="H33" s="8">
        <f>Calc!AR25</f>
        <v/>
      </c>
      <c r="I33" s="8">
        <f>IF(B33="",0,COUNTIFS(tbLancamentos[Descrição],B33,tbLancamentos[Mês],MesNum,tbLancamentos[Ano],AnoSelecionado))</f>
        <v/>
      </c>
      <c r="J33" s="8">
        <f>IF(B33="",0,COUNTIFS(tbLancamentos[Descrição],B33,tbLancamentos[Mês],MesNum,tbLancamentos[Ano],AnoSelecionado,tbLancamentos[Situação],"Pendente"))</f>
        <v/>
      </c>
      <c r="K33" s="8">
        <f>IF(LEFT(G33,1)="✖",SUMPRODUCT(--(LEFT($G$10:G33,1)="✖")),0)</f>
        <v/>
      </c>
      <c r="L33" s="8" t="n"/>
      <c r="M33" s="75">
        <f>IFERROR(DATE(AnoSelecionado,MesNum,MIN(IF(INDEX($D$10:$D$34,MATCH(24,$K$10:$K$34,0))="",1,INDEX($D$10:$D$34,MATCH(24,$K$10:$K$34,0))),DAY(EOMONTH(DATE(AnoSelecionado,MesNum,1),0)))),"")</f>
        <v/>
      </c>
      <c r="N33" s="76">
        <f>IFERROR(INDEX($B$10:$B$34,MATCH(24,$K$10:$K$34,0)),"")</f>
        <v/>
      </c>
      <c r="O33" s="77">
        <f>IFERROR(IF(N(INDEX($E$10:$E$34,MATCH(24,$K$10:$K$34,0)))&gt;0,INDEX($E$10:$E$34,MATCH(24,$K$10:$K$34,0)),""),"")</f>
        <v/>
      </c>
      <c r="P33" s="76">
        <f>IFERROR(INDEX(Atalhos!$C:$C,INDEX($H$10:$H$34,MATCH(24,$K$10:$K$34,0)))&amp;"","")</f>
        <v/>
      </c>
      <c r="Q33" s="76">
        <f>IFERROR(INDEX(Atalhos!$D:$D,INDEX($H$10:$H$34,MATCH(24,$K$10:$K$34,0)))&amp;"","")</f>
        <v/>
      </c>
      <c r="R33" s="76">
        <f>IFERROR(IF(MATCH(24,$K$10:$K$34,0)&gt;0,"Pendente",""),"")</f>
        <v/>
      </c>
      <c r="S33" s="76">
        <f>IFERROR(INDEX(Atalhos!$E:$E,INDEX($H$10:$H$34,MATCH(24,$K$10:$K$34,0)))&amp;"","")</f>
        <v/>
      </c>
      <c r="T33" s="76">
        <f>IFERROR(INDEX(Atalhos!$F:$F,INDEX($H$10:$H$34,MATCH(24,$K$10:$K$34,0)))&amp;"","")</f>
        <v/>
      </c>
      <c r="U33" s="76">
        <f>IFERROR(INDEX(Atalhos!$G:$G,INDEX($H$10:$H$34,MATCH(24,$K$10:$K$34,0)))&amp;"","")</f>
        <v/>
      </c>
      <c r="V33" s="76">
        <f>IFERROR(INDEX(Atalhos!$H:$H,INDEX($H$10:$H$34,MATCH(24,$K$10:$K$34,0)))&amp;"","")</f>
        <v/>
      </c>
      <c r="W33" s="76">
        <f>""</f>
        <v/>
      </c>
      <c r="X33" s="8" t="n"/>
      <c r="Y33" s="8" t="n"/>
      <c r="Z33" s="8" t="n"/>
    </row>
    <row r="34" ht="20" customHeight="1">
      <c r="A34" s="8" t="n"/>
      <c r="B34" s="33">
        <f>IF($H34=0,"",INDEX(Atalhos!$B:$B,$H34)&amp;"")</f>
        <v/>
      </c>
      <c r="C34" s="33">
        <f>IF($H34=0,"",INDEX(Atalhos!$D:$D,$H34)&amp;"")</f>
        <v/>
      </c>
      <c r="D34" s="73">
        <f>IF($H34=0,"",IF(INDEX(Atalhos!$K:$K,$H34)="","",INDEX(Atalhos!$K:$K,$H34)))</f>
        <v/>
      </c>
      <c r="E34" s="48">
        <f>IF(B34="","",IF(N(INDEX(Atalhos!$I:$I,$H34))&gt;0,INDEX(Atalhos!$I:$I,$H34),SUMIFS(tbLancamentos[Valor],tbLancamentos[Descrição],B34,tbLancamentos[Mês],Calc!$B$6,tbLancamentos[Ano],Calc!$B$7)))</f>
        <v/>
      </c>
      <c r="F34" s="48">
        <f>IF(B34="","",SUMIFS(tbLancamentos[Valor],tbLancamentos[Descrição],B34,tbLancamentos[Mês],MesNum,tbLancamentos[Ano],AnoSelecionado))</f>
        <v/>
      </c>
      <c r="G34" s="74">
        <f>IF(B34="","",IF(I34=0,IF(AND(D34&lt;&gt;"",DATE(AnoSelecionado,MesNum,MIN(IF(D34="",1,D34),DAY(EOMONTH(DATE(AnoSelecionado,MesNum,1),0))))&lt;TODAY()),"✖ Atrasada — falta lançar","✖ Falta lançar"),IF(J34&gt;0,IF(DATE(AnoSelecionado,MesNum,MIN(IF(D34="",1,D34),DAY(EOMONTH(DATE(AnoSelecionado,MesNum,1),0))))&lt;TODAY(),"⏳ Pendente — vencida","⏳ Pendente"),IF(INDEX(Atalhos!$C:$C,$H34)="Receita","✔ Recebido","✔ Pago"))))</f>
        <v/>
      </c>
      <c r="H34" s="8">
        <f>Calc!AR26</f>
        <v/>
      </c>
      <c r="I34" s="8">
        <f>IF(B34="",0,COUNTIFS(tbLancamentos[Descrição],B34,tbLancamentos[Mês],MesNum,tbLancamentos[Ano],AnoSelecionado))</f>
        <v/>
      </c>
      <c r="J34" s="8">
        <f>IF(B34="",0,COUNTIFS(tbLancamentos[Descrição],B34,tbLancamentos[Mês],MesNum,tbLancamentos[Ano],AnoSelecionado,tbLancamentos[Situação],"Pendente"))</f>
        <v/>
      </c>
      <c r="K34" s="8">
        <f>IF(LEFT(G34,1)="✖",SUMPRODUCT(--(LEFT($G$10:G34,1)="✖")),0)</f>
        <v/>
      </c>
      <c r="L34" s="8" t="n"/>
      <c r="M34" s="75">
        <f>IFERROR(DATE(AnoSelecionado,MesNum,MIN(IF(INDEX($D$10:$D$34,MATCH(25,$K$10:$K$34,0))="",1,INDEX($D$10:$D$34,MATCH(25,$K$10:$K$34,0))),DAY(EOMONTH(DATE(AnoSelecionado,MesNum,1),0)))),"")</f>
        <v/>
      </c>
      <c r="N34" s="76">
        <f>IFERROR(INDEX($B$10:$B$34,MATCH(25,$K$10:$K$34,0)),"")</f>
        <v/>
      </c>
      <c r="O34" s="77">
        <f>IFERROR(IF(N(INDEX($E$10:$E$34,MATCH(25,$K$10:$K$34,0)))&gt;0,INDEX($E$10:$E$34,MATCH(25,$K$10:$K$34,0)),""),"")</f>
        <v/>
      </c>
      <c r="P34" s="76">
        <f>IFERROR(INDEX(Atalhos!$C:$C,INDEX($H$10:$H$34,MATCH(25,$K$10:$K$34,0)))&amp;"","")</f>
        <v/>
      </c>
      <c r="Q34" s="76">
        <f>IFERROR(INDEX(Atalhos!$D:$D,INDEX($H$10:$H$34,MATCH(25,$K$10:$K$34,0)))&amp;"","")</f>
        <v/>
      </c>
      <c r="R34" s="76">
        <f>IFERROR(IF(MATCH(25,$K$10:$K$34,0)&gt;0,"Pendente",""),"")</f>
        <v/>
      </c>
      <c r="S34" s="76">
        <f>IFERROR(INDEX(Atalhos!$E:$E,INDEX($H$10:$H$34,MATCH(25,$K$10:$K$34,0)))&amp;"","")</f>
        <v/>
      </c>
      <c r="T34" s="76">
        <f>IFERROR(INDEX(Atalhos!$F:$F,INDEX($H$10:$H$34,MATCH(25,$K$10:$K$34,0)))&amp;"","")</f>
        <v/>
      </c>
      <c r="U34" s="76">
        <f>IFERROR(INDEX(Atalhos!$G:$G,INDEX($H$10:$H$34,MATCH(25,$K$10:$K$34,0)))&amp;"","")</f>
        <v/>
      </c>
      <c r="V34" s="76">
        <f>IFERROR(INDEX(Atalhos!$H:$H,INDEX($H$10:$H$34,MATCH(25,$K$10:$K$34,0)))&amp;"","")</f>
        <v/>
      </c>
      <c r="W34" s="76">
        <f>""</f>
        <v/>
      </c>
      <c r="X34" s="8" t="n"/>
      <c r="Y34" s="8" t="n"/>
      <c r="Z34" s="8" t="n"/>
    </row>
  </sheetData>
  <mergeCells count="4">
    <mergeCell ref="B6:C6"/>
    <mergeCell ref="B5:C5"/>
    <mergeCell ref="E2:G2"/>
    <mergeCell ref="S5:V6"/>
  </mergeCells>
  <conditionalFormatting sqref="G10:G34">
    <cfRule type="expression" priority="1" dxfId="1">
      <formula>LEFT(G10,1)="✔"</formula>
    </cfRule>
    <cfRule type="expression" priority="2" dxfId="2">
      <formula>LEFT(G10,1)="⏳"</formula>
    </cfRule>
    <cfRule type="expression" priority="3" dxfId="0">
      <formula>LEFT(G10,1)="✖"</formula>
    </cfRule>
  </conditionalFormatting>
  <pageMargins left="0.3" right="0.3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tabColor rgb="009B7BFF"/>
    <outlinePr summaryBelow="1" summaryRight="1"/>
    <pageSetUpPr fitToPage="1"/>
  </sheetPr>
  <dimension ref="A1:T64"/>
  <sheetViews>
    <sheetView showGridLines="0" tabSelected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style="1" min="1" max="1"/>
    <col width="30" customWidth="1" style="1" min="2" max="2"/>
    <col width="22" customWidth="1" style="1" min="3" max="3"/>
    <col width="3" customWidth="1" style="1" min="4" max="4"/>
    <col width="12" customWidth="1" style="1" min="5" max="5"/>
    <col width="26" customWidth="1" style="1" min="6" max="6"/>
    <col width="13" customWidth="1" style="1" min="7" max="7"/>
    <col width="12" customWidth="1" style="1" min="8" max="8"/>
    <col width="20" customWidth="1" style="1" min="9" max="9"/>
    <col width="12" customWidth="1" style="1" min="10" max="10"/>
    <col width="12" customWidth="1" style="1" min="11" max="11"/>
    <col width="10" customWidth="1" style="1" min="12" max="12"/>
    <col width="14" customWidth="1" style="1" min="13" max="13"/>
    <col width="16" customWidth="1" style="1" min="14" max="14"/>
    <col width="8" customWidth="1" style="1" min="15" max="15"/>
    <col width="13" customWidth="1" style="1" min="16" max="16"/>
    <col width="13" customWidth="1" style="1" min="17" max="17"/>
    <col width="13" customWidth="1" style="1" min="18" max="18"/>
    <col width="13" customWidth="1" style="1" min="19" max="19"/>
    <col width="13" customWidth="1" style="1" min="20" max="20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30" customHeight="1">
      <c r="A2" s="1" t="n"/>
      <c r="B2" s="52" t="inlineStr">
        <is>
          <t>Parcelar ou repetir</t>
        </is>
      </c>
      <c r="C2" s="1" t="n"/>
      <c r="D2" s="1" t="n"/>
      <c r="E2" s="53">
        <f>HYPERLINK("#Lancamentos!B"&amp;(ROWS(tbLancamentos[Data])+5),"✚  Ir para a primeira linha vazia de Lançamentos")</f>
        <v/>
      </c>
      <c r="F2" s="8" t="n"/>
      <c r="G2" s="8" t="n"/>
      <c r="H2" s="8" t="n"/>
      <c r="I2" s="8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18" customHeight="1">
      <c r="A3" s="1" t="n"/>
      <c r="B3" s="4" t="inlineStr">
        <is>
          <t>Preencha os campos à esquerda: o bloco à direita gera uma linha por parcela (ou por mês). Copie, vá até a primeira linha vazia de Lançamentos e cole só os valores.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 ht="24" customHeight="1">
      <c r="A4" s="8" t="n"/>
      <c r="B4" s="50" t="inlineStr">
        <is>
          <t>COMPRA / LANÇAMENTO</t>
        </is>
      </c>
      <c r="C4" s="8" t="n"/>
      <c r="D4" s="8" t="n"/>
      <c r="E4" s="55" t="inlineStr">
        <is>
          <t>Data</t>
        </is>
      </c>
      <c r="F4" s="55" t="inlineStr">
        <is>
          <t>Descrição</t>
        </is>
      </c>
      <c r="G4" s="55" t="inlineStr">
        <is>
          <t>Valor</t>
        </is>
      </c>
      <c r="H4" s="55" t="inlineStr">
        <is>
          <t>Tipo</t>
        </is>
      </c>
      <c r="I4" s="55" t="inlineStr">
        <is>
          <t>Categoria</t>
        </is>
      </c>
      <c r="J4" s="55" t="inlineStr">
        <is>
          <t>Situação</t>
        </is>
      </c>
      <c r="K4" s="55" t="inlineStr">
        <is>
          <t>Pote</t>
        </is>
      </c>
      <c r="L4" s="55" t="inlineStr">
        <is>
          <t>Quem</t>
        </is>
      </c>
      <c r="M4" s="55" t="inlineStr">
        <is>
          <t>Conta</t>
        </is>
      </c>
      <c r="N4" s="55" t="inlineStr">
        <is>
          <t>Forma de pagamento</t>
        </is>
      </c>
      <c r="O4" s="55" t="inlineStr">
        <is>
          <t>Parcela</t>
        </is>
      </c>
      <c r="P4" s="8" t="n"/>
      <c r="Q4" s="8" t="n"/>
      <c r="R4" s="8" t="n"/>
      <c r="S4" s="8" t="n"/>
      <c r="T4" s="8" t="n"/>
    </row>
    <row r="5" ht="20" customHeight="1">
      <c r="A5" s="8" t="n"/>
      <c r="B5" s="78" t="inlineStr">
        <is>
          <t>Modo</t>
        </is>
      </c>
      <c r="C5" s="79" t="inlineStr">
        <is>
          <t>Parcelado</t>
        </is>
      </c>
      <c r="D5" s="8" t="n"/>
      <c r="E5" s="75">
        <f>IF(1&lt;=$C$9,DATE(YEAR($C$10),MONTH($C$10)+0,MIN(DAY($C$10),DAY(EOMONTH(DATE(YEAR($C$10),MONTH($C$10)+0,1),0)))),"")</f>
        <v/>
      </c>
      <c r="F5" s="76">
        <f>IF(1&lt;=$C$9,$C$6,"")</f>
        <v/>
      </c>
      <c r="G5" s="77">
        <f>IF(1&lt;=$C$9,IF($C$5="Repetir todo mês",$C$7,IF($C$8="Total da compra",IF(1&lt;$C$9,ROUND($C$7/$C$9,2),ROUND($C$7-ROUND($C$7/$C$9,2)*($C$9-1),2)),$C$7)),"")</f>
        <v/>
      </c>
      <c r="H5" s="76">
        <f>IF(1&lt;=$C$9,IF($C$11&lt;&gt;"",$C$11,IFERROR(INDEX(tbAtalhos[Tipo],MATCH($C$6,tbAtalhos[Descrição],0))&amp;"","Despesa")),"")</f>
        <v/>
      </c>
      <c r="I5" s="76">
        <f>IF(1&lt;=$C$9,IF($C$12&lt;&gt;"",$C$12,IFERROR(INDEX(tbAtalhos[Categoria],MATCH($C$6,tbAtalhos[Descrição],0))&amp;"","")),"")</f>
        <v/>
      </c>
      <c r="J5" s="76">
        <f>IF(1&lt;=$C$9,IF(AND(1=1,$C$17="sim"),IF(IF($C$11&lt;&gt;"",$C$11,IFERROR(INDEX(tbAtalhos[Tipo],MATCH($C$6,tbAtalhos[Descrição],0))&amp;"","Despesa"))="Receita","Recebido","Pago"),"Pendente"),"")</f>
        <v/>
      </c>
      <c r="K5" s="76">
        <f>IF(1&lt;=$C$9,IF($C$13&lt;&gt;"",$C$13,IFERROR(INDEX(tbAtalhos[Pote],MATCH($C$6,tbAtalhos[Descrição],0))&amp;"","")),"")</f>
        <v/>
      </c>
      <c r="L5" s="76">
        <f>IF(1&lt;=$C$9,IF($C$14&lt;&gt;"",$C$14,IFERROR(INDEX(tbAtalhos[Quem],MATCH($C$6,tbAtalhos[Descrição],0))&amp;"","")),"")</f>
        <v/>
      </c>
      <c r="M5" s="76">
        <f>IF(1&lt;=$C$9,IF($C$15&lt;&gt;"",$C$15,IFERROR(INDEX(tbAtalhos[Conta],MATCH($C$6,tbAtalhos[Descrição],0))&amp;"","")),"")</f>
        <v/>
      </c>
      <c r="N5" s="76">
        <f>IF(1&lt;=$C$9,IF($C$16&lt;&gt;"",$C$16,IFERROR(INDEX(tbAtalhos[Forma de pagamento],MATCH($C$6,tbAtalhos[Descrição],0))&amp;"","")),"")</f>
        <v/>
      </c>
      <c r="O5" s="80">
        <f>IF(AND(1&lt;=$C$9,$C$5="Parcelado"),"1/"&amp;$C$9,"")</f>
        <v/>
      </c>
      <c r="P5" s="8" t="n"/>
      <c r="Q5" s="8" t="n"/>
      <c r="R5" s="8" t="n"/>
      <c r="S5" s="8" t="n"/>
      <c r="T5" s="8" t="n"/>
    </row>
    <row r="6" ht="20" customHeight="1">
      <c r="A6" s="8" t="n"/>
      <c r="B6" s="78" t="inlineStr">
        <is>
          <t>Descrição</t>
        </is>
      </c>
      <c r="C6" s="79" t="inlineStr">
        <is>
          <t>Geladeira nova (exemplo)</t>
        </is>
      </c>
      <c r="D6" s="8" t="n"/>
      <c r="E6" s="75">
        <f>IF(2&lt;=$C$9,DATE(YEAR($C$10),MONTH($C$10)+1,MIN(DAY($C$10),DAY(EOMONTH(DATE(YEAR($C$10),MONTH($C$10)+1,1),0)))),"")</f>
        <v/>
      </c>
      <c r="F6" s="76">
        <f>IF(2&lt;=$C$9,$C$6,"")</f>
        <v/>
      </c>
      <c r="G6" s="77">
        <f>IF(2&lt;=$C$9,IF($C$5="Repetir todo mês",$C$7,IF($C$8="Total da compra",IF(2&lt;$C$9,ROUND($C$7/$C$9,2),ROUND($C$7-ROUND($C$7/$C$9,2)*($C$9-1),2)),$C$7)),"")</f>
        <v/>
      </c>
      <c r="H6" s="76">
        <f>IF(2&lt;=$C$9,IF($C$11&lt;&gt;"",$C$11,IFERROR(INDEX(tbAtalhos[Tipo],MATCH($C$6,tbAtalhos[Descrição],0))&amp;"","Despesa")),"")</f>
        <v/>
      </c>
      <c r="I6" s="76">
        <f>IF(2&lt;=$C$9,IF($C$12&lt;&gt;"",$C$12,IFERROR(INDEX(tbAtalhos[Categoria],MATCH($C$6,tbAtalhos[Descrição],0))&amp;"","")),"")</f>
        <v/>
      </c>
      <c r="J6" s="76">
        <f>IF(2&lt;=$C$9,IF(AND(2=1,$C$17="sim"),IF(IF($C$11&lt;&gt;"",$C$11,IFERROR(INDEX(tbAtalhos[Tipo],MATCH($C$6,tbAtalhos[Descrição],0))&amp;"","Despesa"))="Receita","Recebido","Pago"),"Pendente"),"")</f>
        <v/>
      </c>
      <c r="K6" s="76">
        <f>IF(2&lt;=$C$9,IF($C$13&lt;&gt;"",$C$13,IFERROR(INDEX(tbAtalhos[Pote],MATCH($C$6,tbAtalhos[Descrição],0))&amp;"","")),"")</f>
        <v/>
      </c>
      <c r="L6" s="76">
        <f>IF(2&lt;=$C$9,IF($C$14&lt;&gt;"",$C$14,IFERROR(INDEX(tbAtalhos[Quem],MATCH($C$6,tbAtalhos[Descrição],0))&amp;"","")),"")</f>
        <v/>
      </c>
      <c r="M6" s="76">
        <f>IF(2&lt;=$C$9,IF($C$15&lt;&gt;"",$C$15,IFERROR(INDEX(tbAtalhos[Conta],MATCH($C$6,tbAtalhos[Descrição],0))&amp;"","")),"")</f>
        <v/>
      </c>
      <c r="N6" s="76">
        <f>IF(2&lt;=$C$9,IF($C$16&lt;&gt;"",$C$16,IFERROR(INDEX(tbAtalhos[Forma de pagamento],MATCH($C$6,tbAtalhos[Descrição],0))&amp;"","")),"")</f>
        <v/>
      </c>
      <c r="O6" s="80">
        <f>IF(AND(2&lt;=$C$9,$C$5="Parcelado"),"2/"&amp;$C$9,"")</f>
        <v/>
      </c>
      <c r="P6" s="8" t="n"/>
      <c r="Q6" s="8" t="n"/>
      <c r="R6" s="8" t="n"/>
      <c r="S6" s="8" t="n"/>
      <c r="T6" s="8" t="n"/>
    </row>
    <row r="7" ht="20" customHeight="1">
      <c r="A7" s="8" t="n"/>
      <c r="B7" s="78" t="inlineStr">
        <is>
          <t>Valor (R$)</t>
        </is>
      </c>
      <c r="C7" s="81" t="n">
        <v>3600</v>
      </c>
      <c r="D7" s="8" t="n"/>
      <c r="E7" s="75">
        <f>IF(3&lt;=$C$9,DATE(YEAR($C$10),MONTH($C$10)+2,MIN(DAY($C$10),DAY(EOMONTH(DATE(YEAR($C$10),MONTH($C$10)+2,1),0)))),"")</f>
        <v/>
      </c>
      <c r="F7" s="76">
        <f>IF(3&lt;=$C$9,$C$6,"")</f>
        <v/>
      </c>
      <c r="G7" s="77">
        <f>IF(3&lt;=$C$9,IF($C$5="Repetir todo mês",$C$7,IF($C$8="Total da compra",IF(3&lt;$C$9,ROUND($C$7/$C$9,2),ROUND($C$7-ROUND($C$7/$C$9,2)*($C$9-1),2)),$C$7)),"")</f>
        <v/>
      </c>
      <c r="H7" s="76">
        <f>IF(3&lt;=$C$9,IF($C$11&lt;&gt;"",$C$11,IFERROR(INDEX(tbAtalhos[Tipo],MATCH($C$6,tbAtalhos[Descrição],0))&amp;"","Despesa")),"")</f>
        <v/>
      </c>
      <c r="I7" s="76">
        <f>IF(3&lt;=$C$9,IF($C$12&lt;&gt;"",$C$12,IFERROR(INDEX(tbAtalhos[Categoria],MATCH($C$6,tbAtalhos[Descrição],0))&amp;"","")),"")</f>
        <v/>
      </c>
      <c r="J7" s="76">
        <f>IF(3&lt;=$C$9,IF(AND(3=1,$C$17="sim"),IF(IF($C$11&lt;&gt;"",$C$11,IFERROR(INDEX(tbAtalhos[Tipo],MATCH($C$6,tbAtalhos[Descrição],0))&amp;"","Despesa"))="Receita","Recebido","Pago"),"Pendente"),"")</f>
        <v/>
      </c>
      <c r="K7" s="76">
        <f>IF(3&lt;=$C$9,IF($C$13&lt;&gt;"",$C$13,IFERROR(INDEX(tbAtalhos[Pote],MATCH($C$6,tbAtalhos[Descrição],0))&amp;"","")),"")</f>
        <v/>
      </c>
      <c r="L7" s="76">
        <f>IF(3&lt;=$C$9,IF($C$14&lt;&gt;"",$C$14,IFERROR(INDEX(tbAtalhos[Quem],MATCH($C$6,tbAtalhos[Descrição],0))&amp;"","")),"")</f>
        <v/>
      </c>
      <c r="M7" s="76">
        <f>IF(3&lt;=$C$9,IF($C$15&lt;&gt;"",$C$15,IFERROR(INDEX(tbAtalhos[Conta],MATCH($C$6,tbAtalhos[Descrição],0))&amp;"","")),"")</f>
        <v/>
      </c>
      <c r="N7" s="76">
        <f>IF(3&lt;=$C$9,IF($C$16&lt;&gt;"",$C$16,IFERROR(INDEX(tbAtalhos[Forma de pagamento],MATCH($C$6,tbAtalhos[Descrição],0))&amp;"","")),"")</f>
        <v/>
      </c>
      <c r="O7" s="80">
        <f>IF(AND(3&lt;=$C$9,$C$5="Parcelado"),"3/"&amp;$C$9,"")</f>
        <v/>
      </c>
      <c r="P7" s="8" t="n"/>
      <c r="Q7" s="8" t="n"/>
      <c r="R7" s="8" t="n"/>
      <c r="S7" s="8" t="n"/>
      <c r="T7" s="8" t="n"/>
    </row>
    <row r="8" ht="20" customHeight="1">
      <c r="A8" s="8" t="n"/>
      <c r="B8" s="78" t="inlineStr">
        <is>
          <t>O valor informado é</t>
        </is>
      </c>
      <c r="C8" s="79" t="inlineStr">
        <is>
          <t>Total da compra</t>
        </is>
      </c>
      <c r="D8" s="8" t="n"/>
      <c r="E8" s="75">
        <f>IF(4&lt;=$C$9,DATE(YEAR($C$10),MONTH($C$10)+3,MIN(DAY($C$10),DAY(EOMONTH(DATE(YEAR($C$10),MONTH($C$10)+3,1),0)))),"")</f>
        <v/>
      </c>
      <c r="F8" s="76">
        <f>IF(4&lt;=$C$9,$C$6,"")</f>
        <v/>
      </c>
      <c r="G8" s="77">
        <f>IF(4&lt;=$C$9,IF($C$5="Repetir todo mês",$C$7,IF($C$8="Total da compra",IF(4&lt;$C$9,ROUND($C$7/$C$9,2),ROUND($C$7-ROUND($C$7/$C$9,2)*($C$9-1),2)),$C$7)),"")</f>
        <v/>
      </c>
      <c r="H8" s="76">
        <f>IF(4&lt;=$C$9,IF($C$11&lt;&gt;"",$C$11,IFERROR(INDEX(tbAtalhos[Tipo],MATCH($C$6,tbAtalhos[Descrição],0))&amp;"","Despesa")),"")</f>
        <v/>
      </c>
      <c r="I8" s="76">
        <f>IF(4&lt;=$C$9,IF($C$12&lt;&gt;"",$C$12,IFERROR(INDEX(tbAtalhos[Categoria],MATCH($C$6,tbAtalhos[Descrição],0))&amp;"","")),"")</f>
        <v/>
      </c>
      <c r="J8" s="76">
        <f>IF(4&lt;=$C$9,IF(AND(4=1,$C$17="sim"),IF(IF($C$11&lt;&gt;"",$C$11,IFERROR(INDEX(tbAtalhos[Tipo],MATCH($C$6,tbAtalhos[Descrição],0))&amp;"","Despesa"))="Receita","Recebido","Pago"),"Pendente"),"")</f>
        <v/>
      </c>
      <c r="K8" s="76">
        <f>IF(4&lt;=$C$9,IF($C$13&lt;&gt;"",$C$13,IFERROR(INDEX(tbAtalhos[Pote],MATCH($C$6,tbAtalhos[Descrição],0))&amp;"","")),"")</f>
        <v/>
      </c>
      <c r="L8" s="76">
        <f>IF(4&lt;=$C$9,IF($C$14&lt;&gt;"",$C$14,IFERROR(INDEX(tbAtalhos[Quem],MATCH($C$6,tbAtalhos[Descrição],0))&amp;"","")),"")</f>
        <v/>
      </c>
      <c r="M8" s="76">
        <f>IF(4&lt;=$C$9,IF($C$15&lt;&gt;"",$C$15,IFERROR(INDEX(tbAtalhos[Conta],MATCH($C$6,tbAtalhos[Descrição],0))&amp;"","")),"")</f>
        <v/>
      </c>
      <c r="N8" s="76">
        <f>IF(4&lt;=$C$9,IF($C$16&lt;&gt;"",$C$16,IFERROR(INDEX(tbAtalhos[Forma de pagamento],MATCH($C$6,tbAtalhos[Descrição],0))&amp;"","")),"")</f>
        <v/>
      </c>
      <c r="O8" s="80">
        <f>IF(AND(4&lt;=$C$9,$C$5="Parcelado"),"4/"&amp;$C$9,"")</f>
        <v/>
      </c>
      <c r="P8" s="8" t="n"/>
      <c r="Q8" s="8" t="n"/>
      <c r="R8" s="8" t="n"/>
      <c r="S8" s="8" t="n"/>
      <c r="T8" s="8" t="n"/>
    </row>
    <row r="9" ht="20" customHeight="1">
      <c r="A9" s="8" t="n"/>
      <c r="B9" s="78" t="inlineStr">
        <is>
          <t>Nº de parcelas / meses</t>
        </is>
      </c>
      <c r="C9" s="79" t="n">
        <v>10</v>
      </c>
      <c r="D9" s="8" t="n"/>
      <c r="E9" s="75">
        <f>IF(5&lt;=$C$9,DATE(YEAR($C$10),MONTH($C$10)+4,MIN(DAY($C$10),DAY(EOMONTH(DATE(YEAR($C$10),MONTH($C$10)+4,1),0)))),"")</f>
        <v/>
      </c>
      <c r="F9" s="76">
        <f>IF(5&lt;=$C$9,$C$6,"")</f>
        <v/>
      </c>
      <c r="G9" s="77">
        <f>IF(5&lt;=$C$9,IF($C$5="Repetir todo mês",$C$7,IF($C$8="Total da compra",IF(5&lt;$C$9,ROUND($C$7/$C$9,2),ROUND($C$7-ROUND($C$7/$C$9,2)*($C$9-1),2)),$C$7)),"")</f>
        <v/>
      </c>
      <c r="H9" s="76">
        <f>IF(5&lt;=$C$9,IF($C$11&lt;&gt;"",$C$11,IFERROR(INDEX(tbAtalhos[Tipo],MATCH($C$6,tbAtalhos[Descrição],0))&amp;"","Despesa")),"")</f>
        <v/>
      </c>
      <c r="I9" s="76">
        <f>IF(5&lt;=$C$9,IF($C$12&lt;&gt;"",$C$12,IFERROR(INDEX(tbAtalhos[Categoria],MATCH($C$6,tbAtalhos[Descrição],0))&amp;"","")),"")</f>
        <v/>
      </c>
      <c r="J9" s="76">
        <f>IF(5&lt;=$C$9,IF(AND(5=1,$C$17="sim"),IF(IF($C$11&lt;&gt;"",$C$11,IFERROR(INDEX(tbAtalhos[Tipo],MATCH($C$6,tbAtalhos[Descrição],0))&amp;"","Despesa"))="Receita","Recebido","Pago"),"Pendente"),"")</f>
        <v/>
      </c>
      <c r="K9" s="76">
        <f>IF(5&lt;=$C$9,IF($C$13&lt;&gt;"",$C$13,IFERROR(INDEX(tbAtalhos[Pote],MATCH($C$6,tbAtalhos[Descrição],0))&amp;"","")),"")</f>
        <v/>
      </c>
      <c r="L9" s="76">
        <f>IF(5&lt;=$C$9,IF($C$14&lt;&gt;"",$C$14,IFERROR(INDEX(tbAtalhos[Quem],MATCH($C$6,tbAtalhos[Descrição],0))&amp;"","")),"")</f>
        <v/>
      </c>
      <c r="M9" s="76">
        <f>IF(5&lt;=$C$9,IF($C$15&lt;&gt;"",$C$15,IFERROR(INDEX(tbAtalhos[Conta],MATCH($C$6,tbAtalhos[Descrição],0))&amp;"","")),"")</f>
        <v/>
      </c>
      <c r="N9" s="76">
        <f>IF(5&lt;=$C$9,IF($C$16&lt;&gt;"",$C$16,IFERROR(INDEX(tbAtalhos[Forma de pagamento],MATCH($C$6,tbAtalhos[Descrição],0))&amp;"","")),"")</f>
        <v/>
      </c>
      <c r="O9" s="80">
        <f>IF(AND(5&lt;=$C$9,$C$5="Parcelado"),"5/"&amp;$C$9,"")</f>
        <v/>
      </c>
      <c r="P9" s="8" t="n"/>
      <c r="Q9" s="8" t="n"/>
      <c r="R9" s="8" t="n"/>
      <c r="S9" s="8" t="n"/>
      <c r="T9" s="8" t="n"/>
    </row>
    <row r="10" ht="20" customHeight="1">
      <c r="A10" s="8" t="n"/>
      <c r="B10" s="78" t="inlineStr">
        <is>
          <t>Data da 1ª parcela</t>
        </is>
      </c>
      <c r="C10" s="82" t="n">
        <v>46305</v>
      </c>
      <c r="D10" s="8" t="n"/>
      <c r="E10" s="75">
        <f>IF(6&lt;=$C$9,DATE(YEAR($C$10),MONTH($C$10)+5,MIN(DAY($C$10),DAY(EOMONTH(DATE(YEAR($C$10),MONTH($C$10)+5,1),0)))),"")</f>
        <v/>
      </c>
      <c r="F10" s="76">
        <f>IF(6&lt;=$C$9,$C$6,"")</f>
        <v/>
      </c>
      <c r="G10" s="77">
        <f>IF(6&lt;=$C$9,IF($C$5="Repetir todo mês",$C$7,IF($C$8="Total da compra",IF(6&lt;$C$9,ROUND($C$7/$C$9,2),ROUND($C$7-ROUND($C$7/$C$9,2)*($C$9-1),2)),$C$7)),"")</f>
        <v/>
      </c>
      <c r="H10" s="76">
        <f>IF(6&lt;=$C$9,IF($C$11&lt;&gt;"",$C$11,IFERROR(INDEX(tbAtalhos[Tipo],MATCH($C$6,tbAtalhos[Descrição],0))&amp;"","Despesa")),"")</f>
        <v/>
      </c>
      <c r="I10" s="76">
        <f>IF(6&lt;=$C$9,IF($C$12&lt;&gt;"",$C$12,IFERROR(INDEX(tbAtalhos[Categoria],MATCH($C$6,tbAtalhos[Descrição],0))&amp;"","")),"")</f>
        <v/>
      </c>
      <c r="J10" s="76">
        <f>IF(6&lt;=$C$9,IF(AND(6=1,$C$17="sim"),IF(IF($C$11&lt;&gt;"",$C$11,IFERROR(INDEX(tbAtalhos[Tipo],MATCH($C$6,tbAtalhos[Descrição],0))&amp;"","Despesa"))="Receita","Recebido","Pago"),"Pendente"),"")</f>
        <v/>
      </c>
      <c r="K10" s="76">
        <f>IF(6&lt;=$C$9,IF($C$13&lt;&gt;"",$C$13,IFERROR(INDEX(tbAtalhos[Pote],MATCH($C$6,tbAtalhos[Descrição],0))&amp;"","")),"")</f>
        <v/>
      </c>
      <c r="L10" s="76">
        <f>IF(6&lt;=$C$9,IF($C$14&lt;&gt;"",$C$14,IFERROR(INDEX(tbAtalhos[Quem],MATCH($C$6,tbAtalhos[Descrição],0))&amp;"","")),"")</f>
        <v/>
      </c>
      <c r="M10" s="76">
        <f>IF(6&lt;=$C$9,IF($C$15&lt;&gt;"",$C$15,IFERROR(INDEX(tbAtalhos[Conta],MATCH($C$6,tbAtalhos[Descrição],0))&amp;"","")),"")</f>
        <v/>
      </c>
      <c r="N10" s="76">
        <f>IF(6&lt;=$C$9,IF($C$16&lt;&gt;"",$C$16,IFERROR(INDEX(tbAtalhos[Forma de pagamento],MATCH($C$6,tbAtalhos[Descrição],0))&amp;"","")),"")</f>
        <v/>
      </c>
      <c r="O10" s="80">
        <f>IF(AND(6&lt;=$C$9,$C$5="Parcelado"),"6/"&amp;$C$9,"")</f>
        <v/>
      </c>
      <c r="P10" s="8" t="n"/>
      <c r="Q10" s="8" t="n"/>
      <c r="R10" s="8" t="n"/>
      <c r="S10" s="8" t="n"/>
      <c r="T10" s="8" t="n"/>
    </row>
    <row r="11" ht="20" customHeight="1">
      <c r="A11" s="8" t="n"/>
      <c r="B11" s="78" t="inlineStr">
        <is>
          <t>Tipo</t>
        </is>
      </c>
      <c r="C11" s="79" t="inlineStr">
        <is>
          <t>Despesa</t>
        </is>
      </c>
      <c r="D11" s="8" t="n"/>
      <c r="E11" s="75">
        <f>IF(7&lt;=$C$9,DATE(YEAR($C$10),MONTH($C$10)+6,MIN(DAY($C$10),DAY(EOMONTH(DATE(YEAR($C$10),MONTH($C$10)+6,1),0)))),"")</f>
        <v/>
      </c>
      <c r="F11" s="76">
        <f>IF(7&lt;=$C$9,$C$6,"")</f>
        <v/>
      </c>
      <c r="G11" s="77">
        <f>IF(7&lt;=$C$9,IF($C$5="Repetir todo mês",$C$7,IF($C$8="Total da compra",IF(7&lt;$C$9,ROUND($C$7/$C$9,2),ROUND($C$7-ROUND($C$7/$C$9,2)*($C$9-1),2)),$C$7)),"")</f>
        <v/>
      </c>
      <c r="H11" s="76">
        <f>IF(7&lt;=$C$9,IF($C$11&lt;&gt;"",$C$11,IFERROR(INDEX(tbAtalhos[Tipo],MATCH($C$6,tbAtalhos[Descrição],0))&amp;"","Despesa")),"")</f>
        <v/>
      </c>
      <c r="I11" s="76">
        <f>IF(7&lt;=$C$9,IF($C$12&lt;&gt;"",$C$12,IFERROR(INDEX(tbAtalhos[Categoria],MATCH($C$6,tbAtalhos[Descrição],0))&amp;"","")),"")</f>
        <v/>
      </c>
      <c r="J11" s="76">
        <f>IF(7&lt;=$C$9,IF(AND(7=1,$C$17="sim"),IF(IF($C$11&lt;&gt;"",$C$11,IFERROR(INDEX(tbAtalhos[Tipo],MATCH($C$6,tbAtalhos[Descrição],0))&amp;"","Despesa"))="Receita","Recebido","Pago"),"Pendente"),"")</f>
        <v/>
      </c>
      <c r="K11" s="76">
        <f>IF(7&lt;=$C$9,IF($C$13&lt;&gt;"",$C$13,IFERROR(INDEX(tbAtalhos[Pote],MATCH($C$6,tbAtalhos[Descrição],0))&amp;"","")),"")</f>
        <v/>
      </c>
      <c r="L11" s="76">
        <f>IF(7&lt;=$C$9,IF($C$14&lt;&gt;"",$C$14,IFERROR(INDEX(tbAtalhos[Quem],MATCH($C$6,tbAtalhos[Descrição],0))&amp;"","")),"")</f>
        <v/>
      </c>
      <c r="M11" s="76">
        <f>IF(7&lt;=$C$9,IF($C$15&lt;&gt;"",$C$15,IFERROR(INDEX(tbAtalhos[Conta],MATCH($C$6,tbAtalhos[Descrição],0))&amp;"","")),"")</f>
        <v/>
      </c>
      <c r="N11" s="76">
        <f>IF(7&lt;=$C$9,IF($C$16&lt;&gt;"",$C$16,IFERROR(INDEX(tbAtalhos[Forma de pagamento],MATCH($C$6,tbAtalhos[Descrição],0))&amp;"","")),"")</f>
        <v/>
      </c>
      <c r="O11" s="80">
        <f>IF(AND(7&lt;=$C$9,$C$5="Parcelado"),"7/"&amp;$C$9,"")</f>
        <v/>
      </c>
      <c r="P11" s="8" t="n"/>
      <c r="Q11" s="8" t="n"/>
      <c r="R11" s="8" t="n"/>
      <c r="S11" s="8" t="n"/>
      <c r="T11" s="8" t="n"/>
    </row>
    <row r="12" ht="20" customHeight="1">
      <c r="A12" s="8" t="n"/>
      <c r="B12" s="78" t="inlineStr">
        <is>
          <t>Categoria (vazio = do favorito)</t>
        </is>
      </c>
      <c r="C12" s="79" t="n"/>
      <c r="D12" s="8" t="n"/>
      <c r="E12" s="75">
        <f>IF(8&lt;=$C$9,DATE(YEAR($C$10),MONTH($C$10)+7,MIN(DAY($C$10),DAY(EOMONTH(DATE(YEAR($C$10),MONTH($C$10)+7,1),0)))),"")</f>
        <v/>
      </c>
      <c r="F12" s="76">
        <f>IF(8&lt;=$C$9,$C$6,"")</f>
        <v/>
      </c>
      <c r="G12" s="77">
        <f>IF(8&lt;=$C$9,IF($C$5="Repetir todo mês",$C$7,IF($C$8="Total da compra",IF(8&lt;$C$9,ROUND($C$7/$C$9,2),ROUND($C$7-ROUND($C$7/$C$9,2)*($C$9-1),2)),$C$7)),"")</f>
        <v/>
      </c>
      <c r="H12" s="76">
        <f>IF(8&lt;=$C$9,IF($C$11&lt;&gt;"",$C$11,IFERROR(INDEX(tbAtalhos[Tipo],MATCH($C$6,tbAtalhos[Descrição],0))&amp;"","Despesa")),"")</f>
        <v/>
      </c>
      <c r="I12" s="76">
        <f>IF(8&lt;=$C$9,IF($C$12&lt;&gt;"",$C$12,IFERROR(INDEX(tbAtalhos[Categoria],MATCH($C$6,tbAtalhos[Descrição],0))&amp;"","")),"")</f>
        <v/>
      </c>
      <c r="J12" s="76">
        <f>IF(8&lt;=$C$9,IF(AND(8=1,$C$17="sim"),IF(IF($C$11&lt;&gt;"",$C$11,IFERROR(INDEX(tbAtalhos[Tipo],MATCH($C$6,tbAtalhos[Descrição],0))&amp;"","Despesa"))="Receita","Recebido","Pago"),"Pendente"),"")</f>
        <v/>
      </c>
      <c r="K12" s="76">
        <f>IF(8&lt;=$C$9,IF($C$13&lt;&gt;"",$C$13,IFERROR(INDEX(tbAtalhos[Pote],MATCH($C$6,tbAtalhos[Descrição],0))&amp;"","")),"")</f>
        <v/>
      </c>
      <c r="L12" s="76">
        <f>IF(8&lt;=$C$9,IF($C$14&lt;&gt;"",$C$14,IFERROR(INDEX(tbAtalhos[Quem],MATCH($C$6,tbAtalhos[Descrição],0))&amp;"","")),"")</f>
        <v/>
      </c>
      <c r="M12" s="76">
        <f>IF(8&lt;=$C$9,IF($C$15&lt;&gt;"",$C$15,IFERROR(INDEX(tbAtalhos[Conta],MATCH($C$6,tbAtalhos[Descrição],0))&amp;"","")),"")</f>
        <v/>
      </c>
      <c r="N12" s="76">
        <f>IF(8&lt;=$C$9,IF($C$16&lt;&gt;"",$C$16,IFERROR(INDEX(tbAtalhos[Forma de pagamento],MATCH($C$6,tbAtalhos[Descrição],0))&amp;"","")),"")</f>
        <v/>
      </c>
      <c r="O12" s="80">
        <f>IF(AND(8&lt;=$C$9,$C$5="Parcelado"),"8/"&amp;$C$9,"")</f>
        <v/>
      </c>
      <c r="P12" s="8" t="n"/>
      <c r="Q12" s="8" t="n"/>
      <c r="R12" s="8" t="n"/>
      <c r="S12" s="8" t="n"/>
      <c r="T12" s="8" t="n"/>
    </row>
    <row r="13" ht="20" customHeight="1">
      <c r="A13" s="8" t="n"/>
      <c r="B13" s="78" t="inlineStr">
        <is>
          <t>Pote (vazio = do favorito)</t>
        </is>
      </c>
      <c r="C13" s="79" t="n"/>
      <c r="D13" s="8" t="n"/>
      <c r="E13" s="75">
        <f>IF(9&lt;=$C$9,DATE(YEAR($C$10),MONTH($C$10)+8,MIN(DAY($C$10),DAY(EOMONTH(DATE(YEAR($C$10),MONTH($C$10)+8,1),0)))),"")</f>
        <v/>
      </c>
      <c r="F13" s="76">
        <f>IF(9&lt;=$C$9,$C$6,"")</f>
        <v/>
      </c>
      <c r="G13" s="77">
        <f>IF(9&lt;=$C$9,IF($C$5="Repetir todo mês",$C$7,IF($C$8="Total da compra",IF(9&lt;$C$9,ROUND($C$7/$C$9,2),ROUND($C$7-ROUND($C$7/$C$9,2)*($C$9-1),2)),$C$7)),"")</f>
        <v/>
      </c>
      <c r="H13" s="76">
        <f>IF(9&lt;=$C$9,IF($C$11&lt;&gt;"",$C$11,IFERROR(INDEX(tbAtalhos[Tipo],MATCH($C$6,tbAtalhos[Descrição],0))&amp;"","Despesa")),"")</f>
        <v/>
      </c>
      <c r="I13" s="76">
        <f>IF(9&lt;=$C$9,IF($C$12&lt;&gt;"",$C$12,IFERROR(INDEX(tbAtalhos[Categoria],MATCH($C$6,tbAtalhos[Descrição],0))&amp;"","")),"")</f>
        <v/>
      </c>
      <c r="J13" s="76">
        <f>IF(9&lt;=$C$9,IF(AND(9=1,$C$17="sim"),IF(IF($C$11&lt;&gt;"",$C$11,IFERROR(INDEX(tbAtalhos[Tipo],MATCH($C$6,tbAtalhos[Descrição],0))&amp;"","Despesa"))="Receita","Recebido","Pago"),"Pendente"),"")</f>
        <v/>
      </c>
      <c r="K13" s="76">
        <f>IF(9&lt;=$C$9,IF($C$13&lt;&gt;"",$C$13,IFERROR(INDEX(tbAtalhos[Pote],MATCH($C$6,tbAtalhos[Descrição],0))&amp;"","")),"")</f>
        <v/>
      </c>
      <c r="L13" s="76">
        <f>IF(9&lt;=$C$9,IF($C$14&lt;&gt;"",$C$14,IFERROR(INDEX(tbAtalhos[Quem],MATCH($C$6,tbAtalhos[Descrição],0))&amp;"","")),"")</f>
        <v/>
      </c>
      <c r="M13" s="76">
        <f>IF(9&lt;=$C$9,IF($C$15&lt;&gt;"",$C$15,IFERROR(INDEX(tbAtalhos[Conta],MATCH($C$6,tbAtalhos[Descrição],0))&amp;"","")),"")</f>
        <v/>
      </c>
      <c r="N13" s="76">
        <f>IF(9&lt;=$C$9,IF($C$16&lt;&gt;"",$C$16,IFERROR(INDEX(tbAtalhos[Forma de pagamento],MATCH($C$6,tbAtalhos[Descrição],0))&amp;"","")),"")</f>
        <v/>
      </c>
      <c r="O13" s="80">
        <f>IF(AND(9&lt;=$C$9,$C$5="Parcelado"),"9/"&amp;$C$9,"")</f>
        <v/>
      </c>
      <c r="P13" s="8" t="n"/>
      <c r="Q13" s="8" t="n"/>
      <c r="R13" s="8" t="n"/>
      <c r="S13" s="8" t="n"/>
      <c r="T13" s="8" t="n"/>
    </row>
    <row r="14" ht="20" customHeight="1">
      <c r="A14" s="8" t="n"/>
      <c r="B14" s="78" t="inlineStr">
        <is>
          <t>Quem</t>
        </is>
      </c>
      <c r="C14" s="79" t="n"/>
      <c r="D14" s="8" t="n"/>
      <c r="E14" s="75">
        <f>IF(10&lt;=$C$9,DATE(YEAR($C$10),MONTH($C$10)+9,MIN(DAY($C$10),DAY(EOMONTH(DATE(YEAR($C$10),MONTH($C$10)+9,1),0)))),"")</f>
        <v/>
      </c>
      <c r="F14" s="76">
        <f>IF(10&lt;=$C$9,$C$6,"")</f>
        <v/>
      </c>
      <c r="G14" s="77">
        <f>IF(10&lt;=$C$9,IF($C$5="Repetir todo mês",$C$7,IF($C$8="Total da compra",IF(10&lt;$C$9,ROUND($C$7/$C$9,2),ROUND($C$7-ROUND($C$7/$C$9,2)*($C$9-1),2)),$C$7)),"")</f>
        <v/>
      </c>
      <c r="H14" s="76">
        <f>IF(10&lt;=$C$9,IF($C$11&lt;&gt;"",$C$11,IFERROR(INDEX(tbAtalhos[Tipo],MATCH($C$6,tbAtalhos[Descrição],0))&amp;"","Despesa")),"")</f>
        <v/>
      </c>
      <c r="I14" s="76">
        <f>IF(10&lt;=$C$9,IF($C$12&lt;&gt;"",$C$12,IFERROR(INDEX(tbAtalhos[Categoria],MATCH($C$6,tbAtalhos[Descrição],0))&amp;"","")),"")</f>
        <v/>
      </c>
      <c r="J14" s="76">
        <f>IF(10&lt;=$C$9,IF(AND(10=1,$C$17="sim"),IF(IF($C$11&lt;&gt;"",$C$11,IFERROR(INDEX(tbAtalhos[Tipo],MATCH($C$6,tbAtalhos[Descrição],0))&amp;"","Despesa"))="Receita","Recebido","Pago"),"Pendente"),"")</f>
        <v/>
      </c>
      <c r="K14" s="76">
        <f>IF(10&lt;=$C$9,IF($C$13&lt;&gt;"",$C$13,IFERROR(INDEX(tbAtalhos[Pote],MATCH($C$6,tbAtalhos[Descrição],0))&amp;"","")),"")</f>
        <v/>
      </c>
      <c r="L14" s="76">
        <f>IF(10&lt;=$C$9,IF($C$14&lt;&gt;"",$C$14,IFERROR(INDEX(tbAtalhos[Quem],MATCH($C$6,tbAtalhos[Descrição],0))&amp;"","")),"")</f>
        <v/>
      </c>
      <c r="M14" s="76">
        <f>IF(10&lt;=$C$9,IF($C$15&lt;&gt;"",$C$15,IFERROR(INDEX(tbAtalhos[Conta],MATCH($C$6,tbAtalhos[Descrição],0))&amp;"","")),"")</f>
        <v/>
      </c>
      <c r="N14" s="76">
        <f>IF(10&lt;=$C$9,IF($C$16&lt;&gt;"",$C$16,IFERROR(INDEX(tbAtalhos[Forma de pagamento],MATCH($C$6,tbAtalhos[Descrição],0))&amp;"","")),"")</f>
        <v/>
      </c>
      <c r="O14" s="80">
        <f>IF(AND(10&lt;=$C$9,$C$5="Parcelado"),"10/"&amp;$C$9,"")</f>
        <v/>
      </c>
      <c r="P14" s="8" t="n"/>
      <c r="Q14" s="8" t="n"/>
      <c r="R14" s="8" t="n"/>
      <c r="S14" s="8" t="n"/>
      <c r="T14" s="8" t="n"/>
    </row>
    <row r="15" ht="20" customHeight="1">
      <c r="A15" s="8" t="n"/>
      <c r="B15" s="78" t="inlineStr">
        <is>
          <t>Conta / cartão</t>
        </is>
      </c>
      <c r="C15" s="79" t="n"/>
      <c r="D15" s="8" t="n"/>
      <c r="E15" s="75">
        <f>IF(11&lt;=$C$9,DATE(YEAR($C$10),MONTH($C$10)+10,MIN(DAY($C$10),DAY(EOMONTH(DATE(YEAR($C$10),MONTH($C$10)+10,1),0)))),"")</f>
        <v/>
      </c>
      <c r="F15" s="76">
        <f>IF(11&lt;=$C$9,$C$6,"")</f>
        <v/>
      </c>
      <c r="G15" s="77">
        <f>IF(11&lt;=$C$9,IF($C$5="Repetir todo mês",$C$7,IF($C$8="Total da compra",IF(11&lt;$C$9,ROUND($C$7/$C$9,2),ROUND($C$7-ROUND($C$7/$C$9,2)*($C$9-1),2)),$C$7)),"")</f>
        <v/>
      </c>
      <c r="H15" s="76">
        <f>IF(11&lt;=$C$9,IF($C$11&lt;&gt;"",$C$11,IFERROR(INDEX(tbAtalhos[Tipo],MATCH($C$6,tbAtalhos[Descrição],0))&amp;"","Despesa")),"")</f>
        <v/>
      </c>
      <c r="I15" s="76">
        <f>IF(11&lt;=$C$9,IF($C$12&lt;&gt;"",$C$12,IFERROR(INDEX(tbAtalhos[Categoria],MATCH($C$6,tbAtalhos[Descrição],0))&amp;"","")),"")</f>
        <v/>
      </c>
      <c r="J15" s="76">
        <f>IF(11&lt;=$C$9,IF(AND(11=1,$C$17="sim"),IF(IF($C$11&lt;&gt;"",$C$11,IFERROR(INDEX(tbAtalhos[Tipo],MATCH($C$6,tbAtalhos[Descrição],0))&amp;"","Despesa"))="Receita","Recebido","Pago"),"Pendente"),"")</f>
        <v/>
      </c>
      <c r="K15" s="76">
        <f>IF(11&lt;=$C$9,IF($C$13&lt;&gt;"",$C$13,IFERROR(INDEX(tbAtalhos[Pote],MATCH($C$6,tbAtalhos[Descrição],0))&amp;"","")),"")</f>
        <v/>
      </c>
      <c r="L15" s="76">
        <f>IF(11&lt;=$C$9,IF($C$14&lt;&gt;"",$C$14,IFERROR(INDEX(tbAtalhos[Quem],MATCH($C$6,tbAtalhos[Descrição],0))&amp;"","")),"")</f>
        <v/>
      </c>
      <c r="M15" s="76">
        <f>IF(11&lt;=$C$9,IF($C$15&lt;&gt;"",$C$15,IFERROR(INDEX(tbAtalhos[Conta],MATCH($C$6,tbAtalhos[Descrição],0))&amp;"","")),"")</f>
        <v/>
      </c>
      <c r="N15" s="76">
        <f>IF(11&lt;=$C$9,IF($C$16&lt;&gt;"",$C$16,IFERROR(INDEX(tbAtalhos[Forma de pagamento],MATCH($C$6,tbAtalhos[Descrição],0))&amp;"","")),"")</f>
        <v/>
      </c>
      <c r="O15" s="80">
        <f>IF(AND(11&lt;=$C$9,$C$5="Parcelado"),"11/"&amp;$C$9,"")</f>
        <v/>
      </c>
      <c r="P15" s="8" t="n"/>
      <c r="Q15" s="8" t="n"/>
      <c r="R15" s="8" t="n"/>
      <c r="S15" s="8" t="n"/>
      <c r="T15" s="8" t="n"/>
    </row>
    <row r="16" ht="20" customHeight="1">
      <c r="A16" s="8" t="n"/>
      <c r="B16" s="78" t="inlineStr">
        <is>
          <t>Forma de pagamento</t>
        </is>
      </c>
      <c r="C16" s="79" t="inlineStr">
        <is>
          <t>Cartão de crédito</t>
        </is>
      </c>
      <c r="D16" s="8" t="n"/>
      <c r="E16" s="75">
        <f>IF(12&lt;=$C$9,DATE(YEAR($C$10),MONTH($C$10)+11,MIN(DAY($C$10),DAY(EOMONTH(DATE(YEAR($C$10),MONTH($C$10)+11,1),0)))),"")</f>
        <v/>
      </c>
      <c r="F16" s="76">
        <f>IF(12&lt;=$C$9,$C$6,"")</f>
        <v/>
      </c>
      <c r="G16" s="77">
        <f>IF(12&lt;=$C$9,IF($C$5="Repetir todo mês",$C$7,IF($C$8="Total da compra",IF(12&lt;$C$9,ROUND($C$7/$C$9,2),ROUND($C$7-ROUND($C$7/$C$9,2)*($C$9-1),2)),$C$7)),"")</f>
        <v/>
      </c>
      <c r="H16" s="76">
        <f>IF(12&lt;=$C$9,IF($C$11&lt;&gt;"",$C$11,IFERROR(INDEX(tbAtalhos[Tipo],MATCH($C$6,tbAtalhos[Descrição],0))&amp;"","Despesa")),"")</f>
        <v/>
      </c>
      <c r="I16" s="76">
        <f>IF(12&lt;=$C$9,IF($C$12&lt;&gt;"",$C$12,IFERROR(INDEX(tbAtalhos[Categoria],MATCH($C$6,tbAtalhos[Descrição],0))&amp;"","")),"")</f>
        <v/>
      </c>
      <c r="J16" s="76">
        <f>IF(12&lt;=$C$9,IF(AND(12=1,$C$17="sim"),IF(IF($C$11&lt;&gt;"",$C$11,IFERROR(INDEX(tbAtalhos[Tipo],MATCH($C$6,tbAtalhos[Descrição],0))&amp;"","Despesa"))="Receita","Recebido","Pago"),"Pendente"),"")</f>
        <v/>
      </c>
      <c r="K16" s="76">
        <f>IF(12&lt;=$C$9,IF($C$13&lt;&gt;"",$C$13,IFERROR(INDEX(tbAtalhos[Pote],MATCH($C$6,tbAtalhos[Descrição],0))&amp;"","")),"")</f>
        <v/>
      </c>
      <c r="L16" s="76">
        <f>IF(12&lt;=$C$9,IF($C$14&lt;&gt;"",$C$14,IFERROR(INDEX(tbAtalhos[Quem],MATCH($C$6,tbAtalhos[Descrição],0))&amp;"","")),"")</f>
        <v/>
      </c>
      <c r="M16" s="76">
        <f>IF(12&lt;=$C$9,IF($C$15&lt;&gt;"",$C$15,IFERROR(INDEX(tbAtalhos[Conta],MATCH($C$6,tbAtalhos[Descrição],0))&amp;"","")),"")</f>
        <v/>
      </c>
      <c r="N16" s="76">
        <f>IF(12&lt;=$C$9,IF($C$16&lt;&gt;"",$C$16,IFERROR(INDEX(tbAtalhos[Forma de pagamento],MATCH($C$6,tbAtalhos[Descrição],0))&amp;"","")),"")</f>
        <v/>
      </c>
      <c r="O16" s="80">
        <f>IF(AND(12&lt;=$C$9,$C$5="Parcelado"),"12/"&amp;$C$9,"")</f>
        <v/>
      </c>
      <c r="P16" s="8" t="n"/>
      <c r="Q16" s="8" t="n"/>
      <c r="R16" s="8" t="n"/>
      <c r="S16" s="8" t="n"/>
      <c r="T16" s="8" t="n"/>
    </row>
    <row r="17" ht="20" customHeight="1">
      <c r="A17" s="8" t="n"/>
      <c r="B17" s="78" t="inlineStr">
        <is>
          <t>1ª parcela já foi paga?</t>
        </is>
      </c>
      <c r="C17" s="79" t="inlineStr">
        <is>
          <t>não</t>
        </is>
      </c>
      <c r="D17" s="8" t="n"/>
      <c r="E17" s="75">
        <f>IF(13&lt;=$C$9,DATE(YEAR($C$10),MONTH($C$10)+12,MIN(DAY($C$10),DAY(EOMONTH(DATE(YEAR($C$10),MONTH($C$10)+12,1),0)))),"")</f>
        <v/>
      </c>
      <c r="F17" s="76">
        <f>IF(13&lt;=$C$9,$C$6,"")</f>
        <v/>
      </c>
      <c r="G17" s="77">
        <f>IF(13&lt;=$C$9,IF($C$5="Repetir todo mês",$C$7,IF($C$8="Total da compra",IF(13&lt;$C$9,ROUND($C$7/$C$9,2),ROUND($C$7-ROUND($C$7/$C$9,2)*($C$9-1),2)),$C$7)),"")</f>
        <v/>
      </c>
      <c r="H17" s="76">
        <f>IF(13&lt;=$C$9,IF($C$11&lt;&gt;"",$C$11,IFERROR(INDEX(tbAtalhos[Tipo],MATCH($C$6,tbAtalhos[Descrição],0))&amp;"","Despesa")),"")</f>
        <v/>
      </c>
      <c r="I17" s="76">
        <f>IF(13&lt;=$C$9,IF($C$12&lt;&gt;"",$C$12,IFERROR(INDEX(tbAtalhos[Categoria],MATCH($C$6,tbAtalhos[Descrição],0))&amp;"","")),"")</f>
        <v/>
      </c>
      <c r="J17" s="76">
        <f>IF(13&lt;=$C$9,IF(AND(13=1,$C$17="sim"),IF(IF($C$11&lt;&gt;"",$C$11,IFERROR(INDEX(tbAtalhos[Tipo],MATCH($C$6,tbAtalhos[Descrição],0))&amp;"","Despesa"))="Receita","Recebido","Pago"),"Pendente"),"")</f>
        <v/>
      </c>
      <c r="K17" s="76">
        <f>IF(13&lt;=$C$9,IF($C$13&lt;&gt;"",$C$13,IFERROR(INDEX(tbAtalhos[Pote],MATCH($C$6,tbAtalhos[Descrição],0))&amp;"","")),"")</f>
        <v/>
      </c>
      <c r="L17" s="76">
        <f>IF(13&lt;=$C$9,IF($C$14&lt;&gt;"",$C$14,IFERROR(INDEX(tbAtalhos[Quem],MATCH($C$6,tbAtalhos[Descrição],0))&amp;"","")),"")</f>
        <v/>
      </c>
      <c r="M17" s="76">
        <f>IF(13&lt;=$C$9,IF($C$15&lt;&gt;"",$C$15,IFERROR(INDEX(tbAtalhos[Conta],MATCH($C$6,tbAtalhos[Descrição],0))&amp;"","")),"")</f>
        <v/>
      </c>
      <c r="N17" s="76">
        <f>IF(13&lt;=$C$9,IF($C$16&lt;&gt;"",$C$16,IFERROR(INDEX(tbAtalhos[Forma de pagamento],MATCH($C$6,tbAtalhos[Descrição],0))&amp;"","")),"")</f>
        <v/>
      </c>
      <c r="O17" s="80">
        <f>IF(AND(13&lt;=$C$9,$C$5="Parcelado"),"13/"&amp;$C$9,"")</f>
        <v/>
      </c>
      <c r="P17" s="8" t="n"/>
      <c r="Q17" s="8" t="n"/>
      <c r="R17" s="8" t="n"/>
      <c r="S17" s="8" t="n"/>
      <c r="T17" s="8" t="n"/>
    </row>
    <row r="18" ht="20" customHeight="1">
      <c r="A18" s="8" t="n"/>
      <c r="B18" s="8" t="n"/>
      <c r="C18" s="8" t="n"/>
      <c r="D18" s="8" t="n"/>
      <c r="E18" s="75">
        <f>IF(14&lt;=$C$9,DATE(YEAR($C$10),MONTH($C$10)+13,MIN(DAY($C$10),DAY(EOMONTH(DATE(YEAR($C$10),MONTH($C$10)+13,1),0)))),"")</f>
        <v/>
      </c>
      <c r="F18" s="76">
        <f>IF(14&lt;=$C$9,$C$6,"")</f>
        <v/>
      </c>
      <c r="G18" s="77">
        <f>IF(14&lt;=$C$9,IF($C$5="Repetir todo mês",$C$7,IF($C$8="Total da compra",IF(14&lt;$C$9,ROUND($C$7/$C$9,2),ROUND($C$7-ROUND($C$7/$C$9,2)*($C$9-1),2)),$C$7)),"")</f>
        <v/>
      </c>
      <c r="H18" s="76">
        <f>IF(14&lt;=$C$9,IF($C$11&lt;&gt;"",$C$11,IFERROR(INDEX(tbAtalhos[Tipo],MATCH($C$6,tbAtalhos[Descrição],0))&amp;"","Despesa")),"")</f>
        <v/>
      </c>
      <c r="I18" s="76">
        <f>IF(14&lt;=$C$9,IF($C$12&lt;&gt;"",$C$12,IFERROR(INDEX(tbAtalhos[Categoria],MATCH($C$6,tbAtalhos[Descrição],0))&amp;"","")),"")</f>
        <v/>
      </c>
      <c r="J18" s="76">
        <f>IF(14&lt;=$C$9,IF(AND(14=1,$C$17="sim"),IF(IF($C$11&lt;&gt;"",$C$11,IFERROR(INDEX(tbAtalhos[Tipo],MATCH($C$6,tbAtalhos[Descrição],0))&amp;"","Despesa"))="Receita","Recebido","Pago"),"Pendente"),"")</f>
        <v/>
      </c>
      <c r="K18" s="76">
        <f>IF(14&lt;=$C$9,IF($C$13&lt;&gt;"",$C$13,IFERROR(INDEX(tbAtalhos[Pote],MATCH($C$6,tbAtalhos[Descrição],0))&amp;"","")),"")</f>
        <v/>
      </c>
      <c r="L18" s="76">
        <f>IF(14&lt;=$C$9,IF($C$14&lt;&gt;"",$C$14,IFERROR(INDEX(tbAtalhos[Quem],MATCH($C$6,tbAtalhos[Descrição],0))&amp;"","")),"")</f>
        <v/>
      </c>
      <c r="M18" s="76">
        <f>IF(14&lt;=$C$9,IF($C$15&lt;&gt;"",$C$15,IFERROR(INDEX(tbAtalhos[Conta],MATCH($C$6,tbAtalhos[Descrição],0))&amp;"","")),"")</f>
        <v/>
      </c>
      <c r="N18" s="76">
        <f>IF(14&lt;=$C$9,IF($C$16&lt;&gt;"",$C$16,IFERROR(INDEX(tbAtalhos[Forma de pagamento],MATCH($C$6,tbAtalhos[Descrição],0))&amp;"","")),"")</f>
        <v/>
      </c>
      <c r="O18" s="80">
        <f>IF(AND(14&lt;=$C$9,$C$5="Parcelado"),"14/"&amp;$C$9,"")</f>
        <v/>
      </c>
      <c r="P18" s="8" t="n"/>
      <c r="Q18" s="8" t="n"/>
      <c r="R18" s="8" t="n"/>
      <c r="S18" s="8" t="n"/>
      <c r="T18" s="8" t="n"/>
    </row>
    <row r="19" ht="20" customHeight="1">
      <c r="A19" s="8" t="n"/>
      <c r="B19" s="50" t="inlineStr">
        <is>
          <t>RESUMO</t>
        </is>
      </c>
      <c r="C19" s="8" t="n"/>
      <c r="D19" s="8" t="n"/>
      <c r="E19" s="75">
        <f>IF(15&lt;=$C$9,DATE(YEAR($C$10),MONTH($C$10)+14,MIN(DAY($C$10),DAY(EOMONTH(DATE(YEAR($C$10),MONTH($C$10)+14,1),0)))),"")</f>
        <v/>
      </c>
      <c r="F19" s="76">
        <f>IF(15&lt;=$C$9,$C$6,"")</f>
        <v/>
      </c>
      <c r="G19" s="77">
        <f>IF(15&lt;=$C$9,IF($C$5="Repetir todo mês",$C$7,IF($C$8="Total da compra",IF(15&lt;$C$9,ROUND($C$7/$C$9,2),ROUND($C$7-ROUND($C$7/$C$9,2)*($C$9-1),2)),$C$7)),"")</f>
        <v/>
      </c>
      <c r="H19" s="76">
        <f>IF(15&lt;=$C$9,IF($C$11&lt;&gt;"",$C$11,IFERROR(INDEX(tbAtalhos[Tipo],MATCH($C$6,tbAtalhos[Descrição],0))&amp;"","Despesa")),"")</f>
        <v/>
      </c>
      <c r="I19" s="76">
        <f>IF(15&lt;=$C$9,IF($C$12&lt;&gt;"",$C$12,IFERROR(INDEX(tbAtalhos[Categoria],MATCH($C$6,tbAtalhos[Descrição],0))&amp;"","")),"")</f>
        <v/>
      </c>
      <c r="J19" s="76">
        <f>IF(15&lt;=$C$9,IF(AND(15=1,$C$17="sim"),IF(IF($C$11&lt;&gt;"",$C$11,IFERROR(INDEX(tbAtalhos[Tipo],MATCH($C$6,tbAtalhos[Descrição],0))&amp;"","Despesa"))="Receita","Recebido","Pago"),"Pendente"),"")</f>
        <v/>
      </c>
      <c r="K19" s="76">
        <f>IF(15&lt;=$C$9,IF($C$13&lt;&gt;"",$C$13,IFERROR(INDEX(tbAtalhos[Pote],MATCH($C$6,tbAtalhos[Descrição],0))&amp;"","")),"")</f>
        <v/>
      </c>
      <c r="L19" s="76">
        <f>IF(15&lt;=$C$9,IF($C$14&lt;&gt;"",$C$14,IFERROR(INDEX(tbAtalhos[Quem],MATCH($C$6,tbAtalhos[Descrição],0))&amp;"","")),"")</f>
        <v/>
      </c>
      <c r="M19" s="76">
        <f>IF(15&lt;=$C$9,IF($C$15&lt;&gt;"",$C$15,IFERROR(INDEX(tbAtalhos[Conta],MATCH($C$6,tbAtalhos[Descrição],0))&amp;"","")),"")</f>
        <v/>
      </c>
      <c r="N19" s="76">
        <f>IF(15&lt;=$C$9,IF($C$16&lt;&gt;"",$C$16,IFERROR(INDEX(tbAtalhos[Forma de pagamento],MATCH($C$6,tbAtalhos[Descrição],0))&amp;"","")),"")</f>
        <v/>
      </c>
      <c r="O19" s="80">
        <f>IF(AND(15&lt;=$C$9,$C$5="Parcelado"),"15/"&amp;$C$9,"")</f>
        <v/>
      </c>
      <c r="P19" s="8" t="n"/>
      <c r="Q19" s="8" t="n"/>
      <c r="R19" s="8" t="n"/>
      <c r="S19" s="8" t="n"/>
      <c r="T19" s="8" t="n"/>
    </row>
    <row r="20" ht="20" customHeight="1">
      <c r="A20" s="8" t="n"/>
      <c r="B20" s="78" t="inlineStr">
        <is>
          <t>Valor de cada parcela</t>
        </is>
      </c>
      <c r="C20" s="83">
        <f>IF($C$5="Repetir todo mês",$C$7,IF($C$8="Total da compra",ROUND($C$7/MAX(1,$C$9),2),$C$7))</f>
        <v/>
      </c>
      <c r="D20" s="8" t="n"/>
      <c r="E20" s="75">
        <f>IF(16&lt;=$C$9,DATE(YEAR($C$10),MONTH($C$10)+15,MIN(DAY($C$10),DAY(EOMONTH(DATE(YEAR($C$10),MONTH($C$10)+15,1),0)))),"")</f>
        <v/>
      </c>
      <c r="F20" s="76">
        <f>IF(16&lt;=$C$9,$C$6,"")</f>
        <v/>
      </c>
      <c r="G20" s="77">
        <f>IF(16&lt;=$C$9,IF($C$5="Repetir todo mês",$C$7,IF($C$8="Total da compra",IF(16&lt;$C$9,ROUND($C$7/$C$9,2),ROUND($C$7-ROUND($C$7/$C$9,2)*($C$9-1),2)),$C$7)),"")</f>
        <v/>
      </c>
      <c r="H20" s="76">
        <f>IF(16&lt;=$C$9,IF($C$11&lt;&gt;"",$C$11,IFERROR(INDEX(tbAtalhos[Tipo],MATCH($C$6,tbAtalhos[Descrição],0))&amp;"","Despesa")),"")</f>
        <v/>
      </c>
      <c r="I20" s="76">
        <f>IF(16&lt;=$C$9,IF($C$12&lt;&gt;"",$C$12,IFERROR(INDEX(tbAtalhos[Categoria],MATCH($C$6,tbAtalhos[Descrição],0))&amp;"","")),"")</f>
        <v/>
      </c>
      <c r="J20" s="76">
        <f>IF(16&lt;=$C$9,IF(AND(16=1,$C$17="sim"),IF(IF($C$11&lt;&gt;"",$C$11,IFERROR(INDEX(tbAtalhos[Tipo],MATCH($C$6,tbAtalhos[Descrição],0))&amp;"","Despesa"))="Receita","Recebido","Pago"),"Pendente"),"")</f>
        <v/>
      </c>
      <c r="K20" s="76">
        <f>IF(16&lt;=$C$9,IF($C$13&lt;&gt;"",$C$13,IFERROR(INDEX(tbAtalhos[Pote],MATCH($C$6,tbAtalhos[Descrição],0))&amp;"","")),"")</f>
        <v/>
      </c>
      <c r="L20" s="76">
        <f>IF(16&lt;=$C$9,IF($C$14&lt;&gt;"",$C$14,IFERROR(INDEX(tbAtalhos[Quem],MATCH($C$6,tbAtalhos[Descrição],0))&amp;"","")),"")</f>
        <v/>
      </c>
      <c r="M20" s="76">
        <f>IF(16&lt;=$C$9,IF($C$15&lt;&gt;"",$C$15,IFERROR(INDEX(tbAtalhos[Conta],MATCH($C$6,tbAtalhos[Descrição],0))&amp;"","")),"")</f>
        <v/>
      </c>
      <c r="N20" s="76">
        <f>IF(16&lt;=$C$9,IF($C$16&lt;&gt;"",$C$16,IFERROR(INDEX(tbAtalhos[Forma de pagamento],MATCH($C$6,tbAtalhos[Descrição],0))&amp;"","")),"")</f>
        <v/>
      </c>
      <c r="O20" s="80">
        <f>IF(AND(16&lt;=$C$9,$C$5="Parcelado"),"16/"&amp;$C$9,"")</f>
        <v/>
      </c>
      <c r="P20" s="8" t="n"/>
      <c r="Q20" s="8" t="n"/>
      <c r="R20" s="8" t="n"/>
      <c r="S20" s="8" t="n"/>
      <c r="T20" s="8" t="n"/>
    </row>
    <row r="21" ht="20" customHeight="1">
      <c r="A21" s="8" t="n"/>
      <c r="B21" s="78" t="inlineStr">
        <is>
          <t>Total</t>
        </is>
      </c>
      <c r="C21" s="83">
        <f>IF(AND($C$5="Parcelado",$C$8="Total da compra"),$C$7,IF($C$5="Repetir todo mês",$C$7,IF($C$8="Total da compra",ROUND($C$7/MAX(1,$C$9),2),$C$7))*$C$9)</f>
        <v/>
      </c>
      <c r="D21" s="8" t="n"/>
      <c r="E21" s="75">
        <f>IF(17&lt;=$C$9,DATE(YEAR($C$10),MONTH($C$10)+16,MIN(DAY($C$10),DAY(EOMONTH(DATE(YEAR($C$10),MONTH($C$10)+16,1),0)))),"")</f>
        <v/>
      </c>
      <c r="F21" s="76">
        <f>IF(17&lt;=$C$9,$C$6,"")</f>
        <v/>
      </c>
      <c r="G21" s="77">
        <f>IF(17&lt;=$C$9,IF($C$5="Repetir todo mês",$C$7,IF($C$8="Total da compra",IF(17&lt;$C$9,ROUND($C$7/$C$9,2),ROUND($C$7-ROUND($C$7/$C$9,2)*($C$9-1),2)),$C$7)),"")</f>
        <v/>
      </c>
      <c r="H21" s="76">
        <f>IF(17&lt;=$C$9,IF($C$11&lt;&gt;"",$C$11,IFERROR(INDEX(tbAtalhos[Tipo],MATCH($C$6,tbAtalhos[Descrição],0))&amp;"","Despesa")),"")</f>
        <v/>
      </c>
      <c r="I21" s="76">
        <f>IF(17&lt;=$C$9,IF($C$12&lt;&gt;"",$C$12,IFERROR(INDEX(tbAtalhos[Categoria],MATCH($C$6,tbAtalhos[Descrição],0))&amp;"","")),"")</f>
        <v/>
      </c>
      <c r="J21" s="76">
        <f>IF(17&lt;=$C$9,IF(AND(17=1,$C$17="sim"),IF(IF($C$11&lt;&gt;"",$C$11,IFERROR(INDEX(tbAtalhos[Tipo],MATCH($C$6,tbAtalhos[Descrição],0))&amp;"","Despesa"))="Receita","Recebido","Pago"),"Pendente"),"")</f>
        <v/>
      </c>
      <c r="K21" s="76">
        <f>IF(17&lt;=$C$9,IF($C$13&lt;&gt;"",$C$13,IFERROR(INDEX(tbAtalhos[Pote],MATCH($C$6,tbAtalhos[Descrição],0))&amp;"","")),"")</f>
        <v/>
      </c>
      <c r="L21" s="76">
        <f>IF(17&lt;=$C$9,IF($C$14&lt;&gt;"",$C$14,IFERROR(INDEX(tbAtalhos[Quem],MATCH($C$6,tbAtalhos[Descrição],0))&amp;"","")),"")</f>
        <v/>
      </c>
      <c r="M21" s="76">
        <f>IF(17&lt;=$C$9,IF($C$15&lt;&gt;"",$C$15,IFERROR(INDEX(tbAtalhos[Conta],MATCH($C$6,tbAtalhos[Descrição],0))&amp;"","")),"")</f>
        <v/>
      </c>
      <c r="N21" s="76">
        <f>IF(17&lt;=$C$9,IF($C$16&lt;&gt;"",$C$16,IFERROR(INDEX(tbAtalhos[Forma de pagamento],MATCH($C$6,tbAtalhos[Descrição],0))&amp;"","")),"")</f>
        <v/>
      </c>
      <c r="O21" s="80">
        <f>IF(AND(17&lt;=$C$9,$C$5="Parcelado"),"17/"&amp;$C$9,"")</f>
        <v/>
      </c>
      <c r="P21" s="8" t="n"/>
      <c r="Q21" s="8" t="n"/>
      <c r="R21" s="8" t="n"/>
      <c r="S21" s="8" t="n"/>
      <c r="T21" s="8" t="n"/>
    </row>
    <row r="22" ht="20" customHeight="1">
      <c r="A22" s="8" t="n"/>
      <c r="B22" s="78" t="inlineStr">
        <is>
          <t>Última parcela em</t>
        </is>
      </c>
      <c r="C22" s="84">
        <f>IFERROR(DATE(YEAR($C$10),MONTH($C$10)+$C$9-1,1),"")</f>
        <v/>
      </c>
      <c r="D22" s="8" t="n"/>
      <c r="E22" s="75">
        <f>IF(18&lt;=$C$9,DATE(YEAR($C$10),MONTH($C$10)+17,MIN(DAY($C$10),DAY(EOMONTH(DATE(YEAR($C$10),MONTH($C$10)+17,1),0)))),"")</f>
        <v/>
      </c>
      <c r="F22" s="76">
        <f>IF(18&lt;=$C$9,$C$6,"")</f>
        <v/>
      </c>
      <c r="G22" s="77">
        <f>IF(18&lt;=$C$9,IF($C$5="Repetir todo mês",$C$7,IF($C$8="Total da compra",IF(18&lt;$C$9,ROUND($C$7/$C$9,2),ROUND($C$7-ROUND($C$7/$C$9,2)*($C$9-1),2)),$C$7)),"")</f>
        <v/>
      </c>
      <c r="H22" s="76">
        <f>IF(18&lt;=$C$9,IF($C$11&lt;&gt;"",$C$11,IFERROR(INDEX(tbAtalhos[Tipo],MATCH($C$6,tbAtalhos[Descrição],0))&amp;"","Despesa")),"")</f>
        <v/>
      </c>
      <c r="I22" s="76">
        <f>IF(18&lt;=$C$9,IF($C$12&lt;&gt;"",$C$12,IFERROR(INDEX(tbAtalhos[Categoria],MATCH($C$6,tbAtalhos[Descrição],0))&amp;"","")),"")</f>
        <v/>
      </c>
      <c r="J22" s="76">
        <f>IF(18&lt;=$C$9,IF(AND(18=1,$C$17="sim"),IF(IF($C$11&lt;&gt;"",$C$11,IFERROR(INDEX(tbAtalhos[Tipo],MATCH($C$6,tbAtalhos[Descrição],0))&amp;"","Despesa"))="Receita","Recebido","Pago"),"Pendente"),"")</f>
        <v/>
      </c>
      <c r="K22" s="76">
        <f>IF(18&lt;=$C$9,IF($C$13&lt;&gt;"",$C$13,IFERROR(INDEX(tbAtalhos[Pote],MATCH($C$6,tbAtalhos[Descrição],0))&amp;"","")),"")</f>
        <v/>
      </c>
      <c r="L22" s="76">
        <f>IF(18&lt;=$C$9,IF($C$14&lt;&gt;"",$C$14,IFERROR(INDEX(tbAtalhos[Quem],MATCH($C$6,tbAtalhos[Descrição],0))&amp;"","")),"")</f>
        <v/>
      </c>
      <c r="M22" s="76">
        <f>IF(18&lt;=$C$9,IF($C$15&lt;&gt;"",$C$15,IFERROR(INDEX(tbAtalhos[Conta],MATCH($C$6,tbAtalhos[Descrição],0))&amp;"","")),"")</f>
        <v/>
      </c>
      <c r="N22" s="76">
        <f>IF(18&lt;=$C$9,IF($C$16&lt;&gt;"",$C$16,IFERROR(INDEX(tbAtalhos[Forma de pagamento],MATCH($C$6,tbAtalhos[Descrição],0))&amp;"","")),"")</f>
        <v/>
      </c>
      <c r="O22" s="80">
        <f>IF(AND(18&lt;=$C$9,$C$5="Parcelado"),"18/"&amp;$C$9,"")</f>
        <v/>
      </c>
      <c r="P22" s="8" t="n"/>
      <c r="Q22" s="8" t="n"/>
      <c r="R22" s="8" t="n"/>
      <c r="S22" s="8" t="n"/>
      <c r="T22" s="8" t="n"/>
    </row>
    <row r="23" ht="20" customHeight="1">
      <c r="A23" s="8" t="n"/>
      <c r="B23" s="8" t="n"/>
      <c r="C23" s="8" t="n"/>
      <c r="D23" s="8" t="n"/>
      <c r="E23" s="75">
        <f>IF(19&lt;=$C$9,DATE(YEAR($C$10),MONTH($C$10)+18,MIN(DAY($C$10),DAY(EOMONTH(DATE(YEAR($C$10),MONTH($C$10)+18,1),0)))),"")</f>
        <v/>
      </c>
      <c r="F23" s="76">
        <f>IF(19&lt;=$C$9,$C$6,"")</f>
        <v/>
      </c>
      <c r="G23" s="77">
        <f>IF(19&lt;=$C$9,IF($C$5="Repetir todo mês",$C$7,IF($C$8="Total da compra",IF(19&lt;$C$9,ROUND($C$7/$C$9,2),ROUND($C$7-ROUND($C$7/$C$9,2)*($C$9-1),2)),$C$7)),"")</f>
        <v/>
      </c>
      <c r="H23" s="76">
        <f>IF(19&lt;=$C$9,IF($C$11&lt;&gt;"",$C$11,IFERROR(INDEX(tbAtalhos[Tipo],MATCH($C$6,tbAtalhos[Descrição],0))&amp;"","Despesa")),"")</f>
        <v/>
      </c>
      <c r="I23" s="76">
        <f>IF(19&lt;=$C$9,IF($C$12&lt;&gt;"",$C$12,IFERROR(INDEX(tbAtalhos[Categoria],MATCH($C$6,tbAtalhos[Descrição],0))&amp;"","")),"")</f>
        <v/>
      </c>
      <c r="J23" s="76">
        <f>IF(19&lt;=$C$9,IF(AND(19=1,$C$17="sim"),IF(IF($C$11&lt;&gt;"",$C$11,IFERROR(INDEX(tbAtalhos[Tipo],MATCH($C$6,tbAtalhos[Descrição],0))&amp;"","Despesa"))="Receita","Recebido","Pago"),"Pendente"),"")</f>
        <v/>
      </c>
      <c r="K23" s="76">
        <f>IF(19&lt;=$C$9,IF($C$13&lt;&gt;"",$C$13,IFERROR(INDEX(tbAtalhos[Pote],MATCH($C$6,tbAtalhos[Descrição],0))&amp;"","")),"")</f>
        <v/>
      </c>
      <c r="L23" s="76">
        <f>IF(19&lt;=$C$9,IF($C$14&lt;&gt;"",$C$14,IFERROR(INDEX(tbAtalhos[Quem],MATCH($C$6,tbAtalhos[Descrição],0))&amp;"","")),"")</f>
        <v/>
      </c>
      <c r="M23" s="76">
        <f>IF(19&lt;=$C$9,IF($C$15&lt;&gt;"",$C$15,IFERROR(INDEX(tbAtalhos[Conta],MATCH($C$6,tbAtalhos[Descrição],0))&amp;"","")),"")</f>
        <v/>
      </c>
      <c r="N23" s="76">
        <f>IF(19&lt;=$C$9,IF($C$16&lt;&gt;"",$C$16,IFERROR(INDEX(tbAtalhos[Forma de pagamento],MATCH($C$6,tbAtalhos[Descrição],0))&amp;"","")),"")</f>
        <v/>
      </c>
      <c r="O23" s="80">
        <f>IF(AND(19&lt;=$C$9,$C$5="Parcelado"),"19/"&amp;$C$9,"")</f>
        <v/>
      </c>
      <c r="P23" s="8" t="n"/>
      <c r="Q23" s="8" t="n"/>
      <c r="R23" s="8" t="n"/>
      <c r="S23" s="8" t="n"/>
      <c r="T23" s="8" t="n"/>
    </row>
    <row r="24" ht="20" customHeight="1">
      <c r="A24" s="8" t="n"/>
      <c r="B24" s="54">
        <f>HYPERLINK("#Inicio!A1","⌂  Início")</f>
        <v/>
      </c>
      <c r="C24" s="8" t="n"/>
      <c r="D24" s="8" t="n"/>
      <c r="E24" s="75">
        <f>IF(20&lt;=$C$9,DATE(YEAR($C$10),MONTH($C$10)+19,MIN(DAY($C$10),DAY(EOMONTH(DATE(YEAR($C$10),MONTH($C$10)+19,1),0)))),"")</f>
        <v/>
      </c>
      <c r="F24" s="76">
        <f>IF(20&lt;=$C$9,$C$6,"")</f>
        <v/>
      </c>
      <c r="G24" s="77">
        <f>IF(20&lt;=$C$9,IF($C$5="Repetir todo mês",$C$7,IF($C$8="Total da compra",IF(20&lt;$C$9,ROUND($C$7/$C$9,2),ROUND($C$7-ROUND($C$7/$C$9,2)*($C$9-1),2)),$C$7)),"")</f>
        <v/>
      </c>
      <c r="H24" s="76">
        <f>IF(20&lt;=$C$9,IF($C$11&lt;&gt;"",$C$11,IFERROR(INDEX(tbAtalhos[Tipo],MATCH($C$6,tbAtalhos[Descrição],0))&amp;"","Despesa")),"")</f>
        <v/>
      </c>
      <c r="I24" s="76">
        <f>IF(20&lt;=$C$9,IF($C$12&lt;&gt;"",$C$12,IFERROR(INDEX(tbAtalhos[Categoria],MATCH($C$6,tbAtalhos[Descrição],0))&amp;"","")),"")</f>
        <v/>
      </c>
      <c r="J24" s="76">
        <f>IF(20&lt;=$C$9,IF(AND(20=1,$C$17="sim"),IF(IF($C$11&lt;&gt;"",$C$11,IFERROR(INDEX(tbAtalhos[Tipo],MATCH($C$6,tbAtalhos[Descrição],0))&amp;"","Despesa"))="Receita","Recebido","Pago"),"Pendente"),"")</f>
        <v/>
      </c>
      <c r="K24" s="76">
        <f>IF(20&lt;=$C$9,IF($C$13&lt;&gt;"",$C$13,IFERROR(INDEX(tbAtalhos[Pote],MATCH($C$6,tbAtalhos[Descrição],0))&amp;"","")),"")</f>
        <v/>
      </c>
      <c r="L24" s="76">
        <f>IF(20&lt;=$C$9,IF($C$14&lt;&gt;"",$C$14,IFERROR(INDEX(tbAtalhos[Quem],MATCH($C$6,tbAtalhos[Descrição],0))&amp;"","")),"")</f>
        <v/>
      </c>
      <c r="M24" s="76">
        <f>IF(20&lt;=$C$9,IF($C$15&lt;&gt;"",$C$15,IFERROR(INDEX(tbAtalhos[Conta],MATCH($C$6,tbAtalhos[Descrição],0))&amp;"","")),"")</f>
        <v/>
      </c>
      <c r="N24" s="76">
        <f>IF(20&lt;=$C$9,IF($C$16&lt;&gt;"",$C$16,IFERROR(INDEX(tbAtalhos[Forma de pagamento],MATCH($C$6,tbAtalhos[Descrição],0))&amp;"","")),"")</f>
        <v/>
      </c>
      <c r="O24" s="80">
        <f>IF(AND(20&lt;=$C$9,$C$5="Parcelado"),"20/"&amp;$C$9,"")</f>
        <v/>
      </c>
      <c r="P24" s="8" t="n"/>
      <c r="Q24" s="8" t="n"/>
      <c r="R24" s="8" t="n"/>
      <c r="S24" s="8" t="n"/>
      <c r="T24" s="8" t="n"/>
    </row>
    <row r="25" ht="20" customHeight="1">
      <c r="A25" s="8" t="n"/>
      <c r="B25" s="8" t="n"/>
      <c r="C25" s="8" t="n"/>
      <c r="D25" s="8" t="n"/>
      <c r="E25" s="75">
        <f>IF(21&lt;=$C$9,DATE(YEAR($C$10),MONTH($C$10)+20,MIN(DAY($C$10),DAY(EOMONTH(DATE(YEAR($C$10),MONTH($C$10)+20,1),0)))),"")</f>
        <v/>
      </c>
      <c r="F25" s="76">
        <f>IF(21&lt;=$C$9,$C$6,"")</f>
        <v/>
      </c>
      <c r="G25" s="77">
        <f>IF(21&lt;=$C$9,IF($C$5="Repetir todo mês",$C$7,IF($C$8="Total da compra",IF(21&lt;$C$9,ROUND($C$7/$C$9,2),ROUND($C$7-ROUND($C$7/$C$9,2)*($C$9-1),2)),$C$7)),"")</f>
        <v/>
      </c>
      <c r="H25" s="76">
        <f>IF(21&lt;=$C$9,IF($C$11&lt;&gt;"",$C$11,IFERROR(INDEX(tbAtalhos[Tipo],MATCH($C$6,tbAtalhos[Descrição],0))&amp;"","Despesa")),"")</f>
        <v/>
      </c>
      <c r="I25" s="76">
        <f>IF(21&lt;=$C$9,IF($C$12&lt;&gt;"",$C$12,IFERROR(INDEX(tbAtalhos[Categoria],MATCH($C$6,tbAtalhos[Descrição],0))&amp;"","")),"")</f>
        <v/>
      </c>
      <c r="J25" s="76">
        <f>IF(21&lt;=$C$9,IF(AND(21=1,$C$17="sim"),IF(IF($C$11&lt;&gt;"",$C$11,IFERROR(INDEX(tbAtalhos[Tipo],MATCH($C$6,tbAtalhos[Descrição],0))&amp;"","Despesa"))="Receita","Recebido","Pago"),"Pendente"),"")</f>
        <v/>
      </c>
      <c r="K25" s="76">
        <f>IF(21&lt;=$C$9,IF($C$13&lt;&gt;"",$C$13,IFERROR(INDEX(tbAtalhos[Pote],MATCH($C$6,tbAtalhos[Descrição],0))&amp;"","")),"")</f>
        <v/>
      </c>
      <c r="L25" s="76">
        <f>IF(21&lt;=$C$9,IF($C$14&lt;&gt;"",$C$14,IFERROR(INDEX(tbAtalhos[Quem],MATCH($C$6,tbAtalhos[Descrição],0))&amp;"","")),"")</f>
        <v/>
      </c>
      <c r="M25" s="76">
        <f>IF(21&lt;=$C$9,IF($C$15&lt;&gt;"",$C$15,IFERROR(INDEX(tbAtalhos[Conta],MATCH($C$6,tbAtalhos[Descrição],0))&amp;"","")),"")</f>
        <v/>
      </c>
      <c r="N25" s="76">
        <f>IF(21&lt;=$C$9,IF($C$16&lt;&gt;"",$C$16,IFERROR(INDEX(tbAtalhos[Forma de pagamento],MATCH($C$6,tbAtalhos[Descrição],0))&amp;"","")),"")</f>
        <v/>
      </c>
      <c r="O25" s="80">
        <f>IF(AND(21&lt;=$C$9,$C$5="Parcelado"),"21/"&amp;$C$9,"")</f>
        <v/>
      </c>
      <c r="P25" s="8" t="n"/>
      <c r="Q25" s="8" t="n"/>
      <c r="R25" s="8" t="n"/>
      <c r="S25" s="8" t="n"/>
      <c r="T25" s="8" t="n"/>
    </row>
    <row r="26" ht="20" customHeight="1">
      <c r="A26" s="8" t="n"/>
      <c r="B26" s="8" t="n"/>
      <c r="C26" s="8" t="n"/>
      <c r="D26" s="8" t="n"/>
      <c r="E26" s="75">
        <f>IF(22&lt;=$C$9,DATE(YEAR($C$10),MONTH($C$10)+21,MIN(DAY($C$10),DAY(EOMONTH(DATE(YEAR($C$10),MONTH($C$10)+21,1),0)))),"")</f>
        <v/>
      </c>
      <c r="F26" s="76">
        <f>IF(22&lt;=$C$9,$C$6,"")</f>
        <v/>
      </c>
      <c r="G26" s="77">
        <f>IF(22&lt;=$C$9,IF($C$5="Repetir todo mês",$C$7,IF($C$8="Total da compra",IF(22&lt;$C$9,ROUND($C$7/$C$9,2),ROUND($C$7-ROUND($C$7/$C$9,2)*($C$9-1),2)),$C$7)),"")</f>
        <v/>
      </c>
      <c r="H26" s="76">
        <f>IF(22&lt;=$C$9,IF($C$11&lt;&gt;"",$C$11,IFERROR(INDEX(tbAtalhos[Tipo],MATCH($C$6,tbAtalhos[Descrição],0))&amp;"","Despesa")),"")</f>
        <v/>
      </c>
      <c r="I26" s="76">
        <f>IF(22&lt;=$C$9,IF($C$12&lt;&gt;"",$C$12,IFERROR(INDEX(tbAtalhos[Categoria],MATCH($C$6,tbAtalhos[Descrição],0))&amp;"","")),"")</f>
        <v/>
      </c>
      <c r="J26" s="76">
        <f>IF(22&lt;=$C$9,IF(AND(22=1,$C$17="sim"),IF(IF($C$11&lt;&gt;"",$C$11,IFERROR(INDEX(tbAtalhos[Tipo],MATCH($C$6,tbAtalhos[Descrição],0))&amp;"","Despesa"))="Receita","Recebido","Pago"),"Pendente"),"")</f>
        <v/>
      </c>
      <c r="K26" s="76">
        <f>IF(22&lt;=$C$9,IF($C$13&lt;&gt;"",$C$13,IFERROR(INDEX(tbAtalhos[Pote],MATCH($C$6,tbAtalhos[Descrição],0))&amp;"","")),"")</f>
        <v/>
      </c>
      <c r="L26" s="76">
        <f>IF(22&lt;=$C$9,IF($C$14&lt;&gt;"",$C$14,IFERROR(INDEX(tbAtalhos[Quem],MATCH($C$6,tbAtalhos[Descrição],0))&amp;"","")),"")</f>
        <v/>
      </c>
      <c r="M26" s="76">
        <f>IF(22&lt;=$C$9,IF($C$15&lt;&gt;"",$C$15,IFERROR(INDEX(tbAtalhos[Conta],MATCH($C$6,tbAtalhos[Descrição],0))&amp;"","")),"")</f>
        <v/>
      </c>
      <c r="N26" s="76">
        <f>IF(22&lt;=$C$9,IF($C$16&lt;&gt;"",$C$16,IFERROR(INDEX(tbAtalhos[Forma de pagamento],MATCH($C$6,tbAtalhos[Descrição],0))&amp;"","")),"")</f>
        <v/>
      </c>
      <c r="O26" s="80">
        <f>IF(AND(22&lt;=$C$9,$C$5="Parcelado"),"22/"&amp;$C$9,"")</f>
        <v/>
      </c>
      <c r="P26" s="8" t="n"/>
      <c r="Q26" s="8" t="n"/>
      <c r="R26" s="8" t="n"/>
      <c r="S26" s="8" t="n"/>
      <c r="T26" s="8" t="n"/>
    </row>
    <row r="27" ht="20" customHeight="1">
      <c r="A27" s="8" t="n"/>
      <c r="B27" s="8" t="n"/>
      <c r="C27" s="8" t="n"/>
      <c r="D27" s="8" t="n"/>
      <c r="E27" s="75">
        <f>IF(23&lt;=$C$9,DATE(YEAR($C$10),MONTH($C$10)+22,MIN(DAY($C$10),DAY(EOMONTH(DATE(YEAR($C$10),MONTH($C$10)+22,1),0)))),"")</f>
        <v/>
      </c>
      <c r="F27" s="76">
        <f>IF(23&lt;=$C$9,$C$6,"")</f>
        <v/>
      </c>
      <c r="G27" s="77">
        <f>IF(23&lt;=$C$9,IF($C$5="Repetir todo mês",$C$7,IF($C$8="Total da compra",IF(23&lt;$C$9,ROUND($C$7/$C$9,2),ROUND($C$7-ROUND($C$7/$C$9,2)*($C$9-1),2)),$C$7)),"")</f>
        <v/>
      </c>
      <c r="H27" s="76">
        <f>IF(23&lt;=$C$9,IF($C$11&lt;&gt;"",$C$11,IFERROR(INDEX(tbAtalhos[Tipo],MATCH($C$6,tbAtalhos[Descrição],0))&amp;"","Despesa")),"")</f>
        <v/>
      </c>
      <c r="I27" s="76">
        <f>IF(23&lt;=$C$9,IF($C$12&lt;&gt;"",$C$12,IFERROR(INDEX(tbAtalhos[Categoria],MATCH($C$6,tbAtalhos[Descrição],0))&amp;"","")),"")</f>
        <v/>
      </c>
      <c r="J27" s="76">
        <f>IF(23&lt;=$C$9,IF(AND(23=1,$C$17="sim"),IF(IF($C$11&lt;&gt;"",$C$11,IFERROR(INDEX(tbAtalhos[Tipo],MATCH($C$6,tbAtalhos[Descrição],0))&amp;"","Despesa"))="Receita","Recebido","Pago"),"Pendente"),"")</f>
        <v/>
      </c>
      <c r="K27" s="76">
        <f>IF(23&lt;=$C$9,IF($C$13&lt;&gt;"",$C$13,IFERROR(INDEX(tbAtalhos[Pote],MATCH($C$6,tbAtalhos[Descrição],0))&amp;"","")),"")</f>
        <v/>
      </c>
      <c r="L27" s="76">
        <f>IF(23&lt;=$C$9,IF($C$14&lt;&gt;"",$C$14,IFERROR(INDEX(tbAtalhos[Quem],MATCH($C$6,tbAtalhos[Descrição],0))&amp;"","")),"")</f>
        <v/>
      </c>
      <c r="M27" s="76">
        <f>IF(23&lt;=$C$9,IF($C$15&lt;&gt;"",$C$15,IFERROR(INDEX(tbAtalhos[Conta],MATCH($C$6,tbAtalhos[Descrição],0))&amp;"","")),"")</f>
        <v/>
      </c>
      <c r="N27" s="76">
        <f>IF(23&lt;=$C$9,IF($C$16&lt;&gt;"",$C$16,IFERROR(INDEX(tbAtalhos[Forma de pagamento],MATCH($C$6,tbAtalhos[Descrição],0))&amp;"","")),"")</f>
        <v/>
      </c>
      <c r="O27" s="80">
        <f>IF(AND(23&lt;=$C$9,$C$5="Parcelado"),"23/"&amp;$C$9,"")</f>
        <v/>
      </c>
      <c r="P27" s="8" t="n"/>
      <c r="Q27" s="8" t="n"/>
      <c r="R27" s="8" t="n"/>
      <c r="S27" s="8" t="n"/>
      <c r="T27" s="8" t="n"/>
    </row>
    <row r="28" ht="20" customHeight="1">
      <c r="A28" s="8" t="n"/>
      <c r="B28" s="8" t="n"/>
      <c r="C28" s="8" t="n"/>
      <c r="D28" s="8" t="n"/>
      <c r="E28" s="75">
        <f>IF(24&lt;=$C$9,DATE(YEAR($C$10),MONTH($C$10)+23,MIN(DAY($C$10),DAY(EOMONTH(DATE(YEAR($C$10),MONTH($C$10)+23,1),0)))),"")</f>
        <v/>
      </c>
      <c r="F28" s="76">
        <f>IF(24&lt;=$C$9,$C$6,"")</f>
        <v/>
      </c>
      <c r="G28" s="77">
        <f>IF(24&lt;=$C$9,IF($C$5="Repetir todo mês",$C$7,IF($C$8="Total da compra",IF(24&lt;$C$9,ROUND($C$7/$C$9,2),ROUND($C$7-ROUND($C$7/$C$9,2)*($C$9-1),2)),$C$7)),"")</f>
        <v/>
      </c>
      <c r="H28" s="76">
        <f>IF(24&lt;=$C$9,IF($C$11&lt;&gt;"",$C$11,IFERROR(INDEX(tbAtalhos[Tipo],MATCH($C$6,tbAtalhos[Descrição],0))&amp;"","Despesa")),"")</f>
        <v/>
      </c>
      <c r="I28" s="76">
        <f>IF(24&lt;=$C$9,IF($C$12&lt;&gt;"",$C$12,IFERROR(INDEX(tbAtalhos[Categoria],MATCH($C$6,tbAtalhos[Descrição],0))&amp;"","")),"")</f>
        <v/>
      </c>
      <c r="J28" s="76">
        <f>IF(24&lt;=$C$9,IF(AND(24=1,$C$17="sim"),IF(IF($C$11&lt;&gt;"",$C$11,IFERROR(INDEX(tbAtalhos[Tipo],MATCH($C$6,tbAtalhos[Descrição],0))&amp;"","Despesa"))="Receita","Recebido","Pago"),"Pendente"),"")</f>
        <v/>
      </c>
      <c r="K28" s="76">
        <f>IF(24&lt;=$C$9,IF($C$13&lt;&gt;"",$C$13,IFERROR(INDEX(tbAtalhos[Pote],MATCH($C$6,tbAtalhos[Descrição],0))&amp;"","")),"")</f>
        <v/>
      </c>
      <c r="L28" s="76">
        <f>IF(24&lt;=$C$9,IF($C$14&lt;&gt;"",$C$14,IFERROR(INDEX(tbAtalhos[Quem],MATCH($C$6,tbAtalhos[Descrição],0))&amp;"","")),"")</f>
        <v/>
      </c>
      <c r="M28" s="76">
        <f>IF(24&lt;=$C$9,IF($C$15&lt;&gt;"",$C$15,IFERROR(INDEX(tbAtalhos[Conta],MATCH($C$6,tbAtalhos[Descrição],0))&amp;"","")),"")</f>
        <v/>
      </c>
      <c r="N28" s="76">
        <f>IF(24&lt;=$C$9,IF($C$16&lt;&gt;"",$C$16,IFERROR(INDEX(tbAtalhos[Forma de pagamento],MATCH($C$6,tbAtalhos[Descrição],0))&amp;"","")),"")</f>
        <v/>
      </c>
      <c r="O28" s="80">
        <f>IF(AND(24&lt;=$C$9,$C$5="Parcelado"),"24/"&amp;$C$9,"")</f>
        <v/>
      </c>
      <c r="P28" s="8" t="n"/>
      <c r="Q28" s="8" t="n"/>
      <c r="R28" s="8" t="n"/>
      <c r="S28" s="8" t="n"/>
      <c r="T28" s="8" t="n"/>
    </row>
    <row r="29" ht="20" customHeight="1">
      <c r="A29" s="8" t="n"/>
      <c r="B29" s="8" t="n"/>
      <c r="C29" s="8" t="n"/>
      <c r="D29" s="8" t="n"/>
      <c r="E29" s="75">
        <f>IF(25&lt;=$C$9,DATE(YEAR($C$10),MONTH($C$10)+24,MIN(DAY($C$10),DAY(EOMONTH(DATE(YEAR($C$10),MONTH($C$10)+24,1),0)))),"")</f>
        <v/>
      </c>
      <c r="F29" s="76">
        <f>IF(25&lt;=$C$9,$C$6,"")</f>
        <v/>
      </c>
      <c r="G29" s="77">
        <f>IF(25&lt;=$C$9,IF($C$5="Repetir todo mês",$C$7,IF($C$8="Total da compra",IF(25&lt;$C$9,ROUND($C$7/$C$9,2),ROUND($C$7-ROUND($C$7/$C$9,2)*($C$9-1),2)),$C$7)),"")</f>
        <v/>
      </c>
      <c r="H29" s="76">
        <f>IF(25&lt;=$C$9,IF($C$11&lt;&gt;"",$C$11,IFERROR(INDEX(tbAtalhos[Tipo],MATCH($C$6,tbAtalhos[Descrição],0))&amp;"","Despesa")),"")</f>
        <v/>
      </c>
      <c r="I29" s="76">
        <f>IF(25&lt;=$C$9,IF($C$12&lt;&gt;"",$C$12,IFERROR(INDEX(tbAtalhos[Categoria],MATCH($C$6,tbAtalhos[Descrição],0))&amp;"","")),"")</f>
        <v/>
      </c>
      <c r="J29" s="76">
        <f>IF(25&lt;=$C$9,IF(AND(25=1,$C$17="sim"),IF(IF($C$11&lt;&gt;"",$C$11,IFERROR(INDEX(tbAtalhos[Tipo],MATCH($C$6,tbAtalhos[Descrição],0))&amp;"","Despesa"))="Receita","Recebido","Pago"),"Pendente"),"")</f>
        <v/>
      </c>
      <c r="K29" s="76">
        <f>IF(25&lt;=$C$9,IF($C$13&lt;&gt;"",$C$13,IFERROR(INDEX(tbAtalhos[Pote],MATCH($C$6,tbAtalhos[Descrição],0))&amp;"","")),"")</f>
        <v/>
      </c>
      <c r="L29" s="76">
        <f>IF(25&lt;=$C$9,IF($C$14&lt;&gt;"",$C$14,IFERROR(INDEX(tbAtalhos[Quem],MATCH($C$6,tbAtalhos[Descrição],0))&amp;"","")),"")</f>
        <v/>
      </c>
      <c r="M29" s="76">
        <f>IF(25&lt;=$C$9,IF($C$15&lt;&gt;"",$C$15,IFERROR(INDEX(tbAtalhos[Conta],MATCH($C$6,tbAtalhos[Descrição],0))&amp;"","")),"")</f>
        <v/>
      </c>
      <c r="N29" s="76">
        <f>IF(25&lt;=$C$9,IF($C$16&lt;&gt;"",$C$16,IFERROR(INDEX(tbAtalhos[Forma de pagamento],MATCH($C$6,tbAtalhos[Descrição],0))&amp;"","")),"")</f>
        <v/>
      </c>
      <c r="O29" s="80">
        <f>IF(AND(25&lt;=$C$9,$C$5="Parcelado"),"25/"&amp;$C$9,"")</f>
        <v/>
      </c>
      <c r="P29" s="8" t="n"/>
      <c r="Q29" s="8" t="n"/>
      <c r="R29" s="8" t="n"/>
      <c r="S29" s="8" t="n"/>
      <c r="T29" s="8" t="n"/>
    </row>
    <row r="30" ht="20" customHeight="1">
      <c r="A30" s="8" t="n"/>
      <c r="B30" s="8" t="n"/>
      <c r="C30" s="8" t="n"/>
      <c r="D30" s="8" t="n"/>
      <c r="E30" s="75">
        <f>IF(26&lt;=$C$9,DATE(YEAR($C$10),MONTH($C$10)+25,MIN(DAY($C$10),DAY(EOMONTH(DATE(YEAR($C$10),MONTH($C$10)+25,1),0)))),"")</f>
        <v/>
      </c>
      <c r="F30" s="76">
        <f>IF(26&lt;=$C$9,$C$6,"")</f>
        <v/>
      </c>
      <c r="G30" s="77">
        <f>IF(26&lt;=$C$9,IF($C$5="Repetir todo mês",$C$7,IF($C$8="Total da compra",IF(26&lt;$C$9,ROUND($C$7/$C$9,2),ROUND($C$7-ROUND($C$7/$C$9,2)*($C$9-1),2)),$C$7)),"")</f>
        <v/>
      </c>
      <c r="H30" s="76">
        <f>IF(26&lt;=$C$9,IF($C$11&lt;&gt;"",$C$11,IFERROR(INDEX(tbAtalhos[Tipo],MATCH($C$6,tbAtalhos[Descrição],0))&amp;"","Despesa")),"")</f>
        <v/>
      </c>
      <c r="I30" s="76">
        <f>IF(26&lt;=$C$9,IF($C$12&lt;&gt;"",$C$12,IFERROR(INDEX(tbAtalhos[Categoria],MATCH($C$6,tbAtalhos[Descrição],0))&amp;"","")),"")</f>
        <v/>
      </c>
      <c r="J30" s="76">
        <f>IF(26&lt;=$C$9,IF(AND(26=1,$C$17="sim"),IF(IF($C$11&lt;&gt;"",$C$11,IFERROR(INDEX(tbAtalhos[Tipo],MATCH($C$6,tbAtalhos[Descrição],0))&amp;"","Despesa"))="Receita","Recebido","Pago"),"Pendente"),"")</f>
        <v/>
      </c>
      <c r="K30" s="76">
        <f>IF(26&lt;=$C$9,IF($C$13&lt;&gt;"",$C$13,IFERROR(INDEX(tbAtalhos[Pote],MATCH($C$6,tbAtalhos[Descrição],0))&amp;"","")),"")</f>
        <v/>
      </c>
      <c r="L30" s="76">
        <f>IF(26&lt;=$C$9,IF($C$14&lt;&gt;"",$C$14,IFERROR(INDEX(tbAtalhos[Quem],MATCH($C$6,tbAtalhos[Descrição],0))&amp;"","")),"")</f>
        <v/>
      </c>
      <c r="M30" s="76">
        <f>IF(26&lt;=$C$9,IF($C$15&lt;&gt;"",$C$15,IFERROR(INDEX(tbAtalhos[Conta],MATCH($C$6,tbAtalhos[Descrição],0))&amp;"","")),"")</f>
        <v/>
      </c>
      <c r="N30" s="76">
        <f>IF(26&lt;=$C$9,IF($C$16&lt;&gt;"",$C$16,IFERROR(INDEX(tbAtalhos[Forma de pagamento],MATCH($C$6,tbAtalhos[Descrição],0))&amp;"","")),"")</f>
        <v/>
      </c>
      <c r="O30" s="80">
        <f>IF(AND(26&lt;=$C$9,$C$5="Parcelado"),"26/"&amp;$C$9,"")</f>
        <v/>
      </c>
      <c r="P30" s="8" t="n"/>
      <c r="Q30" s="8" t="n"/>
      <c r="R30" s="8" t="n"/>
      <c r="S30" s="8" t="n"/>
      <c r="T30" s="8" t="n"/>
    </row>
    <row r="31" ht="20" customHeight="1">
      <c r="A31" s="8" t="n"/>
      <c r="B31" s="8" t="n"/>
      <c r="C31" s="8" t="n"/>
      <c r="D31" s="8" t="n"/>
      <c r="E31" s="75">
        <f>IF(27&lt;=$C$9,DATE(YEAR($C$10),MONTH($C$10)+26,MIN(DAY($C$10),DAY(EOMONTH(DATE(YEAR($C$10),MONTH($C$10)+26,1),0)))),"")</f>
        <v/>
      </c>
      <c r="F31" s="76">
        <f>IF(27&lt;=$C$9,$C$6,"")</f>
        <v/>
      </c>
      <c r="G31" s="77">
        <f>IF(27&lt;=$C$9,IF($C$5="Repetir todo mês",$C$7,IF($C$8="Total da compra",IF(27&lt;$C$9,ROUND($C$7/$C$9,2),ROUND($C$7-ROUND($C$7/$C$9,2)*($C$9-1),2)),$C$7)),"")</f>
        <v/>
      </c>
      <c r="H31" s="76">
        <f>IF(27&lt;=$C$9,IF($C$11&lt;&gt;"",$C$11,IFERROR(INDEX(tbAtalhos[Tipo],MATCH($C$6,tbAtalhos[Descrição],0))&amp;"","Despesa")),"")</f>
        <v/>
      </c>
      <c r="I31" s="76">
        <f>IF(27&lt;=$C$9,IF($C$12&lt;&gt;"",$C$12,IFERROR(INDEX(tbAtalhos[Categoria],MATCH($C$6,tbAtalhos[Descrição],0))&amp;"","")),"")</f>
        <v/>
      </c>
      <c r="J31" s="76">
        <f>IF(27&lt;=$C$9,IF(AND(27=1,$C$17="sim"),IF(IF($C$11&lt;&gt;"",$C$11,IFERROR(INDEX(tbAtalhos[Tipo],MATCH($C$6,tbAtalhos[Descrição],0))&amp;"","Despesa"))="Receita","Recebido","Pago"),"Pendente"),"")</f>
        <v/>
      </c>
      <c r="K31" s="76">
        <f>IF(27&lt;=$C$9,IF($C$13&lt;&gt;"",$C$13,IFERROR(INDEX(tbAtalhos[Pote],MATCH($C$6,tbAtalhos[Descrição],0))&amp;"","")),"")</f>
        <v/>
      </c>
      <c r="L31" s="76">
        <f>IF(27&lt;=$C$9,IF($C$14&lt;&gt;"",$C$14,IFERROR(INDEX(tbAtalhos[Quem],MATCH($C$6,tbAtalhos[Descrição],0))&amp;"","")),"")</f>
        <v/>
      </c>
      <c r="M31" s="76">
        <f>IF(27&lt;=$C$9,IF($C$15&lt;&gt;"",$C$15,IFERROR(INDEX(tbAtalhos[Conta],MATCH($C$6,tbAtalhos[Descrição],0))&amp;"","")),"")</f>
        <v/>
      </c>
      <c r="N31" s="76">
        <f>IF(27&lt;=$C$9,IF($C$16&lt;&gt;"",$C$16,IFERROR(INDEX(tbAtalhos[Forma de pagamento],MATCH($C$6,tbAtalhos[Descrição],0))&amp;"","")),"")</f>
        <v/>
      </c>
      <c r="O31" s="80">
        <f>IF(AND(27&lt;=$C$9,$C$5="Parcelado"),"27/"&amp;$C$9,"")</f>
        <v/>
      </c>
      <c r="P31" s="8" t="n"/>
      <c r="Q31" s="8" t="n"/>
      <c r="R31" s="8" t="n"/>
      <c r="S31" s="8" t="n"/>
      <c r="T31" s="8" t="n"/>
    </row>
    <row r="32" ht="20" customHeight="1">
      <c r="A32" s="8" t="n"/>
      <c r="B32" s="8" t="n"/>
      <c r="C32" s="8" t="n"/>
      <c r="D32" s="8" t="n"/>
      <c r="E32" s="75">
        <f>IF(28&lt;=$C$9,DATE(YEAR($C$10),MONTH($C$10)+27,MIN(DAY($C$10),DAY(EOMONTH(DATE(YEAR($C$10),MONTH($C$10)+27,1),0)))),"")</f>
        <v/>
      </c>
      <c r="F32" s="76">
        <f>IF(28&lt;=$C$9,$C$6,"")</f>
        <v/>
      </c>
      <c r="G32" s="77">
        <f>IF(28&lt;=$C$9,IF($C$5="Repetir todo mês",$C$7,IF($C$8="Total da compra",IF(28&lt;$C$9,ROUND($C$7/$C$9,2),ROUND($C$7-ROUND($C$7/$C$9,2)*($C$9-1),2)),$C$7)),"")</f>
        <v/>
      </c>
      <c r="H32" s="76">
        <f>IF(28&lt;=$C$9,IF($C$11&lt;&gt;"",$C$11,IFERROR(INDEX(tbAtalhos[Tipo],MATCH($C$6,tbAtalhos[Descrição],0))&amp;"","Despesa")),"")</f>
        <v/>
      </c>
      <c r="I32" s="76">
        <f>IF(28&lt;=$C$9,IF($C$12&lt;&gt;"",$C$12,IFERROR(INDEX(tbAtalhos[Categoria],MATCH($C$6,tbAtalhos[Descrição],0))&amp;"","")),"")</f>
        <v/>
      </c>
      <c r="J32" s="76">
        <f>IF(28&lt;=$C$9,IF(AND(28=1,$C$17="sim"),IF(IF($C$11&lt;&gt;"",$C$11,IFERROR(INDEX(tbAtalhos[Tipo],MATCH($C$6,tbAtalhos[Descrição],0))&amp;"","Despesa"))="Receita","Recebido","Pago"),"Pendente"),"")</f>
        <v/>
      </c>
      <c r="K32" s="76">
        <f>IF(28&lt;=$C$9,IF($C$13&lt;&gt;"",$C$13,IFERROR(INDEX(tbAtalhos[Pote],MATCH($C$6,tbAtalhos[Descrição],0))&amp;"","")),"")</f>
        <v/>
      </c>
      <c r="L32" s="76">
        <f>IF(28&lt;=$C$9,IF($C$14&lt;&gt;"",$C$14,IFERROR(INDEX(tbAtalhos[Quem],MATCH($C$6,tbAtalhos[Descrição],0))&amp;"","")),"")</f>
        <v/>
      </c>
      <c r="M32" s="76">
        <f>IF(28&lt;=$C$9,IF($C$15&lt;&gt;"",$C$15,IFERROR(INDEX(tbAtalhos[Conta],MATCH($C$6,tbAtalhos[Descrição],0))&amp;"","")),"")</f>
        <v/>
      </c>
      <c r="N32" s="76">
        <f>IF(28&lt;=$C$9,IF($C$16&lt;&gt;"",$C$16,IFERROR(INDEX(tbAtalhos[Forma de pagamento],MATCH($C$6,tbAtalhos[Descrição],0))&amp;"","")),"")</f>
        <v/>
      </c>
      <c r="O32" s="80">
        <f>IF(AND(28&lt;=$C$9,$C$5="Parcelado"),"28/"&amp;$C$9,"")</f>
        <v/>
      </c>
      <c r="P32" s="8" t="n"/>
      <c r="Q32" s="8" t="n"/>
      <c r="R32" s="8" t="n"/>
      <c r="S32" s="8" t="n"/>
      <c r="T32" s="8" t="n"/>
    </row>
    <row r="33" ht="20" customHeight="1">
      <c r="A33" s="8" t="n"/>
      <c r="B33" s="8" t="n"/>
      <c r="C33" s="8" t="n"/>
      <c r="D33" s="8" t="n"/>
      <c r="E33" s="75">
        <f>IF(29&lt;=$C$9,DATE(YEAR($C$10),MONTH($C$10)+28,MIN(DAY($C$10),DAY(EOMONTH(DATE(YEAR($C$10),MONTH($C$10)+28,1),0)))),"")</f>
        <v/>
      </c>
      <c r="F33" s="76">
        <f>IF(29&lt;=$C$9,$C$6,"")</f>
        <v/>
      </c>
      <c r="G33" s="77">
        <f>IF(29&lt;=$C$9,IF($C$5="Repetir todo mês",$C$7,IF($C$8="Total da compra",IF(29&lt;$C$9,ROUND($C$7/$C$9,2),ROUND($C$7-ROUND($C$7/$C$9,2)*($C$9-1),2)),$C$7)),"")</f>
        <v/>
      </c>
      <c r="H33" s="76">
        <f>IF(29&lt;=$C$9,IF($C$11&lt;&gt;"",$C$11,IFERROR(INDEX(tbAtalhos[Tipo],MATCH($C$6,tbAtalhos[Descrição],0))&amp;"","Despesa")),"")</f>
        <v/>
      </c>
      <c r="I33" s="76">
        <f>IF(29&lt;=$C$9,IF($C$12&lt;&gt;"",$C$12,IFERROR(INDEX(tbAtalhos[Categoria],MATCH($C$6,tbAtalhos[Descrição],0))&amp;"","")),"")</f>
        <v/>
      </c>
      <c r="J33" s="76">
        <f>IF(29&lt;=$C$9,IF(AND(29=1,$C$17="sim"),IF(IF($C$11&lt;&gt;"",$C$11,IFERROR(INDEX(tbAtalhos[Tipo],MATCH($C$6,tbAtalhos[Descrição],0))&amp;"","Despesa"))="Receita","Recebido","Pago"),"Pendente"),"")</f>
        <v/>
      </c>
      <c r="K33" s="76">
        <f>IF(29&lt;=$C$9,IF($C$13&lt;&gt;"",$C$13,IFERROR(INDEX(tbAtalhos[Pote],MATCH($C$6,tbAtalhos[Descrição],0))&amp;"","")),"")</f>
        <v/>
      </c>
      <c r="L33" s="76">
        <f>IF(29&lt;=$C$9,IF($C$14&lt;&gt;"",$C$14,IFERROR(INDEX(tbAtalhos[Quem],MATCH($C$6,tbAtalhos[Descrição],0))&amp;"","")),"")</f>
        <v/>
      </c>
      <c r="M33" s="76">
        <f>IF(29&lt;=$C$9,IF($C$15&lt;&gt;"",$C$15,IFERROR(INDEX(tbAtalhos[Conta],MATCH($C$6,tbAtalhos[Descrição],0))&amp;"","")),"")</f>
        <v/>
      </c>
      <c r="N33" s="76">
        <f>IF(29&lt;=$C$9,IF($C$16&lt;&gt;"",$C$16,IFERROR(INDEX(tbAtalhos[Forma de pagamento],MATCH($C$6,tbAtalhos[Descrição],0))&amp;"","")),"")</f>
        <v/>
      </c>
      <c r="O33" s="80">
        <f>IF(AND(29&lt;=$C$9,$C$5="Parcelado"),"29/"&amp;$C$9,"")</f>
        <v/>
      </c>
      <c r="P33" s="8" t="n"/>
      <c r="Q33" s="8" t="n"/>
      <c r="R33" s="8" t="n"/>
      <c r="S33" s="8" t="n"/>
      <c r="T33" s="8" t="n"/>
    </row>
    <row r="34" ht="20" customHeight="1">
      <c r="A34" s="8" t="n"/>
      <c r="B34" s="8" t="n"/>
      <c r="C34" s="8" t="n"/>
      <c r="D34" s="8" t="n"/>
      <c r="E34" s="75">
        <f>IF(30&lt;=$C$9,DATE(YEAR($C$10),MONTH($C$10)+29,MIN(DAY($C$10),DAY(EOMONTH(DATE(YEAR($C$10),MONTH($C$10)+29,1),0)))),"")</f>
        <v/>
      </c>
      <c r="F34" s="76">
        <f>IF(30&lt;=$C$9,$C$6,"")</f>
        <v/>
      </c>
      <c r="G34" s="77">
        <f>IF(30&lt;=$C$9,IF($C$5="Repetir todo mês",$C$7,IF($C$8="Total da compra",IF(30&lt;$C$9,ROUND($C$7/$C$9,2),ROUND($C$7-ROUND($C$7/$C$9,2)*($C$9-1),2)),$C$7)),"")</f>
        <v/>
      </c>
      <c r="H34" s="76">
        <f>IF(30&lt;=$C$9,IF($C$11&lt;&gt;"",$C$11,IFERROR(INDEX(tbAtalhos[Tipo],MATCH($C$6,tbAtalhos[Descrição],0))&amp;"","Despesa")),"")</f>
        <v/>
      </c>
      <c r="I34" s="76">
        <f>IF(30&lt;=$C$9,IF($C$12&lt;&gt;"",$C$12,IFERROR(INDEX(tbAtalhos[Categoria],MATCH($C$6,tbAtalhos[Descrição],0))&amp;"","")),"")</f>
        <v/>
      </c>
      <c r="J34" s="76">
        <f>IF(30&lt;=$C$9,IF(AND(30=1,$C$17="sim"),IF(IF($C$11&lt;&gt;"",$C$11,IFERROR(INDEX(tbAtalhos[Tipo],MATCH($C$6,tbAtalhos[Descrição],0))&amp;"","Despesa"))="Receita","Recebido","Pago"),"Pendente"),"")</f>
        <v/>
      </c>
      <c r="K34" s="76">
        <f>IF(30&lt;=$C$9,IF($C$13&lt;&gt;"",$C$13,IFERROR(INDEX(tbAtalhos[Pote],MATCH($C$6,tbAtalhos[Descrição],0))&amp;"","")),"")</f>
        <v/>
      </c>
      <c r="L34" s="76">
        <f>IF(30&lt;=$C$9,IF($C$14&lt;&gt;"",$C$14,IFERROR(INDEX(tbAtalhos[Quem],MATCH($C$6,tbAtalhos[Descrição],0))&amp;"","")),"")</f>
        <v/>
      </c>
      <c r="M34" s="76">
        <f>IF(30&lt;=$C$9,IF($C$15&lt;&gt;"",$C$15,IFERROR(INDEX(tbAtalhos[Conta],MATCH($C$6,tbAtalhos[Descrição],0))&amp;"","")),"")</f>
        <v/>
      </c>
      <c r="N34" s="76">
        <f>IF(30&lt;=$C$9,IF($C$16&lt;&gt;"",$C$16,IFERROR(INDEX(tbAtalhos[Forma de pagamento],MATCH($C$6,tbAtalhos[Descrição],0))&amp;"","")),"")</f>
        <v/>
      </c>
      <c r="O34" s="80">
        <f>IF(AND(30&lt;=$C$9,$C$5="Parcelado"),"30/"&amp;$C$9,"")</f>
        <v/>
      </c>
      <c r="P34" s="8" t="n"/>
      <c r="Q34" s="8" t="n"/>
      <c r="R34" s="8" t="n"/>
      <c r="S34" s="8" t="n"/>
      <c r="T34" s="8" t="n"/>
    </row>
    <row r="35" ht="20" customHeight="1">
      <c r="A35" s="8" t="n"/>
      <c r="B35" s="8" t="n"/>
      <c r="C35" s="8" t="n"/>
      <c r="D35" s="8" t="n"/>
      <c r="E35" s="75">
        <f>IF(31&lt;=$C$9,DATE(YEAR($C$10),MONTH($C$10)+30,MIN(DAY($C$10),DAY(EOMONTH(DATE(YEAR($C$10),MONTH($C$10)+30,1),0)))),"")</f>
        <v/>
      </c>
      <c r="F35" s="76">
        <f>IF(31&lt;=$C$9,$C$6,"")</f>
        <v/>
      </c>
      <c r="G35" s="77">
        <f>IF(31&lt;=$C$9,IF($C$5="Repetir todo mês",$C$7,IF($C$8="Total da compra",IF(31&lt;$C$9,ROUND($C$7/$C$9,2),ROUND($C$7-ROUND($C$7/$C$9,2)*($C$9-1),2)),$C$7)),"")</f>
        <v/>
      </c>
      <c r="H35" s="76">
        <f>IF(31&lt;=$C$9,IF($C$11&lt;&gt;"",$C$11,IFERROR(INDEX(tbAtalhos[Tipo],MATCH($C$6,tbAtalhos[Descrição],0))&amp;"","Despesa")),"")</f>
        <v/>
      </c>
      <c r="I35" s="76">
        <f>IF(31&lt;=$C$9,IF($C$12&lt;&gt;"",$C$12,IFERROR(INDEX(tbAtalhos[Categoria],MATCH($C$6,tbAtalhos[Descrição],0))&amp;"","")),"")</f>
        <v/>
      </c>
      <c r="J35" s="76">
        <f>IF(31&lt;=$C$9,IF(AND(31=1,$C$17="sim"),IF(IF($C$11&lt;&gt;"",$C$11,IFERROR(INDEX(tbAtalhos[Tipo],MATCH($C$6,tbAtalhos[Descrição],0))&amp;"","Despesa"))="Receita","Recebido","Pago"),"Pendente"),"")</f>
        <v/>
      </c>
      <c r="K35" s="76">
        <f>IF(31&lt;=$C$9,IF($C$13&lt;&gt;"",$C$13,IFERROR(INDEX(tbAtalhos[Pote],MATCH($C$6,tbAtalhos[Descrição],0))&amp;"","")),"")</f>
        <v/>
      </c>
      <c r="L35" s="76">
        <f>IF(31&lt;=$C$9,IF($C$14&lt;&gt;"",$C$14,IFERROR(INDEX(tbAtalhos[Quem],MATCH($C$6,tbAtalhos[Descrição],0))&amp;"","")),"")</f>
        <v/>
      </c>
      <c r="M35" s="76">
        <f>IF(31&lt;=$C$9,IF($C$15&lt;&gt;"",$C$15,IFERROR(INDEX(tbAtalhos[Conta],MATCH($C$6,tbAtalhos[Descrição],0))&amp;"","")),"")</f>
        <v/>
      </c>
      <c r="N35" s="76">
        <f>IF(31&lt;=$C$9,IF($C$16&lt;&gt;"",$C$16,IFERROR(INDEX(tbAtalhos[Forma de pagamento],MATCH($C$6,tbAtalhos[Descrição],0))&amp;"","")),"")</f>
        <v/>
      </c>
      <c r="O35" s="80">
        <f>IF(AND(31&lt;=$C$9,$C$5="Parcelado"),"31/"&amp;$C$9,"")</f>
        <v/>
      </c>
      <c r="P35" s="8" t="n"/>
      <c r="Q35" s="8" t="n"/>
      <c r="R35" s="8" t="n"/>
      <c r="S35" s="8" t="n"/>
      <c r="T35" s="8" t="n"/>
    </row>
    <row r="36" ht="20" customHeight="1">
      <c r="A36" s="8" t="n"/>
      <c r="B36" s="8" t="n"/>
      <c r="C36" s="8" t="n"/>
      <c r="D36" s="8" t="n"/>
      <c r="E36" s="75">
        <f>IF(32&lt;=$C$9,DATE(YEAR($C$10),MONTH($C$10)+31,MIN(DAY($C$10),DAY(EOMONTH(DATE(YEAR($C$10),MONTH($C$10)+31,1),0)))),"")</f>
        <v/>
      </c>
      <c r="F36" s="76">
        <f>IF(32&lt;=$C$9,$C$6,"")</f>
        <v/>
      </c>
      <c r="G36" s="77">
        <f>IF(32&lt;=$C$9,IF($C$5="Repetir todo mês",$C$7,IF($C$8="Total da compra",IF(32&lt;$C$9,ROUND($C$7/$C$9,2),ROUND($C$7-ROUND($C$7/$C$9,2)*($C$9-1),2)),$C$7)),"")</f>
        <v/>
      </c>
      <c r="H36" s="76">
        <f>IF(32&lt;=$C$9,IF($C$11&lt;&gt;"",$C$11,IFERROR(INDEX(tbAtalhos[Tipo],MATCH($C$6,tbAtalhos[Descrição],0))&amp;"","Despesa")),"")</f>
        <v/>
      </c>
      <c r="I36" s="76">
        <f>IF(32&lt;=$C$9,IF($C$12&lt;&gt;"",$C$12,IFERROR(INDEX(tbAtalhos[Categoria],MATCH($C$6,tbAtalhos[Descrição],0))&amp;"","")),"")</f>
        <v/>
      </c>
      <c r="J36" s="76">
        <f>IF(32&lt;=$C$9,IF(AND(32=1,$C$17="sim"),IF(IF($C$11&lt;&gt;"",$C$11,IFERROR(INDEX(tbAtalhos[Tipo],MATCH($C$6,tbAtalhos[Descrição],0))&amp;"","Despesa"))="Receita","Recebido","Pago"),"Pendente"),"")</f>
        <v/>
      </c>
      <c r="K36" s="76">
        <f>IF(32&lt;=$C$9,IF($C$13&lt;&gt;"",$C$13,IFERROR(INDEX(tbAtalhos[Pote],MATCH($C$6,tbAtalhos[Descrição],0))&amp;"","")),"")</f>
        <v/>
      </c>
      <c r="L36" s="76">
        <f>IF(32&lt;=$C$9,IF($C$14&lt;&gt;"",$C$14,IFERROR(INDEX(tbAtalhos[Quem],MATCH($C$6,tbAtalhos[Descrição],0))&amp;"","")),"")</f>
        <v/>
      </c>
      <c r="M36" s="76">
        <f>IF(32&lt;=$C$9,IF($C$15&lt;&gt;"",$C$15,IFERROR(INDEX(tbAtalhos[Conta],MATCH($C$6,tbAtalhos[Descrição],0))&amp;"","")),"")</f>
        <v/>
      </c>
      <c r="N36" s="76">
        <f>IF(32&lt;=$C$9,IF($C$16&lt;&gt;"",$C$16,IFERROR(INDEX(tbAtalhos[Forma de pagamento],MATCH($C$6,tbAtalhos[Descrição],0))&amp;"","")),"")</f>
        <v/>
      </c>
      <c r="O36" s="80">
        <f>IF(AND(32&lt;=$C$9,$C$5="Parcelado"),"32/"&amp;$C$9,"")</f>
        <v/>
      </c>
      <c r="P36" s="8" t="n"/>
      <c r="Q36" s="8" t="n"/>
      <c r="R36" s="8" t="n"/>
      <c r="S36" s="8" t="n"/>
      <c r="T36" s="8" t="n"/>
    </row>
    <row r="37" ht="20" customHeight="1">
      <c r="A37" s="8" t="n"/>
      <c r="B37" s="8" t="n"/>
      <c r="C37" s="8" t="n"/>
      <c r="D37" s="8" t="n"/>
      <c r="E37" s="75">
        <f>IF(33&lt;=$C$9,DATE(YEAR($C$10),MONTH($C$10)+32,MIN(DAY($C$10),DAY(EOMONTH(DATE(YEAR($C$10),MONTH($C$10)+32,1),0)))),"")</f>
        <v/>
      </c>
      <c r="F37" s="76">
        <f>IF(33&lt;=$C$9,$C$6,"")</f>
        <v/>
      </c>
      <c r="G37" s="77">
        <f>IF(33&lt;=$C$9,IF($C$5="Repetir todo mês",$C$7,IF($C$8="Total da compra",IF(33&lt;$C$9,ROUND($C$7/$C$9,2),ROUND($C$7-ROUND($C$7/$C$9,2)*($C$9-1),2)),$C$7)),"")</f>
        <v/>
      </c>
      <c r="H37" s="76">
        <f>IF(33&lt;=$C$9,IF($C$11&lt;&gt;"",$C$11,IFERROR(INDEX(tbAtalhos[Tipo],MATCH($C$6,tbAtalhos[Descrição],0))&amp;"","Despesa")),"")</f>
        <v/>
      </c>
      <c r="I37" s="76">
        <f>IF(33&lt;=$C$9,IF($C$12&lt;&gt;"",$C$12,IFERROR(INDEX(tbAtalhos[Categoria],MATCH($C$6,tbAtalhos[Descrição],0))&amp;"","")),"")</f>
        <v/>
      </c>
      <c r="J37" s="76">
        <f>IF(33&lt;=$C$9,IF(AND(33=1,$C$17="sim"),IF(IF($C$11&lt;&gt;"",$C$11,IFERROR(INDEX(tbAtalhos[Tipo],MATCH($C$6,tbAtalhos[Descrição],0))&amp;"","Despesa"))="Receita","Recebido","Pago"),"Pendente"),"")</f>
        <v/>
      </c>
      <c r="K37" s="76">
        <f>IF(33&lt;=$C$9,IF($C$13&lt;&gt;"",$C$13,IFERROR(INDEX(tbAtalhos[Pote],MATCH($C$6,tbAtalhos[Descrição],0))&amp;"","")),"")</f>
        <v/>
      </c>
      <c r="L37" s="76">
        <f>IF(33&lt;=$C$9,IF($C$14&lt;&gt;"",$C$14,IFERROR(INDEX(tbAtalhos[Quem],MATCH($C$6,tbAtalhos[Descrição],0))&amp;"","")),"")</f>
        <v/>
      </c>
      <c r="M37" s="76">
        <f>IF(33&lt;=$C$9,IF($C$15&lt;&gt;"",$C$15,IFERROR(INDEX(tbAtalhos[Conta],MATCH($C$6,tbAtalhos[Descrição],0))&amp;"","")),"")</f>
        <v/>
      </c>
      <c r="N37" s="76">
        <f>IF(33&lt;=$C$9,IF($C$16&lt;&gt;"",$C$16,IFERROR(INDEX(tbAtalhos[Forma de pagamento],MATCH($C$6,tbAtalhos[Descrição],0))&amp;"","")),"")</f>
        <v/>
      </c>
      <c r="O37" s="80">
        <f>IF(AND(33&lt;=$C$9,$C$5="Parcelado"),"33/"&amp;$C$9,"")</f>
        <v/>
      </c>
      <c r="P37" s="8" t="n"/>
      <c r="Q37" s="8" t="n"/>
      <c r="R37" s="8" t="n"/>
      <c r="S37" s="8" t="n"/>
      <c r="T37" s="8" t="n"/>
    </row>
    <row r="38" ht="20" customHeight="1">
      <c r="A38" s="8" t="n"/>
      <c r="B38" s="8" t="n"/>
      <c r="C38" s="8" t="n"/>
      <c r="D38" s="8" t="n"/>
      <c r="E38" s="75">
        <f>IF(34&lt;=$C$9,DATE(YEAR($C$10),MONTH($C$10)+33,MIN(DAY($C$10),DAY(EOMONTH(DATE(YEAR($C$10),MONTH($C$10)+33,1),0)))),"")</f>
        <v/>
      </c>
      <c r="F38" s="76">
        <f>IF(34&lt;=$C$9,$C$6,"")</f>
        <v/>
      </c>
      <c r="G38" s="77">
        <f>IF(34&lt;=$C$9,IF($C$5="Repetir todo mês",$C$7,IF($C$8="Total da compra",IF(34&lt;$C$9,ROUND($C$7/$C$9,2),ROUND($C$7-ROUND($C$7/$C$9,2)*($C$9-1),2)),$C$7)),"")</f>
        <v/>
      </c>
      <c r="H38" s="76">
        <f>IF(34&lt;=$C$9,IF($C$11&lt;&gt;"",$C$11,IFERROR(INDEX(tbAtalhos[Tipo],MATCH($C$6,tbAtalhos[Descrição],0))&amp;"","Despesa")),"")</f>
        <v/>
      </c>
      <c r="I38" s="76">
        <f>IF(34&lt;=$C$9,IF($C$12&lt;&gt;"",$C$12,IFERROR(INDEX(tbAtalhos[Categoria],MATCH($C$6,tbAtalhos[Descrição],0))&amp;"","")),"")</f>
        <v/>
      </c>
      <c r="J38" s="76">
        <f>IF(34&lt;=$C$9,IF(AND(34=1,$C$17="sim"),IF(IF($C$11&lt;&gt;"",$C$11,IFERROR(INDEX(tbAtalhos[Tipo],MATCH($C$6,tbAtalhos[Descrição],0))&amp;"","Despesa"))="Receita","Recebido","Pago"),"Pendente"),"")</f>
        <v/>
      </c>
      <c r="K38" s="76">
        <f>IF(34&lt;=$C$9,IF($C$13&lt;&gt;"",$C$13,IFERROR(INDEX(tbAtalhos[Pote],MATCH($C$6,tbAtalhos[Descrição],0))&amp;"","")),"")</f>
        <v/>
      </c>
      <c r="L38" s="76">
        <f>IF(34&lt;=$C$9,IF($C$14&lt;&gt;"",$C$14,IFERROR(INDEX(tbAtalhos[Quem],MATCH($C$6,tbAtalhos[Descrição],0))&amp;"","")),"")</f>
        <v/>
      </c>
      <c r="M38" s="76">
        <f>IF(34&lt;=$C$9,IF($C$15&lt;&gt;"",$C$15,IFERROR(INDEX(tbAtalhos[Conta],MATCH($C$6,tbAtalhos[Descrição],0))&amp;"","")),"")</f>
        <v/>
      </c>
      <c r="N38" s="76">
        <f>IF(34&lt;=$C$9,IF($C$16&lt;&gt;"",$C$16,IFERROR(INDEX(tbAtalhos[Forma de pagamento],MATCH($C$6,tbAtalhos[Descrição],0))&amp;"","")),"")</f>
        <v/>
      </c>
      <c r="O38" s="80">
        <f>IF(AND(34&lt;=$C$9,$C$5="Parcelado"),"34/"&amp;$C$9,"")</f>
        <v/>
      </c>
      <c r="P38" s="8" t="n"/>
      <c r="Q38" s="8" t="n"/>
      <c r="R38" s="8" t="n"/>
      <c r="S38" s="8" t="n"/>
      <c r="T38" s="8" t="n"/>
    </row>
    <row r="39" ht="20" customHeight="1">
      <c r="A39" s="8" t="n"/>
      <c r="B39" s="8" t="n"/>
      <c r="C39" s="8" t="n"/>
      <c r="D39" s="8" t="n"/>
      <c r="E39" s="75">
        <f>IF(35&lt;=$C$9,DATE(YEAR($C$10),MONTH($C$10)+34,MIN(DAY($C$10),DAY(EOMONTH(DATE(YEAR($C$10),MONTH($C$10)+34,1),0)))),"")</f>
        <v/>
      </c>
      <c r="F39" s="76">
        <f>IF(35&lt;=$C$9,$C$6,"")</f>
        <v/>
      </c>
      <c r="G39" s="77">
        <f>IF(35&lt;=$C$9,IF($C$5="Repetir todo mês",$C$7,IF($C$8="Total da compra",IF(35&lt;$C$9,ROUND($C$7/$C$9,2),ROUND($C$7-ROUND($C$7/$C$9,2)*($C$9-1),2)),$C$7)),"")</f>
        <v/>
      </c>
      <c r="H39" s="76">
        <f>IF(35&lt;=$C$9,IF($C$11&lt;&gt;"",$C$11,IFERROR(INDEX(tbAtalhos[Tipo],MATCH($C$6,tbAtalhos[Descrição],0))&amp;"","Despesa")),"")</f>
        <v/>
      </c>
      <c r="I39" s="76">
        <f>IF(35&lt;=$C$9,IF($C$12&lt;&gt;"",$C$12,IFERROR(INDEX(tbAtalhos[Categoria],MATCH($C$6,tbAtalhos[Descrição],0))&amp;"","")),"")</f>
        <v/>
      </c>
      <c r="J39" s="76">
        <f>IF(35&lt;=$C$9,IF(AND(35=1,$C$17="sim"),IF(IF($C$11&lt;&gt;"",$C$11,IFERROR(INDEX(tbAtalhos[Tipo],MATCH($C$6,tbAtalhos[Descrição],0))&amp;"","Despesa"))="Receita","Recebido","Pago"),"Pendente"),"")</f>
        <v/>
      </c>
      <c r="K39" s="76">
        <f>IF(35&lt;=$C$9,IF($C$13&lt;&gt;"",$C$13,IFERROR(INDEX(tbAtalhos[Pote],MATCH($C$6,tbAtalhos[Descrição],0))&amp;"","")),"")</f>
        <v/>
      </c>
      <c r="L39" s="76">
        <f>IF(35&lt;=$C$9,IF($C$14&lt;&gt;"",$C$14,IFERROR(INDEX(tbAtalhos[Quem],MATCH($C$6,tbAtalhos[Descrição],0))&amp;"","")),"")</f>
        <v/>
      </c>
      <c r="M39" s="76">
        <f>IF(35&lt;=$C$9,IF($C$15&lt;&gt;"",$C$15,IFERROR(INDEX(tbAtalhos[Conta],MATCH($C$6,tbAtalhos[Descrição],0))&amp;"","")),"")</f>
        <v/>
      </c>
      <c r="N39" s="76">
        <f>IF(35&lt;=$C$9,IF($C$16&lt;&gt;"",$C$16,IFERROR(INDEX(tbAtalhos[Forma de pagamento],MATCH($C$6,tbAtalhos[Descrição],0))&amp;"","")),"")</f>
        <v/>
      </c>
      <c r="O39" s="80">
        <f>IF(AND(35&lt;=$C$9,$C$5="Parcelado"),"35/"&amp;$C$9,"")</f>
        <v/>
      </c>
      <c r="P39" s="8" t="n"/>
      <c r="Q39" s="8" t="n"/>
      <c r="R39" s="8" t="n"/>
      <c r="S39" s="8" t="n"/>
      <c r="T39" s="8" t="n"/>
    </row>
    <row r="40" ht="20" customHeight="1">
      <c r="A40" s="8" t="n"/>
      <c r="B40" s="8" t="n"/>
      <c r="C40" s="8" t="n"/>
      <c r="D40" s="8" t="n"/>
      <c r="E40" s="75">
        <f>IF(36&lt;=$C$9,DATE(YEAR($C$10),MONTH($C$10)+35,MIN(DAY($C$10),DAY(EOMONTH(DATE(YEAR($C$10),MONTH($C$10)+35,1),0)))),"")</f>
        <v/>
      </c>
      <c r="F40" s="76">
        <f>IF(36&lt;=$C$9,$C$6,"")</f>
        <v/>
      </c>
      <c r="G40" s="77">
        <f>IF(36&lt;=$C$9,IF($C$5="Repetir todo mês",$C$7,IF($C$8="Total da compra",IF(36&lt;$C$9,ROUND($C$7/$C$9,2),ROUND($C$7-ROUND($C$7/$C$9,2)*($C$9-1),2)),$C$7)),"")</f>
        <v/>
      </c>
      <c r="H40" s="76">
        <f>IF(36&lt;=$C$9,IF($C$11&lt;&gt;"",$C$11,IFERROR(INDEX(tbAtalhos[Tipo],MATCH($C$6,tbAtalhos[Descrição],0))&amp;"","Despesa")),"")</f>
        <v/>
      </c>
      <c r="I40" s="76">
        <f>IF(36&lt;=$C$9,IF($C$12&lt;&gt;"",$C$12,IFERROR(INDEX(tbAtalhos[Categoria],MATCH($C$6,tbAtalhos[Descrição],0))&amp;"","")),"")</f>
        <v/>
      </c>
      <c r="J40" s="76">
        <f>IF(36&lt;=$C$9,IF(AND(36=1,$C$17="sim"),IF(IF($C$11&lt;&gt;"",$C$11,IFERROR(INDEX(tbAtalhos[Tipo],MATCH($C$6,tbAtalhos[Descrição],0))&amp;"","Despesa"))="Receita","Recebido","Pago"),"Pendente"),"")</f>
        <v/>
      </c>
      <c r="K40" s="76">
        <f>IF(36&lt;=$C$9,IF($C$13&lt;&gt;"",$C$13,IFERROR(INDEX(tbAtalhos[Pote],MATCH($C$6,tbAtalhos[Descrição],0))&amp;"","")),"")</f>
        <v/>
      </c>
      <c r="L40" s="76">
        <f>IF(36&lt;=$C$9,IF($C$14&lt;&gt;"",$C$14,IFERROR(INDEX(tbAtalhos[Quem],MATCH($C$6,tbAtalhos[Descrição],0))&amp;"","")),"")</f>
        <v/>
      </c>
      <c r="M40" s="76">
        <f>IF(36&lt;=$C$9,IF($C$15&lt;&gt;"",$C$15,IFERROR(INDEX(tbAtalhos[Conta],MATCH($C$6,tbAtalhos[Descrição],0))&amp;"","")),"")</f>
        <v/>
      </c>
      <c r="N40" s="76">
        <f>IF(36&lt;=$C$9,IF($C$16&lt;&gt;"",$C$16,IFERROR(INDEX(tbAtalhos[Forma de pagamento],MATCH($C$6,tbAtalhos[Descrição],0))&amp;"","")),"")</f>
        <v/>
      </c>
      <c r="O40" s="80">
        <f>IF(AND(36&lt;=$C$9,$C$5="Parcelado"),"36/"&amp;$C$9,"")</f>
        <v/>
      </c>
      <c r="P40" s="8" t="n"/>
      <c r="Q40" s="8" t="n"/>
      <c r="R40" s="8" t="n"/>
      <c r="S40" s="8" t="n"/>
      <c r="T40" s="8" t="n"/>
    </row>
    <row r="41" ht="20" customHeight="1">
      <c r="A41" s="8" t="n"/>
      <c r="B41" s="8" t="n"/>
      <c r="C41" s="8" t="n"/>
      <c r="D41" s="8" t="n"/>
      <c r="E41" s="75">
        <f>IF(37&lt;=$C$9,DATE(YEAR($C$10),MONTH($C$10)+36,MIN(DAY($C$10),DAY(EOMONTH(DATE(YEAR($C$10),MONTH($C$10)+36,1),0)))),"")</f>
        <v/>
      </c>
      <c r="F41" s="76">
        <f>IF(37&lt;=$C$9,$C$6,"")</f>
        <v/>
      </c>
      <c r="G41" s="77">
        <f>IF(37&lt;=$C$9,IF($C$5="Repetir todo mês",$C$7,IF($C$8="Total da compra",IF(37&lt;$C$9,ROUND($C$7/$C$9,2),ROUND($C$7-ROUND($C$7/$C$9,2)*($C$9-1),2)),$C$7)),"")</f>
        <v/>
      </c>
      <c r="H41" s="76">
        <f>IF(37&lt;=$C$9,IF($C$11&lt;&gt;"",$C$11,IFERROR(INDEX(tbAtalhos[Tipo],MATCH($C$6,tbAtalhos[Descrição],0))&amp;"","Despesa")),"")</f>
        <v/>
      </c>
      <c r="I41" s="76">
        <f>IF(37&lt;=$C$9,IF($C$12&lt;&gt;"",$C$12,IFERROR(INDEX(tbAtalhos[Categoria],MATCH($C$6,tbAtalhos[Descrição],0))&amp;"","")),"")</f>
        <v/>
      </c>
      <c r="J41" s="76">
        <f>IF(37&lt;=$C$9,IF(AND(37=1,$C$17="sim"),IF(IF($C$11&lt;&gt;"",$C$11,IFERROR(INDEX(tbAtalhos[Tipo],MATCH($C$6,tbAtalhos[Descrição],0))&amp;"","Despesa"))="Receita","Recebido","Pago"),"Pendente"),"")</f>
        <v/>
      </c>
      <c r="K41" s="76">
        <f>IF(37&lt;=$C$9,IF($C$13&lt;&gt;"",$C$13,IFERROR(INDEX(tbAtalhos[Pote],MATCH($C$6,tbAtalhos[Descrição],0))&amp;"","")),"")</f>
        <v/>
      </c>
      <c r="L41" s="76">
        <f>IF(37&lt;=$C$9,IF($C$14&lt;&gt;"",$C$14,IFERROR(INDEX(tbAtalhos[Quem],MATCH($C$6,tbAtalhos[Descrição],0))&amp;"","")),"")</f>
        <v/>
      </c>
      <c r="M41" s="76">
        <f>IF(37&lt;=$C$9,IF($C$15&lt;&gt;"",$C$15,IFERROR(INDEX(tbAtalhos[Conta],MATCH($C$6,tbAtalhos[Descrição],0))&amp;"","")),"")</f>
        <v/>
      </c>
      <c r="N41" s="76">
        <f>IF(37&lt;=$C$9,IF($C$16&lt;&gt;"",$C$16,IFERROR(INDEX(tbAtalhos[Forma de pagamento],MATCH($C$6,tbAtalhos[Descrição],0))&amp;"","")),"")</f>
        <v/>
      </c>
      <c r="O41" s="80">
        <f>IF(AND(37&lt;=$C$9,$C$5="Parcelado"),"37/"&amp;$C$9,"")</f>
        <v/>
      </c>
      <c r="P41" s="8" t="n"/>
      <c r="Q41" s="8" t="n"/>
      <c r="R41" s="8" t="n"/>
      <c r="S41" s="8" t="n"/>
      <c r="T41" s="8" t="n"/>
    </row>
    <row r="42" ht="20" customHeight="1">
      <c r="A42" s="8" t="n"/>
      <c r="B42" s="8" t="n"/>
      <c r="C42" s="8" t="n"/>
      <c r="D42" s="8" t="n"/>
      <c r="E42" s="75">
        <f>IF(38&lt;=$C$9,DATE(YEAR($C$10),MONTH($C$10)+37,MIN(DAY($C$10),DAY(EOMONTH(DATE(YEAR($C$10),MONTH($C$10)+37,1),0)))),"")</f>
        <v/>
      </c>
      <c r="F42" s="76">
        <f>IF(38&lt;=$C$9,$C$6,"")</f>
        <v/>
      </c>
      <c r="G42" s="77">
        <f>IF(38&lt;=$C$9,IF($C$5="Repetir todo mês",$C$7,IF($C$8="Total da compra",IF(38&lt;$C$9,ROUND($C$7/$C$9,2),ROUND($C$7-ROUND($C$7/$C$9,2)*($C$9-1),2)),$C$7)),"")</f>
        <v/>
      </c>
      <c r="H42" s="76">
        <f>IF(38&lt;=$C$9,IF($C$11&lt;&gt;"",$C$11,IFERROR(INDEX(tbAtalhos[Tipo],MATCH($C$6,tbAtalhos[Descrição],0))&amp;"","Despesa")),"")</f>
        <v/>
      </c>
      <c r="I42" s="76">
        <f>IF(38&lt;=$C$9,IF($C$12&lt;&gt;"",$C$12,IFERROR(INDEX(tbAtalhos[Categoria],MATCH($C$6,tbAtalhos[Descrição],0))&amp;"","")),"")</f>
        <v/>
      </c>
      <c r="J42" s="76">
        <f>IF(38&lt;=$C$9,IF(AND(38=1,$C$17="sim"),IF(IF($C$11&lt;&gt;"",$C$11,IFERROR(INDEX(tbAtalhos[Tipo],MATCH($C$6,tbAtalhos[Descrição],0))&amp;"","Despesa"))="Receita","Recebido","Pago"),"Pendente"),"")</f>
        <v/>
      </c>
      <c r="K42" s="76">
        <f>IF(38&lt;=$C$9,IF($C$13&lt;&gt;"",$C$13,IFERROR(INDEX(tbAtalhos[Pote],MATCH($C$6,tbAtalhos[Descrição],0))&amp;"","")),"")</f>
        <v/>
      </c>
      <c r="L42" s="76">
        <f>IF(38&lt;=$C$9,IF($C$14&lt;&gt;"",$C$14,IFERROR(INDEX(tbAtalhos[Quem],MATCH($C$6,tbAtalhos[Descrição],0))&amp;"","")),"")</f>
        <v/>
      </c>
      <c r="M42" s="76">
        <f>IF(38&lt;=$C$9,IF($C$15&lt;&gt;"",$C$15,IFERROR(INDEX(tbAtalhos[Conta],MATCH($C$6,tbAtalhos[Descrição],0))&amp;"","")),"")</f>
        <v/>
      </c>
      <c r="N42" s="76">
        <f>IF(38&lt;=$C$9,IF($C$16&lt;&gt;"",$C$16,IFERROR(INDEX(tbAtalhos[Forma de pagamento],MATCH($C$6,tbAtalhos[Descrição],0))&amp;"","")),"")</f>
        <v/>
      </c>
      <c r="O42" s="80">
        <f>IF(AND(38&lt;=$C$9,$C$5="Parcelado"),"38/"&amp;$C$9,"")</f>
        <v/>
      </c>
      <c r="P42" s="8" t="n"/>
      <c r="Q42" s="8" t="n"/>
      <c r="R42" s="8" t="n"/>
      <c r="S42" s="8" t="n"/>
      <c r="T42" s="8" t="n"/>
    </row>
    <row r="43" ht="20" customHeight="1">
      <c r="A43" s="8" t="n"/>
      <c r="B43" s="8" t="n"/>
      <c r="C43" s="8" t="n"/>
      <c r="D43" s="8" t="n"/>
      <c r="E43" s="75">
        <f>IF(39&lt;=$C$9,DATE(YEAR($C$10),MONTH($C$10)+38,MIN(DAY($C$10),DAY(EOMONTH(DATE(YEAR($C$10),MONTH($C$10)+38,1),0)))),"")</f>
        <v/>
      </c>
      <c r="F43" s="76">
        <f>IF(39&lt;=$C$9,$C$6,"")</f>
        <v/>
      </c>
      <c r="G43" s="77">
        <f>IF(39&lt;=$C$9,IF($C$5="Repetir todo mês",$C$7,IF($C$8="Total da compra",IF(39&lt;$C$9,ROUND($C$7/$C$9,2),ROUND($C$7-ROUND($C$7/$C$9,2)*($C$9-1),2)),$C$7)),"")</f>
        <v/>
      </c>
      <c r="H43" s="76">
        <f>IF(39&lt;=$C$9,IF($C$11&lt;&gt;"",$C$11,IFERROR(INDEX(tbAtalhos[Tipo],MATCH($C$6,tbAtalhos[Descrição],0))&amp;"","Despesa")),"")</f>
        <v/>
      </c>
      <c r="I43" s="76">
        <f>IF(39&lt;=$C$9,IF($C$12&lt;&gt;"",$C$12,IFERROR(INDEX(tbAtalhos[Categoria],MATCH($C$6,tbAtalhos[Descrição],0))&amp;"","")),"")</f>
        <v/>
      </c>
      <c r="J43" s="76">
        <f>IF(39&lt;=$C$9,IF(AND(39=1,$C$17="sim"),IF(IF($C$11&lt;&gt;"",$C$11,IFERROR(INDEX(tbAtalhos[Tipo],MATCH($C$6,tbAtalhos[Descrição],0))&amp;"","Despesa"))="Receita","Recebido","Pago"),"Pendente"),"")</f>
        <v/>
      </c>
      <c r="K43" s="76">
        <f>IF(39&lt;=$C$9,IF($C$13&lt;&gt;"",$C$13,IFERROR(INDEX(tbAtalhos[Pote],MATCH($C$6,tbAtalhos[Descrição],0))&amp;"","")),"")</f>
        <v/>
      </c>
      <c r="L43" s="76">
        <f>IF(39&lt;=$C$9,IF($C$14&lt;&gt;"",$C$14,IFERROR(INDEX(tbAtalhos[Quem],MATCH($C$6,tbAtalhos[Descrição],0))&amp;"","")),"")</f>
        <v/>
      </c>
      <c r="M43" s="76">
        <f>IF(39&lt;=$C$9,IF($C$15&lt;&gt;"",$C$15,IFERROR(INDEX(tbAtalhos[Conta],MATCH($C$6,tbAtalhos[Descrição],0))&amp;"","")),"")</f>
        <v/>
      </c>
      <c r="N43" s="76">
        <f>IF(39&lt;=$C$9,IF($C$16&lt;&gt;"",$C$16,IFERROR(INDEX(tbAtalhos[Forma de pagamento],MATCH($C$6,tbAtalhos[Descrição],0))&amp;"","")),"")</f>
        <v/>
      </c>
      <c r="O43" s="80">
        <f>IF(AND(39&lt;=$C$9,$C$5="Parcelado"),"39/"&amp;$C$9,"")</f>
        <v/>
      </c>
      <c r="P43" s="8" t="n"/>
      <c r="Q43" s="8" t="n"/>
      <c r="R43" s="8" t="n"/>
      <c r="S43" s="8" t="n"/>
      <c r="T43" s="8" t="n"/>
    </row>
    <row r="44" ht="20" customHeight="1">
      <c r="A44" s="8" t="n"/>
      <c r="B44" s="8" t="n"/>
      <c r="C44" s="8" t="n"/>
      <c r="D44" s="8" t="n"/>
      <c r="E44" s="75">
        <f>IF(40&lt;=$C$9,DATE(YEAR($C$10),MONTH($C$10)+39,MIN(DAY($C$10),DAY(EOMONTH(DATE(YEAR($C$10),MONTH($C$10)+39,1),0)))),"")</f>
        <v/>
      </c>
      <c r="F44" s="76">
        <f>IF(40&lt;=$C$9,$C$6,"")</f>
        <v/>
      </c>
      <c r="G44" s="77">
        <f>IF(40&lt;=$C$9,IF($C$5="Repetir todo mês",$C$7,IF($C$8="Total da compra",IF(40&lt;$C$9,ROUND($C$7/$C$9,2),ROUND($C$7-ROUND($C$7/$C$9,2)*($C$9-1),2)),$C$7)),"")</f>
        <v/>
      </c>
      <c r="H44" s="76">
        <f>IF(40&lt;=$C$9,IF($C$11&lt;&gt;"",$C$11,IFERROR(INDEX(tbAtalhos[Tipo],MATCH($C$6,tbAtalhos[Descrição],0))&amp;"","Despesa")),"")</f>
        <v/>
      </c>
      <c r="I44" s="76">
        <f>IF(40&lt;=$C$9,IF($C$12&lt;&gt;"",$C$12,IFERROR(INDEX(tbAtalhos[Categoria],MATCH($C$6,tbAtalhos[Descrição],0))&amp;"","")),"")</f>
        <v/>
      </c>
      <c r="J44" s="76">
        <f>IF(40&lt;=$C$9,IF(AND(40=1,$C$17="sim"),IF(IF($C$11&lt;&gt;"",$C$11,IFERROR(INDEX(tbAtalhos[Tipo],MATCH($C$6,tbAtalhos[Descrição],0))&amp;"","Despesa"))="Receita","Recebido","Pago"),"Pendente"),"")</f>
        <v/>
      </c>
      <c r="K44" s="76">
        <f>IF(40&lt;=$C$9,IF($C$13&lt;&gt;"",$C$13,IFERROR(INDEX(tbAtalhos[Pote],MATCH($C$6,tbAtalhos[Descrição],0))&amp;"","")),"")</f>
        <v/>
      </c>
      <c r="L44" s="76">
        <f>IF(40&lt;=$C$9,IF($C$14&lt;&gt;"",$C$14,IFERROR(INDEX(tbAtalhos[Quem],MATCH($C$6,tbAtalhos[Descrição],0))&amp;"","")),"")</f>
        <v/>
      </c>
      <c r="M44" s="76">
        <f>IF(40&lt;=$C$9,IF($C$15&lt;&gt;"",$C$15,IFERROR(INDEX(tbAtalhos[Conta],MATCH($C$6,tbAtalhos[Descrição],0))&amp;"","")),"")</f>
        <v/>
      </c>
      <c r="N44" s="76">
        <f>IF(40&lt;=$C$9,IF($C$16&lt;&gt;"",$C$16,IFERROR(INDEX(tbAtalhos[Forma de pagamento],MATCH($C$6,tbAtalhos[Descrição],0))&amp;"","")),"")</f>
        <v/>
      </c>
      <c r="O44" s="80">
        <f>IF(AND(40&lt;=$C$9,$C$5="Parcelado"),"40/"&amp;$C$9,"")</f>
        <v/>
      </c>
      <c r="P44" s="8" t="n"/>
      <c r="Q44" s="8" t="n"/>
      <c r="R44" s="8" t="n"/>
      <c r="S44" s="8" t="n"/>
      <c r="T44" s="8" t="n"/>
    </row>
    <row r="45" ht="20" customHeight="1">
      <c r="A45" s="8" t="n"/>
      <c r="B45" s="8" t="n"/>
      <c r="C45" s="8" t="n"/>
      <c r="D45" s="8" t="n"/>
      <c r="E45" s="75">
        <f>IF(41&lt;=$C$9,DATE(YEAR($C$10),MONTH($C$10)+40,MIN(DAY($C$10),DAY(EOMONTH(DATE(YEAR($C$10),MONTH($C$10)+40,1),0)))),"")</f>
        <v/>
      </c>
      <c r="F45" s="76">
        <f>IF(41&lt;=$C$9,$C$6,"")</f>
        <v/>
      </c>
      <c r="G45" s="77">
        <f>IF(41&lt;=$C$9,IF($C$5="Repetir todo mês",$C$7,IF($C$8="Total da compra",IF(41&lt;$C$9,ROUND($C$7/$C$9,2),ROUND($C$7-ROUND($C$7/$C$9,2)*($C$9-1),2)),$C$7)),"")</f>
        <v/>
      </c>
      <c r="H45" s="76">
        <f>IF(41&lt;=$C$9,IF($C$11&lt;&gt;"",$C$11,IFERROR(INDEX(tbAtalhos[Tipo],MATCH($C$6,tbAtalhos[Descrição],0))&amp;"","Despesa")),"")</f>
        <v/>
      </c>
      <c r="I45" s="76">
        <f>IF(41&lt;=$C$9,IF($C$12&lt;&gt;"",$C$12,IFERROR(INDEX(tbAtalhos[Categoria],MATCH($C$6,tbAtalhos[Descrição],0))&amp;"","")),"")</f>
        <v/>
      </c>
      <c r="J45" s="76">
        <f>IF(41&lt;=$C$9,IF(AND(41=1,$C$17="sim"),IF(IF($C$11&lt;&gt;"",$C$11,IFERROR(INDEX(tbAtalhos[Tipo],MATCH($C$6,tbAtalhos[Descrição],0))&amp;"","Despesa"))="Receita","Recebido","Pago"),"Pendente"),"")</f>
        <v/>
      </c>
      <c r="K45" s="76">
        <f>IF(41&lt;=$C$9,IF($C$13&lt;&gt;"",$C$13,IFERROR(INDEX(tbAtalhos[Pote],MATCH($C$6,tbAtalhos[Descrição],0))&amp;"","")),"")</f>
        <v/>
      </c>
      <c r="L45" s="76">
        <f>IF(41&lt;=$C$9,IF($C$14&lt;&gt;"",$C$14,IFERROR(INDEX(tbAtalhos[Quem],MATCH($C$6,tbAtalhos[Descrição],0))&amp;"","")),"")</f>
        <v/>
      </c>
      <c r="M45" s="76">
        <f>IF(41&lt;=$C$9,IF($C$15&lt;&gt;"",$C$15,IFERROR(INDEX(tbAtalhos[Conta],MATCH($C$6,tbAtalhos[Descrição],0))&amp;"","")),"")</f>
        <v/>
      </c>
      <c r="N45" s="76">
        <f>IF(41&lt;=$C$9,IF($C$16&lt;&gt;"",$C$16,IFERROR(INDEX(tbAtalhos[Forma de pagamento],MATCH($C$6,tbAtalhos[Descrição],0))&amp;"","")),"")</f>
        <v/>
      </c>
      <c r="O45" s="80">
        <f>IF(AND(41&lt;=$C$9,$C$5="Parcelado"),"41/"&amp;$C$9,"")</f>
        <v/>
      </c>
      <c r="P45" s="8" t="n"/>
      <c r="Q45" s="8" t="n"/>
      <c r="R45" s="8" t="n"/>
      <c r="S45" s="8" t="n"/>
      <c r="T45" s="8" t="n"/>
    </row>
    <row r="46" ht="20" customHeight="1">
      <c r="A46" s="8" t="n"/>
      <c r="B46" s="8" t="n"/>
      <c r="C46" s="8" t="n"/>
      <c r="D46" s="8" t="n"/>
      <c r="E46" s="75">
        <f>IF(42&lt;=$C$9,DATE(YEAR($C$10),MONTH($C$10)+41,MIN(DAY($C$10),DAY(EOMONTH(DATE(YEAR($C$10),MONTH($C$10)+41,1),0)))),"")</f>
        <v/>
      </c>
      <c r="F46" s="76">
        <f>IF(42&lt;=$C$9,$C$6,"")</f>
        <v/>
      </c>
      <c r="G46" s="77">
        <f>IF(42&lt;=$C$9,IF($C$5="Repetir todo mês",$C$7,IF($C$8="Total da compra",IF(42&lt;$C$9,ROUND($C$7/$C$9,2),ROUND($C$7-ROUND($C$7/$C$9,2)*($C$9-1),2)),$C$7)),"")</f>
        <v/>
      </c>
      <c r="H46" s="76">
        <f>IF(42&lt;=$C$9,IF($C$11&lt;&gt;"",$C$11,IFERROR(INDEX(tbAtalhos[Tipo],MATCH($C$6,tbAtalhos[Descrição],0))&amp;"","Despesa")),"")</f>
        <v/>
      </c>
      <c r="I46" s="76">
        <f>IF(42&lt;=$C$9,IF($C$12&lt;&gt;"",$C$12,IFERROR(INDEX(tbAtalhos[Categoria],MATCH($C$6,tbAtalhos[Descrição],0))&amp;"","")),"")</f>
        <v/>
      </c>
      <c r="J46" s="76">
        <f>IF(42&lt;=$C$9,IF(AND(42=1,$C$17="sim"),IF(IF($C$11&lt;&gt;"",$C$11,IFERROR(INDEX(tbAtalhos[Tipo],MATCH($C$6,tbAtalhos[Descrição],0))&amp;"","Despesa"))="Receita","Recebido","Pago"),"Pendente"),"")</f>
        <v/>
      </c>
      <c r="K46" s="76">
        <f>IF(42&lt;=$C$9,IF($C$13&lt;&gt;"",$C$13,IFERROR(INDEX(tbAtalhos[Pote],MATCH($C$6,tbAtalhos[Descrição],0))&amp;"","")),"")</f>
        <v/>
      </c>
      <c r="L46" s="76">
        <f>IF(42&lt;=$C$9,IF($C$14&lt;&gt;"",$C$14,IFERROR(INDEX(tbAtalhos[Quem],MATCH($C$6,tbAtalhos[Descrição],0))&amp;"","")),"")</f>
        <v/>
      </c>
      <c r="M46" s="76">
        <f>IF(42&lt;=$C$9,IF($C$15&lt;&gt;"",$C$15,IFERROR(INDEX(tbAtalhos[Conta],MATCH($C$6,tbAtalhos[Descrição],0))&amp;"","")),"")</f>
        <v/>
      </c>
      <c r="N46" s="76">
        <f>IF(42&lt;=$C$9,IF($C$16&lt;&gt;"",$C$16,IFERROR(INDEX(tbAtalhos[Forma de pagamento],MATCH($C$6,tbAtalhos[Descrição],0))&amp;"","")),"")</f>
        <v/>
      </c>
      <c r="O46" s="80">
        <f>IF(AND(42&lt;=$C$9,$C$5="Parcelado"),"42/"&amp;$C$9,"")</f>
        <v/>
      </c>
      <c r="P46" s="8" t="n"/>
      <c r="Q46" s="8" t="n"/>
      <c r="R46" s="8" t="n"/>
      <c r="S46" s="8" t="n"/>
      <c r="T46" s="8" t="n"/>
    </row>
    <row r="47" ht="20" customHeight="1">
      <c r="A47" s="8" t="n"/>
      <c r="B47" s="8" t="n"/>
      <c r="C47" s="8" t="n"/>
      <c r="D47" s="8" t="n"/>
      <c r="E47" s="75">
        <f>IF(43&lt;=$C$9,DATE(YEAR($C$10),MONTH($C$10)+42,MIN(DAY($C$10),DAY(EOMONTH(DATE(YEAR($C$10),MONTH($C$10)+42,1),0)))),"")</f>
        <v/>
      </c>
      <c r="F47" s="76">
        <f>IF(43&lt;=$C$9,$C$6,"")</f>
        <v/>
      </c>
      <c r="G47" s="77">
        <f>IF(43&lt;=$C$9,IF($C$5="Repetir todo mês",$C$7,IF($C$8="Total da compra",IF(43&lt;$C$9,ROUND($C$7/$C$9,2),ROUND($C$7-ROUND($C$7/$C$9,2)*($C$9-1),2)),$C$7)),"")</f>
        <v/>
      </c>
      <c r="H47" s="76">
        <f>IF(43&lt;=$C$9,IF($C$11&lt;&gt;"",$C$11,IFERROR(INDEX(tbAtalhos[Tipo],MATCH($C$6,tbAtalhos[Descrição],0))&amp;"","Despesa")),"")</f>
        <v/>
      </c>
      <c r="I47" s="76">
        <f>IF(43&lt;=$C$9,IF($C$12&lt;&gt;"",$C$12,IFERROR(INDEX(tbAtalhos[Categoria],MATCH($C$6,tbAtalhos[Descrição],0))&amp;"","")),"")</f>
        <v/>
      </c>
      <c r="J47" s="76">
        <f>IF(43&lt;=$C$9,IF(AND(43=1,$C$17="sim"),IF(IF($C$11&lt;&gt;"",$C$11,IFERROR(INDEX(tbAtalhos[Tipo],MATCH($C$6,tbAtalhos[Descrição],0))&amp;"","Despesa"))="Receita","Recebido","Pago"),"Pendente"),"")</f>
        <v/>
      </c>
      <c r="K47" s="76">
        <f>IF(43&lt;=$C$9,IF($C$13&lt;&gt;"",$C$13,IFERROR(INDEX(tbAtalhos[Pote],MATCH($C$6,tbAtalhos[Descrição],0))&amp;"","")),"")</f>
        <v/>
      </c>
      <c r="L47" s="76">
        <f>IF(43&lt;=$C$9,IF($C$14&lt;&gt;"",$C$14,IFERROR(INDEX(tbAtalhos[Quem],MATCH($C$6,tbAtalhos[Descrição],0))&amp;"","")),"")</f>
        <v/>
      </c>
      <c r="M47" s="76">
        <f>IF(43&lt;=$C$9,IF($C$15&lt;&gt;"",$C$15,IFERROR(INDEX(tbAtalhos[Conta],MATCH($C$6,tbAtalhos[Descrição],0))&amp;"","")),"")</f>
        <v/>
      </c>
      <c r="N47" s="76">
        <f>IF(43&lt;=$C$9,IF($C$16&lt;&gt;"",$C$16,IFERROR(INDEX(tbAtalhos[Forma de pagamento],MATCH($C$6,tbAtalhos[Descrição],0))&amp;"","")),"")</f>
        <v/>
      </c>
      <c r="O47" s="80">
        <f>IF(AND(43&lt;=$C$9,$C$5="Parcelado"),"43/"&amp;$C$9,"")</f>
        <v/>
      </c>
      <c r="P47" s="8" t="n"/>
      <c r="Q47" s="8" t="n"/>
      <c r="R47" s="8" t="n"/>
      <c r="S47" s="8" t="n"/>
      <c r="T47" s="8" t="n"/>
    </row>
    <row r="48" ht="20" customHeight="1">
      <c r="A48" s="8" t="n"/>
      <c r="B48" s="8" t="n"/>
      <c r="C48" s="8" t="n"/>
      <c r="D48" s="8" t="n"/>
      <c r="E48" s="75">
        <f>IF(44&lt;=$C$9,DATE(YEAR($C$10),MONTH($C$10)+43,MIN(DAY($C$10),DAY(EOMONTH(DATE(YEAR($C$10),MONTH($C$10)+43,1),0)))),"")</f>
        <v/>
      </c>
      <c r="F48" s="76">
        <f>IF(44&lt;=$C$9,$C$6,"")</f>
        <v/>
      </c>
      <c r="G48" s="77">
        <f>IF(44&lt;=$C$9,IF($C$5="Repetir todo mês",$C$7,IF($C$8="Total da compra",IF(44&lt;$C$9,ROUND($C$7/$C$9,2),ROUND($C$7-ROUND($C$7/$C$9,2)*($C$9-1),2)),$C$7)),"")</f>
        <v/>
      </c>
      <c r="H48" s="76">
        <f>IF(44&lt;=$C$9,IF($C$11&lt;&gt;"",$C$11,IFERROR(INDEX(tbAtalhos[Tipo],MATCH($C$6,tbAtalhos[Descrição],0))&amp;"","Despesa")),"")</f>
        <v/>
      </c>
      <c r="I48" s="76">
        <f>IF(44&lt;=$C$9,IF($C$12&lt;&gt;"",$C$12,IFERROR(INDEX(tbAtalhos[Categoria],MATCH($C$6,tbAtalhos[Descrição],0))&amp;"","")),"")</f>
        <v/>
      </c>
      <c r="J48" s="76">
        <f>IF(44&lt;=$C$9,IF(AND(44=1,$C$17="sim"),IF(IF($C$11&lt;&gt;"",$C$11,IFERROR(INDEX(tbAtalhos[Tipo],MATCH($C$6,tbAtalhos[Descrição],0))&amp;"","Despesa"))="Receita","Recebido","Pago"),"Pendente"),"")</f>
        <v/>
      </c>
      <c r="K48" s="76">
        <f>IF(44&lt;=$C$9,IF($C$13&lt;&gt;"",$C$13,IFERROR(INDEX(tbAtalhos[Pote],MATCH($C$6,tbAtalhos[Descrição],0))&amp;"","")),"")</f>
        <v/>
      </c>
      <c r="L48" s="76">
        <f>IF(44&lt;=$C$9,IF($C$14&lt;&gt;"",$C$14,IFERROR(INDEX(tbAtalhos[Quem],MATCH($C$6,tbAtalhos[Descrição],0))&amp;"","")),"")</f>
        <v/>
      </c>
      <c r="M48" s="76">
        <f>IF(44&lt;=$C$9,IF($C$15&lt;&gt;"",$C$15,IFERROR(INDEX(tbAtalhos[Conta],MATCH($C$6,tbAtalhos[Descrição],0))&amp;"","")),"")</f>
        <v/>
      </c>
      <c r="N48" s="76">
        <f>IF(44&lt;=$C$9,IF($C$16&lt;&gt;"",$C$16,IFERROR(INDEX(tbAtalhos[Forma de pagamento],MATCH($C$6,tbAtalhos[Descrição],0))&amp;"","")),"")</f>
        <v/>
      </c>
      <c r="O48" s="80">
        <f>IF(AND(44&lt;=$C$9,$C$5="Parcelado"),"44/"&amp;$C$9,"")</f>
        <v/>
      </c>
      <c r="P48" s="8" t="n"/>
      <c r="Q48" s="8" t="n"/>
      <c r="R48" s="8" t="n"/>
      <c r="S48" s="8" t="n"/>
      <c r="T48" s="8" t="n"/>
    </row>
    <row r="49" ht="20" customHeight="1">
      <c r="A49" s="8" t="n"/>
      <c r="B49" s="8" t="n"/>
      <c r="C49" s="8" t="n"/>
      <c r="D49" s="8" t="n"/>
      <c r="E49" s="75">
        <f>IF(45&lt;=$C$9,DATE(YEAR($C$10),MONTH($C$10)+44,MIN(DAY($C$10),DAY(EOMONTH(DATE(YEAR($C$10),MONTH($C$10)+44,1),0)))),"")</f>
        <v/>
      </c>
      <c r="F49" s="76">
        <f>IF(45&lt;=$C$9,$C$6,"")</f>
        <v/>
      </c>
      <c r="G49" s="77">
        <f>IF(45&lt;=$C$9,IF($C$5="Repetir todo mês",$C$7,IF($C$8="Total da compra",IF(45&lt;$C$9,ROUND($C$7/$C$9,2),ROUND($C$7-ROUND($C$7/$C$9,2)*($C$9-1),2)),$C$7)),"")</f>
        <v/>
      </c>
      <c r="H49" s="76">
        <f>IF(45&lt;=$C$9,IF($C$11&lt;&gt;"",$C$11,IFERROR(INDEX(tbAtalhos[Tipo],MATCH($C$6,tbAtalhos[Descrição],0))&amp;"","Despesa")),"")</f>
        <v/>
      </c>
      <c r="I49" s="76">
        <f>IF(45&lt;=$C$9,IF($C$12&lt;&gt;"",$C$12,IFERROR(INDEX(tbAtalhos[Categoria],MATCH($C$6,tbAtalhos[Descrição],0))&amp;"","")),"")</f>
        <v/>
      </c>
      <c r="J49" s="76">
        <f>IF(45&lt;=$C$9,IF(AND(45=1,$C$17="sim"),IF(IF($C$11&lt;&gt;"",$C$11,IFERROR(INDEX(tbAtalhos[Tipo],MATCH($C$6,tbAtalhos[Descrição],0))&amp;"","Despesa"))="Receita","Recebido","Pago"),"Pendente"),"")</f>
        <v/>
      </c>
      <c r="K49" s="76">
        <f>IF(45&lt;=$C$9,IF($C$13&lt;&gt;"",$C$13,IFERROR(INDEX(tbAtalhos[Pote],MATCH($C$6,tbAtalhos[Descrição],0))&amp;"","")),"")</f>
        <v/>
      </c>
      <c r="L49" s="76">
        <f>IF(45&lt;=$C$9,IF($C$14&lt;&gt;"",$C$14,IFERROR(INDEX(tbAtalhos[Quem],MATCH($C$6,tbAtalhos[Descrição],0))&amp;"","")),"")</f>
        <v/>
      </c>
      <c r="M49" s="76">
        <f>IF(45&lt;=$C$9,IF($C$15&lt;&gt;"",$C$15,IFERROR(INDEX(tbAtalhos[Conta],MATCH($C$6,tbAtalhos[Descrição],0))&amp;"","")),"")</f>
        <v/>
      </c>
      <c r="N49" s="76">
        <f>IF(45&lt;=$C$9,IF($C$16&lt;&gt;"",$C$16,IFERROR(INDEX(tbAtalhos[Forma de pagamento],MATCH($C$6,tbAtalhos[Descrição],0))&amp;"","")),"")</f>
        <v/>
      </c>
      <c r="O49" s="80">
        <f>IF(AND(45&lt;=$C$9,$C$5="Parcelado"),"45/"&amp;$C$9,"")</f>
        <v/>
      </c>
      <c r="P49" s="8" t="n"/>
      <c r="Q49" s="8" t="n"/>
      <c r="R49" s="8" t="n"/>
      <c r="S49" s="8" t="n"/>
      <c r="T49" s="8" t="n"/>
    </row>
    <row r="50" ht="20" customHeight="1">
      <c r="A50" s="8" t="n"/>
      <c r="B50" s="8" t="n"/>
      <c r="C50" s="8" t="n"/>
      <c r="D50" s="8" t="n"/>
      <c r="E50" s="75">
        <f>IF(46&lt;=$C$9,DATE(YEAR($C$10),MONTH($C$10)+45,MIN(DAY($C$10),DAY(EOMONTH(DATE(YEAR($C$10),MONTH($C$10)+45,1),0)))),"")</f>
        <v/>
      </c>
      <c r="F50" s="76">
        <f>IF(46&lt;=$C$9,$C$6,"")</f>
        <v/>
      </c>
      <c r="G50" s="77">
        <f>IF(46&lt;=$C$9,IF($C$5="Repetir todo mês",$C$7,IF($C$8="Total da compra",IF(46&lt;$C$9,ROUND($C$7/$C$9,2),ROUND($C$7-ROUND($C$7/$C$9,2)*($C$9-1),2)),$C$7)),"")</f>
        <v/>
      </c>
      <c r="H50" s="76">
        <f>IF(46&lt;=$C$9,IF($C$11&lt;&gt;"",$C$11,IFERROR(INDEX(tbAtalhos[Tipo],MATCH($C$6,tbAtalhos[Descrição],0))&amp;"","Despesa")),"")</f>
        <v/>
      </c>
      <c r="I50" s="76">
        <f>IF(46&lt;=$C$9,IF($C$12&lt;&gt;"",$C$12,IFERROR(INDEX(tbAtalhos[Categoria],MATCH($C$6,tbAtalhos[Descrição],0))&amp;"","")),"")</f>
        <v/>
      </c>
      <c r="J50" s="76">
        <f>IF(46&lt;=$C$9,IF(AND(46=1,$C$17="sim"),IF(IF($C$11&lt;&gt;"",$C$11,IFERROR(INDEX(tbAtalhos[Tipo],MATCH($C$6,tbAtalhos[Descrição],0))&amp;"","Despesa"))="Receita","Recebido","Pago"),"Pendente"),"")</f>
        <v/>
      </c>
      <c r="K50" s="76">
        <f>IF(46&lt;=$C$9,IF($C$13&lt;&gt;"",$C$13,IFERROR(INDEX(tbAtalhos[Pote],MATCH($C$6,tbAtalhos[Descrição],0))&amp;"","")),"")</f>
        <v/>
      </c>
      <c r="L50" s="76">
        <f>IF(46&lt;=$C$9,IF($C$14&lt;&gt;"",$C$14,IFERROR(INDEX(tbAtalhos[Quem],MATCH($C$6,tbAtalhos[Descrição],0))&amp;"","")),"")</f>
        <v/>
      </c>
      <c r="M50" s="76">
        <f>IF(46&lt;=$C$9,IF($C$15&lt;&gt;"",$C$15,IFERROR(INDEX(tbAtalhos[Conta],MATCH($C$6,tbAtalhos[Descrição],0))&amp;"","")),"")</f>
        <v/>
      </c>
      <c r="N50" s="76">
        <f>IF(46&lt;=$C$9,IF($C$16&lt;&gt;"",$C$16,IFERROR(INDEX(tbAtalhos[Forma de pagamento],MATCH($C$6,tbAtalhos[Descrição],0))&amp;"","")),"")</f>
        <v/>
      </c>
      <c r="O50" s="80">
        <f>IF(AND(46&lt;=$C$9,$C$5="Parcelado"),"46/"&amp;$C$9,"")</f>
        <v/>
      </c>
      <c r="P50" s="8" t="n"/>
      <c r="Q50" s="8" t="n"/>
      <c r="R50" s="8" t="n"/>
      <c r="S50" s="8" t="n"/>
      <c r="T50" s="8" t="n"/>
    </row>
    <row r="51" ht="20" customHeight="1">
      <c r="A51" s="8" t="n"/>
      <c r="B51" s="8" t="n"/>
      <c r="C51" s="8" t="n"/>
      <c r="D51" s="8" t="n"/>
      <c r="E51" s="75">
        <f>IF(47&lt;=$C$9,DATE(YEAR($C$10),MONTH($C$10)+46,MIN(DAY($C$10),DAY(EOMONTH(DATE(YEAR($C$10),MONTH($C$10)+46,1),0)))),"")</f>
        <v/>
      </c>
      <c r="F51" s="76">
        <f>IF(47&lt;=$C$9,$C$6,"")</f>
        <v/>
      </c>
      <c r="G51" s="77">
        <f>IF(47&lt;=$C$9,IF($C$5="Repetir todo mês",$C$7,IF($C$8="Total da compra",IF(47&lt;$C$9,ROUND($C$7/$C$9,2),ROUND($C$7-ROUND($C$7/$C$9,2)*($C$9-1),2)),$C$7)),"")</f>
        <v/>
      </c>
      <c r="H51" s="76">
        <f>IF(47&lt;=$C$9,IF($C$11&lt;&gt;"",$C$11,IFERROR(INDEX(tbAtalhos[Tipo],MATCH($C$6,tbAtalhos[Descrição],0))&amp;"","Despesa")),"")</f>
        <v/>
      </c>
      <c r="I51" s="76">
        <f>IF(47&lt;=$C$9,IF($C$12&lt;&gt;"",$C$12,IFERROR(INDEX(tbAtalhos[Categoria],MATCH($C$6,tbAtalhos[Descrição],0))&amp;"","")),"")</f>
        <v/>
      </c>
      <c r="J51" s="76">
        <f>IF(47&lt;=$C$9,IF(AND(47=1,$C$17="sim"),IF(IF($C$11&lt;&gt;"",$C$11,IFERROR(INDEX(tbAtalhos[Tipo],MATCH($C$6,tbAtalhos[Descrição],0))&amp;"","Despesa"))="Receita","Recebido","Pago"),"Pendente"),"")</f>
        <v/>
      </c>
      <c r="K51" s="76">
        <f>IF(47&lt;=$C$9,IF($C$13&lt;&gt;"",$C$13,IFERROR(INDEX(tbAtalhos[Pote],MATCH($C$6,tbAtalhos[Descrição],0))&amp;"","")),"")</f>
        <v/>
      </c>
      <c r="L51" s="76">
        <f>IF(47&lt;=$C$9,IF($C$14&lt;&gt;"",$C$14,IFERROR(INDEX(tbAtalhos[Quem],MATCH($C$6,tbAtalhos[Descrição],0))&amp;"","")),"")</f>
        <v/>
      </c>
      <c r="M51" s="76">
        <f>IF(47&lt;=$C$9,IF($C$15&lt;&gt;"",$C$15,IFERROR(INDEX(tbAtalhos[Conta],MATCH($C$6,tbAtalhos[Descrição],0))&amp;"","")),"")</f>
        <v/>
      </c>
      <c r="N51" s="76">
        <f>IF(47&lt;=$C$9,IF($C$16&lt;&gt;"",$C$16,IFERROR(INDEX(tbAtalhos[Forma de pagamento],MATCH($C$6,tbAtalhos[Descrição],0))&amp;"","")),"")</f>
        <v/>
      </c>
      <c r="O51" s="80">
        <f>IF(AND(47&lt;=$C$9,$C$5="Parcelado"),"47/"&amp;$C$9,"")</f>
        <v/>
      </c>
      <c r="P51" s="8" t="n"/>
      <c r="Q51" s="8" t="n"/>
      <c r="R51" s="8" t="n"/>
      <c r="S51" s="8" t="n"/>
      <c r="T51" s="8" t="n"/>
    </row>
    <row r="52" ht="20" customHeight="1">
      <c r="A52" s="8" t="n"/>
      <c r="B52" s="8" t="n"/>
      <c r="C52" s="8" t="n"/>
      <c r="D52" s="8" t="n"/>
      <c r="E52" s="75">
        <f>IF(48&lt;=$C$9,DATE(YEAR($C$10),MONTH($C$10)+47,MIN(DAY($C$10),DAY(EOMONTH(DATE(YEAR($C$10),MONTH($C$10)+47,1),0)))),"")</f>
        <v/>
      </c>
      <c r="F52" s="76">
        <f>IF(48&lt;=$C$9,$C$6,"")</f>
        <v/>
      </c>
      <c r="G52" s="77">
        <f>IF(48&lt;=$C$9,IF($C$5="Repetir todo mês",$C$7,IF($C$8="Total da compra",IF(48&lt;$C$9,ROUND($C$7/$C$9,2),ROUND($C$7-ROUND($C$7/$C$9,2)*($C$9-1),2)),$C$7)),"")</f>
        <v/>
      </c>
      <c r="H52" s="76">
        <f>IF(48&lt;=$C$9,IF($C$11&lt;&gt;"",$C$11,IFERROR(INDEX(tbAtalhos[Tipo],MATCH($C$6,tbAtalhos[Descrição],0))&amp;"","Despesa")),"")</f>
        <v/>
      </c>
      <c r="I52" s="76">
        <f>IF(48&lt;=$C$9,IF($C$12&lt;&gt;"",$C$12,IFERROR(INDEX(tbAtalhos[Categoria],MATCH($C$6,tbAtalhos[Descrição],0))&amp;"","")),"")</f>
        <v/>
      </c>
      <c r="J52" s="76">
        <f>IF(48&lt;=$C$9,IF(AND(48=1,$C$17="sim"),IF(IF($C$11&lt;&gt;"",$C$11,IFERROR(INDEX(tbAtalhos[Tipo],MATCH($C$6,tbAtalhos[Descrição],0))&amp;"","Despesa"))="Receita","Recebido","Pago"),"Pendente"),"")</f>
        <v/>
      </c>
      <c r="K52" s="76">
        <f>IF(48&lt;=$C$9,IF($C$13&lt;&gt;"",$C$13,IFERROR(INDEX(tbAtalhos[Pote],MATCH($C$6,tbAtalhos[Descrição],0))&amp;"","")),"")</f>
        <v/>
      </c>
      <c r="L52" s="76">
        <f>IF(48&lt;=$C$9,IF($C$14&lt;&gt;"",$C$14,IFERROR(INDEX(tbAtalhos[Quem],MATCH($C$6,tbAtalhos[Descrição],0))&amp;"","")),"")</f>
        <v/>
      </c>
      <c r="M52" s="76">
        <f>IF(48&lt;=$C$9,IF($C$15&lt;&gt;"",$C$15,IFERROR(INDEX(tbAtalhos[Conta],MATCH($C$6,tbAtalhos[Descrição],0))&amp;"","")),"")</f>
        <v/>
      </c>
      <c r="N52" s="76">
        <f>IF(48&lt;=$C$9,IF($C$16&lt;&gt;"",$C$16,IFERROR(INDEX(tbAtalhos[Forma de pagamento],MATCH($C$6,tbAtalhos[Descrição],0))&amp;"","")),"")</f>
        <v/>
      </c>
      <c r="O52" s="80">
        <f>IF(AND(48&lt;=$C$9,$C$5="Parcelado"),"48/"&amp;$C$9,"")</f>
        <v/>
      </c>
      <c r="P52" s="8" t="n"/>
      <c r="Q52" s="8" t="n"/>
      <c r="R52" s="8" t="n"/>
      <c r="S52" s="8" t="n"/>
      <c r="T52" s="8" t="n"/>
    </row>
    <row r="53" ht="20" customHeight="1">
      <c r="A53" s="8" t="n"/>
      <c r="B53" s="8" t="n"/>
      <c r="C53" s="8" t="n"/>
      <c r="D53" s="8" t="n"/>
      <c r="E53" s="75">
        <f>IF(49&lt;=$C$9,DATE(YEAR($C$10),MONTH($C$10)+48,MIN(DAY($C$10),DAY(EOMONTH(DATE(YEAR($C$10),MONTH($C$10)+48,1),0)))),"")</f>
        <v/>
      </c>
      <c r="F53" s="76">
        <f>IF(49&lt;=$C$9,$C$6,"")</f>
        <v/>
      </c>
      <c r="G53" s="77">
        <f>IF(49&lt;=$C$9,IF($C$5="Repetir todo mês",$C$7,IF($C$8="Total da compra",IF(49&lt;$C$9,ROUND($C$7/$C$9,2),ROUND($C$7-ROUND($C$7/$C$9,2)*($C$9-1),2)),$C$7)),"")</f>
        <v/>
      </c>
      <c r="H53" s="76">
        <f>IF(49&lt;=$C$9,IF($C$11&lt;&gt;"",$C$11,IFERROR(INDEX(tbAtalhos[Tipo],MATCH($C$6,tbAtalhos[Descrição],0))&amp;"","Despesa")),"")</f>
        <v/>
      </c>
      <c r="I53" s="76">
        <f>IF(49&lt;=$C$9,IF($C$12&lt;&gt;"",$C$12,IFERROR(INDEX(tbAtalhos[Categoria],MATCH($C$6,tbAtalhos[Descrição],0))&amp;"","")),"")</f>
        <v/>
      </c>
      <c r="J53" s="76">
        <f>IF(49&lt;=$C$9,IF(AND(49=1,$C$17="sim"),IF(IF($C$11&lt;&gt;"",$C$11,IFERROR(INDEX(tbAtalhos[Tipo],MATCH($C$6,tbAtalhos[Descrição],0))&amp;"","Despesa"))="Receita","Recebido","Pago"),"Pendente"),"")</f>
        <v/>
      </c>
      <c r="K53" s="76">
        <f>IF(49&lt;=$C$9,IF($C$13&lt;&gt;"",$C$13,IFERROR(INDEX(tbAtalhos[Pote],MATCH($C$6,tbAtalhos[Descrição],0))&amp;"","")),"")</f>
        <v/>
      </c>
      <c r="L53" s="76">
        <f>IF(49&lt;=$C$9,IF($C$14&lt;&gt;"",$C$14,IFERROR(INDEX(tbAtalhos[Quem],MATCH($C$6,tbAtalhos[Descrição],0))&amp;"","")),"")</f>
        <v/>
      </c>
      <c r="M53" s="76">
        <f>IF(49&lt;=$C$9,IF($C$15&lt;&gt;"",$C$15,IFERROR(INDEX(tbAtalhos[Conta],MATCH($C$6,tbAtalhos[Descrição],0))&amp;"","")),"")</f>
        <v/>
      </c>
      <c r="N53" s="76">
        <f>IF(49&lt;=$C$9,IF($C$16&lt;&gt;"",$C$16,IFERROR(INDEX(tbAtalhos[Forma de pagamento],MATCH($C$6,tbAtalhos[Descrição],0))&amp;"","")),"")</f>
        <v/>
      </c>
      <c r="O53" s="80">
        <f>IF(AND(49&lt;=$C$9,$C$5="Parcelado"),"49/"&amp;$C$9,"")</f>
        <v/>
      </c>
      <c r="P53" s="8" t="n"/>
      <c r="Q53" s="8" t="n"/>
      <c r="R53" s="8" t="n"/>
      <c r="S53" s="8" t="n"/>
      <c r="T53" s="8" t="n"/>
    </row>
    <row r="54" ht="20" customHeight="1">
      <c r="A54" s="8" t="n"/>
      <c r="B54" s="8" t="n"/>
      <c r="C54" s="8" t="n"/>
      <c r="D54" s="8" t="n"/>
      <c r="E54" s="75">
        <f>IF(50&lt;=$C$9,DATE(YEAR($C$10),MONTH($C$10)+49,MIN(DAY($C$10),DAY(EOMONTH(DATE(YEAR($C$10),MONTH($C$10)+49,1),0)))),"")</f>
        <v/>
      </c>
      <c r="F54" s="76">
        <f>IF(50&lt;=$C$9,$C$6,"")</f>
        <v/>
      </c>
      <c r="G54" s="77">
        <f>IF(50&lt;=$C$9,IF($C$5="Repetir todo mês",$C$7,IF($C$8="Total da compra",IF(50&lt;$C$9,ROUND($C$7/$C$9,2),ROUND($C$7-ROUND($C$7/$C$9,2)*($C$9-1),2)),$C$7)),"")</f>
        <v/>
      </c>
      <c r="H54" s="76">
        <f>IF(50&lt;=$C$9,IF($C$11&lt;&gt;"",$C$11,IFERROR(INDEX(tbAtalhos[Tipo],MATCH($C$6,tbAtalhos[Descrição],0))&amp;"","Despesa")),"")</f>
        <v/>
      </c>
      <c r="I54" s="76">
        <f>IF(50&lt;=$C$9,IF($C$12&lt;&gt;"",$C$12,IFERROR(INDEX(tbAtalhos[Categoria],MATCH($C$6,tbAtalhos[Descrição],0))&amp;"","")),"")</f>
        <v/>
      </c>
      <c r="J54" s="76">
        <f>IF(50&lt;=$C$9,IF(AND(50=1,$C$17="sim"),IF(IF($C$11&lt;&gt;"",$C$11,IFERROR(INDEX(tbAtalhos[Tipo],MATCH($C$6,tbAtalhos[Descrição],0))&amp;"","Despesa"))="Receita","Recebido","Pago"),"Pendente"),"")</f>
        <v/>
      </c>
      <c r="K54" s="76">
        <f>IF(50&lt;=$C$9,IF($C$13&lt;&gt;"",$C$13,IFERROR(INDEX(tbAtalhos[Pote],MATCH($C$6,tbAtalhos[Descrição],0))&amp;"","")),"")</f>
        <v/>
      </c>
      <c r="L54" s="76">
        <f>IF(50&lt;=$C$9,IF($C$14&lt;&gt;"",$C$14,IFERROR(INDEX(tbAtalhos[Quem],MATCH($C$6,tbAtalhos[Descrição],0))&amp;"","")),"")</f>
        <v/>
      </c>
      <c r="M54" s="76">
        <f>IF(50&lt;=$C$9,IF($C$15&lt;&gt;"",$C$15,IFERROR(INDEX(tbAtalhos[Conta],MATCH($C$6,tbAtalhos[Descrição],0))&amp;"","")),"")</f>
        <v/>
      </c>
      <c r="N54" s="76">
        <f>IF(50&lt;=$C$9,IF($C$16&lt;&gt;"",$C$16,IFERROR(INDEX(tbAtalhos[Forma de pagamento],MATCH($C$6,tbAtalhos[Descrição],0))&amp;"","")),"")</f>
        <v/>
      </c>
      <c r="O54" s="80">
        <f>IF(AND(50&lt;=$C$9,$C$5="Parcelado"),"50/"&amp;$C$9,"")</f>
        <v/>
      </c>
      <c r="P54" s="8" t="n"/>
      <c r="Q54" s="8" t="n"/>
      <c r="R54" s="8" t="n"/>
      <c r="S54" s="8" t="n"/>
      <c r="T54" s="8" t="n"/>
    </row>
    <row r="55" ht="20" customHeight="1">
      <c r="A55" s="8" t="n"/>
      <c r="B55" s="8" t="n"/>
      <c r="C55" s="8" t="n"/>
      <c r="D55" s="8" t="n"/>
      <c r="E55" s="75">
        <f>IF(51&lt;=$C$9,DATE(YEAR($C$10),MONTH($C$10)+50,MIN(DAY($C$10),DAY(EOMONTH(DATE(YEAR($C$10),MONTH($C$10)+50,1),0)))),"")</f>
        <v/>
      </c>
      <c r="F55" s="76">
        <f>IF(51&lt;=$C$9,$C$6,"")</f>
        <v/>
      </c>
      <c r="G55" s="77">
        <f>IF(51&lt;=$C$9,IF($C$5="Repetir todo mês",$C$7,IF($C$8="Total da compra",IF(51&lt;$C$9,ROUND($C$7/$C$9,2),ROUND($C$7-ROUND($C$7/$C$9,2)*($C$9-1),2)),$C$7)),"")</f>
        <v/>
      </c>
      <c r="H55" s="76">
        <f>IF(51&lt;=$C$9,IF($C$11&lt;&gt;"",$C$11,IFERROR(INDEX(tbAtalhos[Tipo],MATCH($C$6,tbAtalhos[Descrição],0))&amp;"","Despesa")),"")</f>
        <v/>
      </c>
      <c r="I55" s="76">
        <f>IF(51&lt;=$C$9,IF($C$12&lt;&gt;"",$C$12,IFERROR(INDEX(tbAtalhos[Categoria],MATCH($C$6,tbAtalhos[Descrição],0))&amp;"","")),"")</f>
        <v/>
      </c>
      <c r="J55" s="76">
        <f>IF(51&lt;=$C$9,IF(AND(51=1,$C$17="sim"),IF(IF($C$11&lt;&gt;"",$C$11,IFERROR(INDEX(tbAtalhos[Tipo],MATCH($C$6,tbAtalhos[Descrição],0))&amp;"","Despesa"))="Receita","Recebido","Pago"),"Pendente"),"")</f>
        <v/>
      </c>
      <c r="K55" s="76">
        <f>IF(51&lt;=$C$9,IF($C$13&lt;&gt;"",$C$13,IFERROR(INDEX(tbAtalhos[Pote],MATCH($C$6,tbAtalhos[Descrição],0))&amp;"","")),"")</f>
        <v/>
      </c>
      <c r="L55" s="76">
        <f>IF(51&lt;=$C$9,IF($C$14&lt;&gt;"",$C$14,IFERROR(INDEX(tbAtalhos[Quem],MATCH($C$6,tbAtalhos[Descrição],0))&amp;"","")),"")</f>
        <v/>
      </c>
      <c r="M55" s="76">
        <f>IF(51&lt;=$C$9,IF($C$15&lt;&gt;"",$C$15,IFERROR(INDEX(tbAtalhos[Conta],MATCH($C$6,tbAtalhos[Descrição],0))&amp;"","")),"")</f>
        <v/>
      </c>
      <c r="N55" s="76">
        <f>IF(51&lt;=$C$9,IF($C$16&lt;&gt;"",$C$16,IFERROR(INDEX(tbAtalhos[Forma de pagamento],MATCH($C$6,tbAtalhos[Descrição],0))&amp;"","")),"")</f>
        <v/>
      </c>
      <c r="O55" s="80">
        <f>IF(AND(51&lt;=$C$9,$C$5="Parcelado"),"51/"&amp;$C$9,"")</f>
        <v/>
      </c>
      <c r="P55" s="8" t="n"/>
      <c r="Q55" s="8" t="n"/>
      <c r="R55" s="8" t="n"/>
      <c r="S55" s="8" t="n"/>
      <c r="T55" s="8" t="n"/>
    </row>
    <row r="56" ht="20" customHeight="1">
      <c r="A56" s="8" t="n"/>
      <c r="B56" s="8" t="n"/>
      <c r="C56" s="8" t="n"/>
      <c r="D56" s="8" t="n"/>
      <c r="E56" s="75">
        <f>IF(52&lt;=$C$9,DATE(YEAR($C$10),MONTH($C$10)+51,MIN(DAY($C$10),DAY(EOMONTH(DATE(YEAR($C$10),MONTH($C$10)+51,1),0)))),"")</f>
        <v/>
      </c>
      <c r="F56" s="76">
        <f>IF(52&lt;=$C$9,$C$6,"")</f>
        <v/>
      </c>
      <c r="G56" s="77">
        <f>IF(52&lt;=$C$9,IF($C$5="Repetir todo mês",$C$7,IF($C$8="Total da compra",IF(52&lt;$C$9,ROUND($C$7/$C$9,2),ROUND($C$7-ROUND($C$7/$C$9,2)*($C$9-1),2)),$C$7)),"")</f>
        <v/>
      </c>
      <c r="H56" s="76">
        <f>IF(52&lt;=$C$9,IF($C$11&lt;&gt;"",$C$11,IFERROR(INDEX(tbAtalhos[Tipo],MATCH($C$6,tbAtalhos[Descrição],0))&amp;"","Despesa")),"")</f>
        <v/>
      </c>
      <c r="I56" s="76">
        <f>IF(52&lt;=$C$9,IF($C$12&lt;&gt;"",$C$12,IFERROR(INDEX(tbAtalhos[Categoria],MATCH($C$6,tbAtalhos[Descrição],0))&amp;"","")),"")</f>
        <v/>
      </c>
      <c r="J56" s="76">
        <f>IF(52&lt;=$C$9,IF(AND(52=1,$C$17="sim"),IF(IF($C$11&lt;&gt;"",$C$11,IFERROR(INDEX(tbAtalhos[Tipo],MATCH($C$6,tbAtalhos[Descrição],0))&amp;"","Despesa"))="Receita","Recebido","Pago"),"Pendente"),"")</f>
        <v/>
      </c>
      <c r="K56" s="76">
        <f>IF(52&lt;=$C$9,IF($C$13&lt;&gt;"",$C$13,IFERROR(INDEX(tbAtalhos[Pote],MATCH($C$6,tbAtalhos[Descrição],0))&amp;"","")),"")</f>
        <v/>
      </c>
      <c r="L56" s="76">
        <f>IF(52&lt;=$C$9,IF($C$14&lt;&gt;"",$C$14,IFERROR(INDEX(tbAtalhos[Quem],MATCH($C$6,tbAtalhos[Descrição],0))&amp;"","")),"")</f>
        <v/>
      </c>
      <c r="M56" s="76">
        <f>IF(52&lt;=$C$9,IF($C$15&lt;&gt;"",$C$15,IFERROR(INDEX(tbAtalhos[Conta],MATCH($C$6,tbAtalhos[Descrição],0))&amp;"","")),"")</f>
        <v/>
      </c>
      <c r="N56" s="76">
        <f>IF(52&lt;=$C$9,IF($C$16&lt;&gt;"",$C$16,IFERROR(INDEX(tbAtalhos[Forma de pagamento],MATCH($C$6,tbAtalhos[Descrição],0))&amp;"","")),"")</f>
        <v/>
      </c>
      <c r="O56" s="80">
        <f>IF(AND(52&lt;=$C$9,$C$5="Parcelado"),"52/"&amp;$C$9,"")</f>
        <v/>
      </c>
      <c r="P56" s="8" t="n"/>
      <c r="Q56" s="8" t="n"/>
      <c r="R56" s="8" t="n"/>
      <c r="S56" s="8" t="n"/>
      <c r="T56" s="8" t="n"/>
    </row>
    <row r="57" ht="20" customHeight="1">
      <c r="A57" s="8" t="n"/>
      <c r="B57" s="8" t="n"/>
      <c r="C57" s="8" t="n"/>
      <c r="D57" s="8" t="n"/>
      <c r="E57" s="75">
        <f>IF(53&lt;=$C$9,DATE(YEAR($C$10),MONTH($C$10)+52,MIN(DAY($C$10),DAY(EOMONTH(DATE(YEAR($C$10),MONTH($C$10)+52,1),0)))),"")</f>
        <v/>
      </c>
      <c r="F57" s="76">
        <f>IF(53&lt;=$C$9,$C$6,"")</f>
        <v/>
      </c>
      <c r="G57" s="77">
        <f>IF(53&lt;=$C$9,IF($C$5="Repetir todo mês",$C$7,IF($C$8="Total da compra",IF(53&lt;$C$9,ROUND($C$7/$C$9,2),ROUND($C$7-ROUND($C$7/$C$9,2)*($C$9-1),2)),$C$7)),"")</f>
        <v/>
      </c>
      <c r="H57" s="76">
        <f>IF(53&lt;=$C$9,IF($C$11&lt;&gt;"",$C$11,IFERROR(INDEX(tbAtalhos[Tipo],MATCH($C$6,tbAtalhos[Descrição],0))&amp;"","Despesa")),"")</f>
        <v/>
      </c>
      <c r="I57" s="76">
        <f>IF(53&lt;=$C$9,IF($C$12&lt;&gt;"",$C$12,IFERROR(INDEX(tbAtalhos[Categoria],MATCH($C$6,tbAtalhos[Descrição],0))&amp;"","")),"")</f>
        <v/>
      </c>
      <c r="J57" s="76">
        <f>IF(53&lt;=$C$9,IF(AND(53=1,$C$17="sim"),IF(IF($C$11&lt;&gt;"",$C$11,IFERROR(INDEX(tbAtalhos[Tipo],MATCH($C$6,tbAtalhos[Descrição],0))&amp;"","Despesa"))="Receita","Recebido","Pago"),"Pendente"),"")</f>
        <v/>
      </c>
      <c r="K57" s="76">
        <f>IF(53&lt;=$C$9,IF($C$13&lt;&gt;"",$C$13,IFERROR(INDEX(tbAtalhos[Pote],MATCH($C$6,tbAtalhos[Descrição],0))&amp;"","")),"")</f>
        <v/>
      </c>
      <c r="L57" s="76">
        <f>IF(53&lt;=$C$9,IF($C$14&lt;&gt;"",$C$14,IFERROR(INDEX(tbAtalhos[Quem],MATCH($C$6,tbAtalhos[Descrição],0))&amp;"","")),"")</f>
        <v/>
      </c>
      <c r="M57" s="76">
        <f>IF(53&lt;=$C$9,IF($C$15&lt;&gt;"",$C$15,IFERROR(INDEX(tbAtalhos[Conta],MATCH($C$6,tbAtalhos[Descrição],0))&amp;"","")),"")</f>
        <v/>
      </c>
      <c r="N57" s="76">
        <f>IF(53&lt;=$C$9,IF($C$16&lt;&gt;"",$C$16,IFERROR(INDEX(tbAtalhos[Forma de pagamento],MATCH($C$6,tbAtalhos[Descrição],0))&amp;"","")),"")</f>
        <v/>
      </c>
      <c r="O57" s="80">
        <f>IF(AND(53&lt;=$C$9,$C$5="Parcelado"),"53/"&amp;$C$9,"")</f>
        <v/>
      </c>
      <c r="P57" s="8" t="n"/>
      <c r="Q57" s="8" t="n"/>
      <c r="R57" s="8" t="n"/>
      <c r="S57" s="8" t="n"/>
      <c r="T57" s="8" t="n"/>
    </row>
    <row r="58" ht="20" customHeight="1">
      <c r="A58" s="8" t="n"/>
      <c r="B58" s="8" t="n"/>
      <c r="C58" s="8" t="n"/>
      <c r="D58" s="8" t="n"/>
      <c r="E58" s="75">
        <f>IF(54&lt;=$C$9,DATE(YEAR($C$10),MONTH($C$10)+53,MIN(DAY($C$10),DAY(EOMONTH(DATE(YEAR($C$10),MONTH($C$10)+53,1),0)))),"")</f>
        <v/>
      </c>
      <c r="F58" s="76">
        <f>IF(54&lt;=$C$9,$C$6,"")</f>
        <v/>
      </c>
      <c r="G58" s="77">
        <f>IF(54&lt;=$C$9,IF($C$5="Repetir todo mês",$C$7,IF($C$8="Total da compra",IF(54&lt;$C$9,ROUND($C$7/$C$9,2),ROUND($C$7-ROUND($C$7/$C$9,2)*($C$9-1),2)),$C$7)),"")</f>
        <v/>
      </c>
      <c r="H58" s="76">
        <f>IF(54&lt;=$C$9,IF($C$11&lt;&gt;"",$C$11,IFERROR(INDEX(tbAtalhos[Tipo],MATCH($C$6,tbAtalhos[Descrição],0))&amp;"","Despesa")),"")</f>
        <v/>
      </c>
      <c r="I58" s="76">
        <f>IF(54&lt;=$C$9,IF($C$12&lt;&gt;"",$C$12,IFERROR(INDEX(tbAtalhos[Categoria],MATCH($C$6,tbAtalhos[Descrição],0))&amp;"","")),"")</f>
        <v/>
      </c>
      <c r="J58" s="76">
        <f>IF(54&lt;=$C$9,IF(AND(54=1,$C$17="sim"),IF(IF($C$11&lt;&gt;"",$C$11,IFERROR(INDEX(tbAtalhos[Tipo],MATCH($C$6,tbAtalhos[Descrição],0))&amp;"","Despesa"))="Receita","Recebido","Pago"),"Pendente"),"")</f>
        <v/>
      </c>
      <c r="K58" s="76">
        <f>IF(54&lt;=$C$9,IF($C$13&lt;&gt;"",$C$13,IFERROR(INDEX(tbAtalhos[Pote],MATCH($C$6,tbAtalhos[Descrição],0))&amp;"","")),"")</f>
        <v/>
      </c>
      <c r="L58" s="76">
        <f>IF(54&lt;=$C$9,IF($C$14&lt;&gt;"",$C$14,IFERROR(INDEX(tbAtalhos[Quem],MATCH($C$6,tbAtalhos[Descrição],0))&amp;"","")),"")</f>
        <v/>
      </c>
      <c r="M58" s="76">
        <f>IF(54&lt;=$C$9,IF($C$15&lt;&gt;"",$C$15,IFERROR(INDEX(tbAtalhos[Conta],MATCH($C$6,tbAtalhos[Descrição],0))&amp;"","")),"")</f>
        <v/>
      </c>
      <c r="N58" s="76">
        <f>IF(54&lt;=$C$9,IF($C$16&lt;&gt;"",$C$16,IFERROR(INDEX(tbAtalhos[Forma de pagamento],MATCH($C$6,tbAtalhos[Descrição],0))&amp;"","")),"")</f>
        <v/>
      </c>
      <c r="O58" s="80">
        <f>IF(AND(54&lt;=$C$9,$C$5="Parcelado"),"54/"&amp;$C$9,"")</f>
        <v/>
      </c>
      <c r="P58" s="8" t="n"/>
      <c r="Q58" s="8" t="n"/>
      <c r="R58" s="8" t="n"/>
      <c r="S58" s="8" t="n"/>
      <c r="T58" s="8" t="n"/>
    </row>
    <row r="59" ht="20" customHeight="1">
      <c r="A59" s="8" t="n"/>
      <c r="B59" s="8" t="n"/>
      <c r="C59" s="8" t="n"/>
      <c r="D59" s="8" t="n"/>
      <c r="E59" s="75">
        <f>IF(55&lt;=$C$9,DATE(YEAR($C$10),MONTH($C$10)+54,MIN(DAY($C$10),DAY(EOMONTH(DATE(YEAR($C$10),MONTH($C$10)+54,1),0)))),"")</f>
        <v/>
      </c>
      <c r="F59" s="76">
        <f>IF(55&lt;=$C$9,$C$6,"")</f>
        <v/>
      </c>
      <c r="G59" s="77">
        <f>IF(55&lt;=$C$9,IF($C$5="Repetir todo mês",$C$7,IF($C$8="Total da compra",IF(55&lt;$C$9,ROUND($C$7/$C$9,2),ROUND($C$7-ROUND($C$7/$C$9,2)*($C$9-1),2)),$C$7)),"")</f>
        <v/>
      </c>
      <c r="H59" s="76">
        <f>IF(55&lt;=$C$9,IF($C$11&lt;&gt;"",$C$11,IFERROR(INDEX(tbAtalhos[Tipo],MATCH($C$6,tbAtalhos[Descrição],0))&amp;"","Despesa")),"")</f>
        <v/>
      </c>
      <c r="I59" s="76">
        <f>IF(55&lt;=$C$9,IF($C$12&lt;&gt;"",$C$12,IFERROR(INDEX(tbAtalhos[Categoria],MATCH($C$6,tbAtalhos[Descrição],0))&amp;"","")),"")</f>
        <v/>
      </c>
      <c r="J59" s="76">
        <f>IF(55&lt;=$C$9,IF(AND(55=1,$C$17="sim"),IF(IF($C$11&lt;&gt;"",$C$11,IFERROR(INDEX(tbAtalhos[Tipo],MATCH($C$6,tbAtalhos[Descrição],0))&amp;"","Despesa"))="Receita","Recebido","Pago"),"Pendente"),"")</f>
        <v/>
      </c>
      <c r="K59" s="76">
        <f>IF(55&lt;=$C$9,IF($C$13&lt;&gt;"",$C$13,IFERROR(INDEX(tbAtalhos[Pote],MATCH($C$6,tbAtalhos[Descrição],0))&amp;"","")),"")</f>
        <v/>
      </c>
      <c r="L59" s="76">
        <f>IF(55&lt;=$C$9,IF($C$14&lt;&gt;"",$C$14,IFERROR(INDEX(tbAtalhos[Quem],MATCH($C$6,tbAtalhos[Descrição],0))&amp;"","")),"")</f>
        <v/>
      </c>
      <c r="M59" s="76">
        <f>IF(55&lt;=$C$9,IF($C$15&lt;&gt;"",$C$15,IFERROR(INDEX(tbAtalhos[Conta],MATCH($C$6,tbAtalhos[Descrição],0))&amp;"","")),"")</f>
        <v/>
      </c>
      <c r="N59" s="76">
        <f>IF(55&lt;=$C$9,IF($C$16&lt;&gt;"",$C$16,IFERROR(INDEX(tbAtalhos[Forma de pagamento],MATCH($C$6,tbAtalhos[Descrição],0))&amp;"","")),"")</f>
        <v/>
      </c>
      <c r="O59" s="80">
        <f>IF(AND(55&lt;=$C$9,$C$5="Parcelado"),"55/"&amp;$C$9,"")</f>
        <v/>
      </c>
      <c r="P59" s="8" t="n"/>
      <c r="Q59" s="8" t="n"/>
      <c r="R59" s="8" t="n"/>
      <c r="S59" s="8" t="n"/>
      <c r="T59" s="8" t="n"/>
    </row>
    <row r="60" ht="20" customHeight="1">
      <c r="A60" s="8" t="n"/>
      <c r="B60" s="8" t="n"/>
      <c r="C60" s="8" t="n"/>
      <c r="D60" s="8" t="n"/>
      <c r="E60" s="75">
        <f>IF(56&lt;=$C$9,DATE(YEAR($C$10),MONTH($C$10)+55,MIN(DAY($C$10),DAY(EOMONTH(DATE(YEAR($C$10),MONTH($C$10)+55,1),0)))),"")</f>
        <v/>
      </c>
      <c r="F60" s="76">
        <f>IF(56&lt;=$C$9,$C$6,"")</f>
        <v/>
      </c>
      <c r="G60" s="77">
        <f>IF(56&lt;=$C$9,IF($C$5="Repetir todo mês",$C$7,IF($C$8="Total da compra",IF(56&lt;$C$9,ROUND($C$7/$C$9,2),ROUND($C$7-ROUND($C$7/$C$9,2)*($C$9-1),2)),$C$7)),"")</f>
        <v/>
      </c>
      <c r="H60" s="76">
        <f>IF(56&lt;=$C$9,IF($C$11&lt;&gt;"",$C$11,IFERROR(INDEX(tbAtalhos[Tipo],MATCH($C$6,tbAtalhos[Descrição],0))&amp;"","Despesa")),"")</f>
        <v/>
      </c>
      <c r="I60" s="76">
        <f>IF(56&lt;=$C$9,IF($C$12&lt;&gt;"",$C$12,IFERROR(INDEX(tbAtalhos[Categoria],MATCH($C$6,tbAtalhos[Descrição],0))&amp;"","")),"")</f>
        <v/>
      </c>
      <c r="J60" s="76">
        <f>IF(56&lt;=$C$9,IF(AND(56=1,$C$17="sim"),IF(IF($C$11&lt;&gt;"",$C$11,IFERROR(INDEX(tbAtalhos[Tipo],MATCH($C$6,tbAtalhos[Descrição],0))&amp;"","Despesa"))="Receita","Recebido","Pago"),"Pendente"),"")</f>
        <v/>
      </c>
      <c r="K60" s="76">
        <f>IF(56&lt;=$C$9,IF($C$13&lt;&gt;"",$C$13,IFERROR(INDEX(tbAtalhos[Pote],MATCH($C$6,tbAtalhos[Descrição],0))&amp;"","")),"")</f>
        <v/>
      </c>
      <c r="L60" s="76">
        <f>IF(56&lt;=$C$9,IF($C$14&lt;&gt;"",$C$14,IFERROR(INDEX(tbAtalhos[Quem],MATCH($C$6,tbAtalhos[Descrição],0))&amp;"","")),"")</f>
        <v/>
      </c>
      <c r="M60" s="76">
        <f>IF(56&lt;=$C$9,IF($C$15&lt;&gt;"",$C$15,IFERROR(INDEX(tbAtalhos[Conta],MATCH($C$6,tbAtalhos[Descrição],0))&amp;"","")),"")</f>
        <v/>
      </c>
      <c r="N60" s="76">
        <f>IF(56&lt;=$C$9,IF($C$16&lt;&gt;"",$C$16,IFERROR(INDEX(tbAtalhos[Forma de pagamento],MATCH($C$6,tbAtalhos[Descrição],0))&amp;"","")),"")</f>
        <v/>
      </c>
      <c r="O60" s="80">
        <f>IF(AND(56&lt;=$C$9,$C$5="Parcelado"),"56/"&amp;$C$9,"")</f>
        <v/>
      </c>
      <c r="P60" s="8" t="n"/>
      <c r="Q60" s="8" t="n"/>
      <c r="R60" s="8" t="n"/>
      <c r="S60" s="8" t="n"/>
      <c r="T60" s="8" t="n"/>
    </row>
    <row r="61" ht="20" customHeight="1">
      <c r="A61" s="8" t="n"/>
      <c r="B61" s="8" t="n"/>
      <c r="C61" s="8" t="n"/>
      <c r="D61" s="8" t="n"/>
      <c r="E61" s="75">
        <f>IF(57&lt;=$C$9,DATE(YEAR($C$10),MONTH($C$10)+56,MIN(DAY($C$10),DAY(EOMONTH(DATE(YEAR($C$10),MONTH($C$10)+56,1),0)))),"")</f>
        <v/>
      </c>
      <c r="F61" s="76">
        <f>IF(57&lt;=$C$9,$C$6,"")</f>
        <v/>
      </c>
      <c r="G61" s="77">
        <f>IF(57&lt;=$C$9,IF($C$5="Repetir todo mês",$C$7,IF($C$8="Total da compra",IF(57&lt;$C$9,ROUND($C$7/$C$9,2),ROUND($C$7-ROUND($C$7/$C$9,2)*($C$9-1),2)),$C$7)),"")</f>
        <v/>
      </c>
      <c r="H61" s="76">
        <f>IF(57&lt;=$C$9,IF($C$11&lt;&gt;"",$C$11,IFERROR(INDEX(tbAtalhos[Tipo],MATCH($C$6,tbAtalhos[Descrição],0))&amp;"","Despesa")),"")</f>
        <v/>
      </c>
      <c r="I61" s="76">
        <f>IF(57&lt;=$C$9,IF($C$12&lt;&gt;"",$C$12,IFERROR(INDEX(tbAtalhos[Categoria],MATCH($C$6,tbAtalhos[Descrição],0))&amp;"","")),"")</f>
        <v/>
      </c>
      <c r="J61" s="76">
        <f>IF(57&lt;=$C$9,IF(AND(57=1,$C$17="sim"),IF(IF($C$11&lt;&gt;"",$C$11,IFERROR(INDEX(tbAtalhos[Tipo],MATCH($C$6,tbAtalhos[Descrição],0))&amp;"","Despesa"))="Receita","Recebido","Pago"),"Pendente"),"")</f>
        <v/>
      </c>
      <c r="K61" s="76">
        <f>IF(57&lt;=$C$9,IF($C$13&lt;&gt;"",$C$13,IFERROR(INDEX(tbAtalhos[Pote],MATCH($C$6,tbAtalhos[Descrição],0))&amp;"","")),"")</f>
        <v/>
      </c>
      <c r="L61" s="76">
        <f>IF(57&lt;=$C$9,IF($C$14&lt;&gt;"",$C$14,IFERROR(INDEX(tbAtalhos[Quem],MATCH($C$6,tbAtalhos[Descrição],0))&amp;"","")),"")</f>
        <v/>
      </c>
      <c r="M61" s="76">
        <f>IF(57&lt;=$C$9,IF($C$15&lt;&gt;"",$C$15,IFERROR(INDEX(tbAtalhos[Conta],MATCH($C$6,tbAtalhos[Descrição],0))&amp;"","")),"")</f>
        <v/>
      </c>
      <c r="N61" s="76">
        <f>IF(57&lt;=$C$9,IF($C$16&lt;&gt;"",$C$16,IFERROR(INDEX(tbAtalhos[Forma de pagamento],MATCH($C$6,tbAtalhos[Descrição],0))&amp;"","")),"")</f>
        <v/>
      </c>
      <c r="O61" s="80">
        <f>IF(AND(57&lt;=$C$9,$C$5="Parcelado"),"57/"&amp;$C$9,"")</f>
        <v/>
      </c>
      <c r="P61" s="8" t="n"/>
      <c r="Q61" s="8" t="n"/>
      <c r="R61" s="8" t="n"/>
      <c r="S61" s="8" t="n"/>
      <c r="T61" s="8" t="n"/>
    </row>
    <row r="62" ht="20" customHeight="1">
      <c r="A62" s="8" t="n"/>
      <c r="B62" s="8" t="n"/>
      <c r="C62" s="8" t="n"/>
      <c r="D62" s="8" t="n"/>
      <c r="E62" s="75">
        <f>IF(58&lt;=$C$9,DATE(YEAR($C$10),MONTH($C$10)+57,MIN(DAY($C$10),DAY(EOMONTH(DATE(YEAR($C$10),MONTH($C$10)+57,1),0)))),"")</f>
        <v/>
      </c>
      <c r="F62" s="76">
        <f>IF(58&lt;=$C$9,$C$6,"")</f>
        <v/>
      </c>
      <c r="G62" s="77">
        <f>IF(58&lt;=$C$9,IF($C$5="Repetir todo mês",$C$7,IF($C$8="Total da compra",IF(58&lt;$C$9,ROUND($C$7/$C$9,2),ROUND($C$7-ROUND($C$7/$C$9,2)*($C$9-1),2)),$C$7)),"")</f>
        <v/>
      </c>
      <c r="H62" s="76">
        <f>IF(58&lt;=$C$9,IF($C$11&lt;&gt;"",$C$11,IFERROR(INDEX(tbAtalhos[Tipo],MATCH($C$6,tbAtalhos[Descrição],0))&amp;"","Despesa")),"")</f>
        <v/>
      </c>
      <c r="I62" s="76">
        <f>IF(58&lt;=$C$9,IF($C$12&lt;&gt;"",$C$12,IFERROR(INDEX(tbAtalhos[Categoria],MATCH($C$6,tbAtalhos[Descrição],0))&amp;"","")),"")</f>
        <v/>
      </c>
      <c r="J62" s="76">
        <f>IF(58&lt;=$C$9,IF(AND(58=1,$C$17="sim"),IF(IF($C$11&lt;&gt;"",$C$11,IFERROR(INDEX(tbAtalhos[Tipo],MATCH($C$6,tbAtalhos[Descrição],0))&amp;"","Despesa"))="Receita","Recebido","Pago"),"Pendente"),"")</f>
        <v/>
      </c>
      <c r="K62" s="76">
        <f>IF(58&lt;=$C$9,IF($C$13&lt;&gt;"",$C$13,IFERROR(INDEX(tbAtalhos[Pote],MATCH($C$6,tbAtalhos[Descrição],0))&amp;"","")),"")</f>
        <v/>
      </c>
      <c r="L62" s="76">
        <f>IF(58&lt;=$C$9,IF($C$14&lt;&gt;"",$C$14,IFERROR(INDEX(tbAtalhos[Quem],MATCH($C$6,tbAtalhos[Descrição],0))&amp;"","")),"")</f>
        <v/>
      </c>
      <c r="M62" s="76">
        <f>IF(58&lt;=$C$9,IF($C$15&lt;&gt;"",$C$15,IFERROR(INDEX(tbAtalhos[Conta],MATCH($C$6,tbAtalhos[Descrição],0))&amp;"","")),"")</f>
        <v/>
      </c>
      <c r="N62" s="76">
        <f>IF(58&lt;=$C$9,IF($C$16&lt;&gt;"",$C$16,IFERROR(INDEX(tbAtalhos[Forma de pagamento],MATCH($C$6,tbAtalhos[Descrição],0))&amp;"","")),"")</f>
        <v/>
      </c>
      <c r="O62" s="80">
        <f>IF(AND(58&lt;=$C$9,$C$5="Parcelado"),"58/"&amp;$C$9,"")</f>
        <v/>
      </c>
      <c r="P62" s="8" t="n"/>
      <c r="Q62" s="8" t="n"/>
      <c r="R62" s="8" t="n"/>
      <c r="S62" s="8" t="n"/>
      <c r="T62" s="8" t="n"/>
    </row>
    <row r="63" ht="20" customHeight="1">
      <c r="A63" s="8" t="n"/>
      <c r="B63" s="8" t="n"/>
      <c r="C63" s="8" t="n"/>
      <c r="D63" s="8" t="n"/>
      <c r="E63" s="75">
        <f>IF(59&lt;=$C$9,DATE(YEAR($C$10),MONTH($C$10)+58,MIN(DAY($C$10),DAY(EOMONTH(DATE(YEAR($C$10),MONTH($C$10)+58,1),0)))),"")</f>
        <v/>
      </c>
      <c r="F63" s="76">
        <f>IF(59&lt;=$C$9,$C$6,"")</f>
        <v/>
      </c>
      <c r="G63" s="77">
        <f>IF(59&lt;=$C$9,IF($C$5="Repetir todo mês",$C$7,IF($C$8="Total da compra",IF(59&lt;$C$9,ROUND($C$7/$C$9,2),ROUND($C$7-ROUND($C$7/$C$9,2)*($C$9-1),2)),$C$7)),"")</f>
        <v/>
      </c>
      <c r="H63" s="76">
        <f>IF(59&lt;=$C$9,IF($C$11&lt;&gt;"",$C$11,IFERROR(INDEX(tbAtalhos[Tipo],MATCH($C$6,tbAtalhos[Descrição],0))&amp;"","Despesa")),"")</f>
        <v/>
      </c>
      <c r="I63" s="76">
        <f>IF(59&lt;=$C$9,IF($C$12&lt;&gt;"",$C$12,IFERROR(INDEX(tbAtalhos[Categoria],MATCH($C$6,tbAtalhos[Descrição],0))&amp;"","")),"")</f>
        <v/>
      </c>
      <c r="J63" s="76">
        <f>IF(59&lt;=$C$9,IF(AND(59=1,$C$17="sim"),IF(IF($C$11&lt;&gt;"",$C$11,IFERROR(INDEX(tbAtalhos[Tipo],MATCH($C$6,tbAtalhos[Descrição],0))&amp;"","Despesa"))="Receita","Recebido","Pago"),"Pendente"),"")</f>
        <v/>
      </c>
      <c r="K63" s="76">
        <f>IF(59&lt;=$C$9,IF($C$13&lt;&gt;"",$C$13,IFERROR(INDEX(tbAtalhos[Pote],MATCH($C$6,tbAtalhos[Descrição],0))&amp;"","")),"")</f>
        <v/>
      </c>
      <c r="L63" s="76">
        <f>IF(59&lt;=$C$9,IF($C$14&lt;&gt;"",$C$14,IFERROR(INDEX(tbAtalhos[Quem],MATCH($C$6,tbAtalhos[Descrição],0))&amp;"","")),"")</f>
        <v/>
      </c>
      <c r="M63" s="76">
        <f>IF(59&lt;=$C$9,IF($C$15&lt;&gt;"",$C$15,IFERROR(INDEX(tbAtalhos[Conta],MATCH($C$6,tbAtalhos[Descrição],0))&amp;"","")),"")</f>
        <v/>
      </c>
      <c r="N63" s="76">
        <f>IF(59&lt;=$C$9,IF($C$16&lt;&gt;"",$C$16,IFERROR(INDEX(tbAtalhos[Forma de pagamento],MATCH($C$6,tbAtalhos[Descrição],0))&amp;"","")),"")</f>
        <v/>
      </c>
      <c r="O63" s="80">
        <f>IF(AND(59&lt;=$C$9,$C$5="Parcelado"),"59/"&amp;$C$9,"")</f>
        <v/>
      </c>
      <c r="P63" s="8" t="n"/>
      <c r="Q63" s="8" t="n"/>
      <c r="R63" s="8" t="n"/>
      <c r="S63" s="8" t="n"/>
      <c r="T63" s="8" t="n"/>
    </row>
    <row r="64" ht="20" customHeight="1">
      <c r="A64" s="8" t="n"/>
      <c r="B64" s="8" t="n"/>
      <c r="C64" s="8" t="n"/>
      <c r="D64" s="8" t="n"/>
      <c r="E64" s="75">
        <f>IF(60&lt;=$C$9,DATE(YEAR($C$10),MONTH($C$10)+59,MIN(DAY($C$10),DAY(EOMONTH(DATE(YEAR($C$10),MONTH($C$10)+59,1),0)))),"")</f>
        <v/>
      </c>
      <c r="F64" s="76">
        <f>IF(60&lt;=$C$9,$C$6,"")</f>
        <v/>
      </c>
      <c r="G64" s="77">
        <f>IF(60&lt;=$C$9,IF($C$5="Repetir todo mês",$C$7,IF($C$8="Total da compra",IF(60&lt;$C$9,ROUND($C$7/$C$9,2),ROUND($C$7-ROUND($C$7/$C$9,2)*($C$9-1),2)),$C$7)),"")</f>
        <v/>
      </c>
      <c r="H64" s="76">
        <f>IF(60&lt;=$C$9,IF($C$11&lt;&gt;"",$C$11,IFERROR(INDEX(tbAtalhos[Tipo],MATCH($C$6,tbAtalhos[Descrição],0))&amp;"","Despesa")),"")</f>
        <v/>
      </c>
      <c r="I64" s="76">
        <f>IF(60&lt;=$C$9,IF($C$12&lt;&gt;"",$C$12,IFERROR(INDEX(tbAtalhos[Categoria],MATCH($C$6,tbAtalhos[Descrição],0))&amp;"","")),"")</f>
        <v/>
      </c>
      <c r="J64" s="76">
        <f>IF(60&lt;=$C$9,IF(AND(60=1,$C$17="sim"),IF(IF($C$11&lt;&gt;"",$C$11,IFERROR(INDEX(tbAtalhos[Tipo],MATCH($C$6,tbAtalhos[Descrição],0))&amp;"","Despesa"))="Receita","Recebido","Pago"),"Pendente"),"")</f>
        <v/>
      </c>
      <c r="K64" s="76">
        <f>IF(60&lt;=$C$9,IF($C$13&lt;&gt;"",$C$13,IFERROR(INDEX(tbAtalhos[Pote],MATCH($C$6,tbAtalhos[Descrição],0))&amp;"","")),"")</f>
        <v/>
      </c>
      <c r="L64" s="76">
        <f>IF(60&lt;=$C$9,IF($C$14&lt;&gt;"",$C$14,IFERROR(INDEX(tbAtalhos[Quem],MATCH($C$6,tbAtalhos[Descrição],0))&amp;"","")),"")</f>
        <v/>
      </c>
      <c r="M64" s="76">
        <f>IF(60&lt;=$C$9,IF($C$15&lt;&gt;"",$C$15,IFERROR(INDEX(tbAtalhos[Conta],MATCH($C$6,tbAtalhos[Descrição],0))&amp;"","")),"")</f>
        <v/>
      </c>
      <c r="N64" s="76">
        <f>IF(60&lt;=$C$9,IF($C$16&lt;&gt;"",$C$16,IFERROR(INDEX(tbAtalhos[Forma de pagamento],MATCH($C$6,tbAtalhos[Descrição],0))&amp;"","")),"")</f>
        <v/>
      </c>
      <c r="O64" s="80">
        <f>IF(AND(60&lt;=$C$9,$C$5="Parcelado"),"60/"&amp;$C$9,"")</f>
        <v/>
      </c>
      <c r="P64" s="8" t="n"/>
      <c r="Q64" s="8" t="n"/>
      <c r="R64" s="8" t="n"/>
      <c r="S64" s="8" t="n"/>
      <c r="T64" s="8" t="n"/>
    </row>
  </sheetData>
  <mergeCells count="1">
    <mergeCell ref="E2:I2"/>
  </mergeCells>
  <dataValidations count="11">
    <dataValidation sqref="C5" showDropDown="0" showInputMessage="1" showErrorMessage="1" allowBlank="1" prompt="Parcelado: divide em parcelas 1/n, 2/n...  Repetir: o mesmo valor todo mês (aluguel, mesada, assinatura)." type="list">
      <formula1>"Parcelado,Repetir todo mês"</formula1>
    </dataValidation>
    <dataValidation sqref="C6" showDropDown="0" showInputMessage="1" showErrorMessage="0" allowBlank="1" prompt="Pode escolher um favorito: tipo, categoria e pote vêm dele se ficarem vazios abaixo." type="list">
      <formula1>=ListaFavoritos</formula1>
    </dataValidation>
    <dataValidation sqref="C8" showDropDown="0" showInputMessage="0" showErrorMessage="1" allowBlank="1" type="list">
      <formula1>"Total da compra,Valor de cada parcela"</formula1>
    </dataValidation>
    <dataValidation sqref="C11" showDropDown="0" showInputMessage="0" showErrorMessage="0" allowBlank="1" type="list">
      <formula1>=Tipos</formula1>
    </dataValidation>
    <dataValidation sqref="C12" showDropDown="0" showInputMessage="0" showErrorMessage="0" allowBlank="1" type="list">
      <formula1>=Categorias</formula1>
    </dataValidation>
    <dataValidation sqref="C13" showDropDown="0" showInputMessage="0" showErrorMessage="0" allowBlank="1" type="list">
      <formula1>=Potes</formula1>
    </dataValidation>
    <dataValidation sqref="C14" showDropDown="0" showInputMessage="0" showErrorMessage="0" allowBlank="1" type="list">
      <formula1>=Pessoas</formula1>
    </dataValidation>
    <dataValidation sqref="C15" showDropDown="0" showInputMessage="0" showErrorMessage="0" allowBlank="1" type="list">
      <formula1>=Contas</formula1>
    </dataValidation>
    <dataValidation sqref="C16" showDropDown="0" showInputMessage="0" showErrorMessage="0" allowBlank="1" type="list">
      <formula1>=FormasPagamento</formula1>
    </dataValidation>
    <dataValidation sqref="C17" showDropDown="0" showInputMessage="1" showErrorMessage="1" allowBlank="1" prompt="sim: a 1ª entra como Pago; as demais como Pendente." type="list">
      <formula1>"sim,não"</formula1>
    </dataValidation>
    <dataValidation sqref="C9" showDropDown="0" showInputMessage="0" showErrorMessage="1" allowBlank="0" errorTitle="Nº de parcelas" error="Use de 1 a 60." type="whole" operator="between">
      <formula1>1</formula1>
      <formula2>60</formula2>
    </dataValidation>
  </dataValidations>
  <pageMargins left="0.3" right="0.3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tabColor rgb="00F5B942"/>
    <outlinePr summaryBelow="1" summaryRight="1"/>
    <pageSetUpPr fitToPage="1"/>
  </sheetPr>
  <dimension ref="A1:J18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style="1" min="1" max="1"/>
    <col width="28" customWidth="1" style="1" min="2" max="2"/>
    <col width="16" customWidth="1" style="1" min="3" max="3"/>
    <col width="20" customWidth="1" style="1" min="4" max="4"/>
    <col width="16" customWidth="1" style="1" min="5" max="5"/>
    <col width="14" customWidth="1" style="1" min="6" max="6"/>
    <col width="3" customWidth="1" style="1" min="7" max="7"/>
    <col width="46" customWidth="1" style="1" min="8" max="8"/>
    <col width="13" customWidth="1" style="1" min="9" max="9"/>
    <col width="13" customWidth="1" style="1" min="10" max="10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0" customHeight="1">
      <c r="A2" s="1" t="n"/>
      <c r="B2" s="52" t="inlineStr">
        <is>
          <t>Orçamento</t>
        </is>
      </c>
      <c r="C2" s="1" t="n"/>
      <c r="D2" s="1" t="n"/>
      <c r="E2" s="1" t="n"/>
      <c r="F2" s="1" t="n"/>
      <c r="G2" s="1" t="n"/>
      <c r="H2" s="85">
        <f>"Mês de referência: "&amp;MesSelecionado&amp;" / "&amp;AnoSelecionado</f>
        <v/>
      </c>
      <c r="I2" s="1" t="n"/>
      <c r="J2" s="1" t="n"/>
    </row>
    <row r="3" ht="18" customHeight="1">
      <c r="A3" s="1" t="n"/>
      <c r="B3" s="4" t="inlineStr">
        <is>
          <t>Defina a meta mensal de cada categoria de gasto. O realizado acompanha o mês/ano escolhido no Dashboard.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</row>
    <row r="5" ht="32" customHeight="1">
      <c r="A5" s="8" t="n"/>
      <c r="B5" s="55" t="inlineStr">
        <is>
          <t>Categoria</t>
        </is>
      </c>
      <c r="C5" s="55" t="inlineStr">
        <is>
          <t>Meta mensal</t>
        </is>
      </c>
      <c r="D5" s="55" t="inlineStr">
        <is>
          <t>Realizado no mês selecionado</t>
        </is>
      </c>
      <c r="E5" s="55" t="inlineStr">
        <is>
          <t>Diferença</t>
        </is>
      </c>
      <c r="F5" s="55" t="inlineStr">
        <is>
          <t>% usado</t>
        </is>
      </c>
      <c r="G5" s="8" t="n"/>
      <c r="H5" s="86" t="inlineStr">
        <is>
          <t>Legenda do % usado</t>
        </is>
      </c>
      <c r="I5" s="8" t="n"/>
      <c r="J5" s="8" t="n"/>
    </row>
    <row r="6" ht="20" customHeight="1">
      <c r="A6" s="8" t="n"/>
      <c r="B6" s="33" t="inlineStr">
        <is>
          <t>Moradia</t>
        </is>
      </c>
      <c r="C6" s="48" t="n">
        <v>3100</v>
      </c>
      <c r="D6" s="48">
        <f>SUMIFS(tbLancamentos[Valor],tbLancamentos[Categoria],tbOrcamento[[#This Row],[Categoria]],tbLancamentos[Tipo],"&lt;&gt;Receita",tbLancamentos[Conta no mês?],"sim",tbLancamentos[Mês],MesNum,tbLancamentos[Ano],AnoSelecionado)</f>
        <v/>
      </c>
      <c r="E6" s="48">
        <f>tbOrcamento[[#This Row],[Meta mensal]]-tbOrcamento[[#This Row],[Realizado no mês selecionado]]</f>
        <v/>
      </c>
      <c r="F6" s="87">
        <f>IF(tbOrcamento[[#This Row],[Meta mensal]]&gt;0,tbOrcamento[[#This Row],[Realizado no mês selecionado]]/tbOrcamento[[#This Row],[Meta mensal]],0)</f>
        <v/>
      </c>
      <c r="G6" s="8" t="n"/>
      <c r="H6" s="88" t="inlineStr">
        <is>
          <t>●  até 80% — dentro do planejado</t>
        </is>
      </c>
      <c r="I6" s="8" t="n"/>
      <c r="J6" s="8" t="n"/>
    </row>
    <row r="7" ht="20" customHeight="1">
      <c r="A7" s="8" t="n"/>
      <c r="B7" s="33" t="inlineStr">
        <is>
          <t>Contas da casa</t>
        </is>
      </c>
      <c r="C7" s="48" t="n">
        <v>520</v>
      </c>
      <c r="D7" s="48">
        <f>SUMIFS(tbLancamentos[Valor],tbLancamentos[Categoria],tbOrcamento[[#This Row],[Categoria]],tbLancamentos[Tipo],"&lt;&gt;Receita",tbLancamentos[Conta no mês?],"sim",tbLancamentos[Mês],MesNum,tbLancamentos[Ano],AnoSelecionado)</f>
        <v/>
      </c>
      <c r="E7" s="48">
        <f>tbOrcamento[[#This Row],[Meta mensal]]-tbOrcamento[[#This Row],[Realizado no mês selecionado]]</f>
        <v/>
      </c>
      <c r="F7" s="87">
        <f>IF(tbOrcamento[[#This Row],[Meta mensal]]&gt;0,tbOrcamento[[#This Row],[Realizado no mês selecionado]]/tbOrcamento[[#This Row],[Meta mensal]],0)</f>
        <v/>
      </c>
      <c r="G7" s="8" t="n"/>
      <c r="H7" s="89" t="inlineStr">
        <is>
          <t>●  80% a 100% — atenção</t>
        </is>
      </c>
      <c r="I7" s="8" t="n"/>
      <c r="J7" s="8" t="n"/>
    </row>
    <row r="8" ht="20" customHeight="1">
      <c r="A8" s="8" t="n"/>
      <c r="B8" s="33" t="inlineStr">
        <is>
          <t>Alimentação</t>
        </is>
      </c>
      <c r="C8" s="48" t="n">
        <v>1700</v>
      </c>
      <c r="D8" s="48">
        <f>SUMIFS(tbLancamentos[Valor],tbLancamentos[Categoria],tbOrcamento[[#This Row],[Categoria]],tbLancamentos[Tipo],"&lt;&gt;Receita",tbLancamentos[Conta no mês?],"sim",tbLancamentos[Mês],MesNum,tbLancamentos[Ano],AnoSelecionado)</f>
        <v/>
      </c>
      <c r="E8" s="48">
        <f>tbOrcamento[[#This Row],[Meta mensal]]-tbOrcamento[[#This Row],[Realizado no mês selecionado]]</f>
        <v/>
      </c>
      <c r="F8" s="87">
        <f>IF(tbOrcamento[[#This Row],[Meta mensal]]&gt;0,tbOrcamento[[#This Row],[Realizado no mês selecionado]]/tbOrcamento[[#This Row],[Meta mensal]],0)</f>
        <v/>
      </c>
      <c r="G8" s="8" t="n"/>
      <c r="H8" s="90" t="inlineStr">
        <is>
          <t>●  acima de 100% — estourou a meta</t>
        </is>
      </c>
      <c r="I8" s="8" t="n"/>
      <c r="J8" s="8" t="n"/>
    </row>
    <row r="9" ht="20" customHeight="1">
      <c r="A9" s="8" t="n"/>
      <c r="B9" s="33" t="inlineStr">
        <is>
          <t>Restaurantes e delivery</t>
        </is>
      </c>
      <c r="C9" s="48" t="n">
        <v>450</v>
      </c>
      <c r="D9" s="48">
        <f>SUMIFS(tbLancamentos[Valor],tbLancamentos[Categoria],tbOrcamento[[#This Row],[Categoria]],tbLancamentos[Tipo],"&lt;&gt;Receita",tbLancamentos[Conta no mês?],"sim",tbLancamentos[Mês],MesNum,tbLancamentos[Ano],AnoSelecionado)</f>
        <v/>
      </c>
      <c r="E9" s="48">
        <f>tbOrcamento[[#This Row],[Meta mensal]]-tbOrcamento[[#This Row],[Realizado no mês selecionado]]</f>
        <v/>
      </c>
      <c r="F9" s="87">
        <f>IF(tbOrcamento[[#This Row],[Meta mensal]]&gt;0,tbOrcamento[[#This Row],[Realizado no mês selecionado]]/tbOrcamento[[#This Row],[Meta mensal]],0)</f>
        <v/>
      </c>
      <c r="G9" s="8" t="n"/>
      <c r="H9" s="8" t="n"/>
      <c r="I9" s="8" t="n"/>
      <c r="J9" s="8" t="n"/>
    </row>
    <row r="10" ht="20" customHeight="1">
      <c r="A10" s="8" t="n"/>
      <c r="B10" s="33" t="inlineStr">
        <is>
          <t>Transporte</t>
        </is>
      </c>
      <c r="C10" s="48" t="n">
        <v>700</v>
      </c>
      <c r="D10" s="48">
        <f>SUMIFS(tbLancamentos[Valor],tbLancamentos[Categoria],tbOrcamento[[#This Row],[Categoria]],tbLancamentos[Tipo],"&lt;&gt;Receita",tbLancamentos[Conta no mês?],"sim",tbLancamentos[Mês],MesNum,tbLancamentos[Ano],AnoSelecionado)</f>
        <v/>
      </c>
      <c r="E10" s="48">
        <f>tbOrcamento[[#This Row],[Meta mensal]]-tbOrcamento[[#This Row],[Realizado no mês selecionado]]</f>
        <v/>
      </c>
      <c r="F10" s="87">
        <f>IF(tbOrcamento[[#This Row],[Meta mensal]]&gt;0,tbOrcamento[[#This Row],[Realizado no mês selecionado]]/tbOrcamento[[#This Row],[Meta mensal]],0)</f>
        <v/>
      </c>
      <c r="G10" s="8" t="n"/>
      <c r="H10" s="91" t="inlineStr">
        <is>
          <t>Metas de exemplo: ajuste para a sua realidade.</t>
        </is>
      </c>
      <c r="I10" s="8" t="n"/>
      <c r="J10" s="8" t="n"/>
    </row>
    <row r="11" ht="20" customHeight="1">
      <c r="A11" s="8" t="n"/>
      <c r="B11" s="33" t="inlineStr">
        <is>
          <t>Educação</t>
        </is>
      </c>
      <c r="C11" s="48" t="n">
        <v>1500</v>
      </c>
      <c r="D11" s="48">
        <f>SUMIFS(tbLancamentos[Valor],tbLancamentos[Categoria],tbOrcamento[[#This Row],[Categoria]],tbLancamentos[Tipo],"&lt;&gt;Receita",tbLancamentos[Conta no mês?],"sim",tbLancamentos[Mês],MesNum,tbLancamentos[Ano],AnoSelecionado)</f>
        <v/>
      </c>
      <c r="E11" s="48">
        <f>tbOrcamento[[#This Row],[Meta mensal]]-tbOrcamento[[#This Row],[Realizado no mês selecionado]]</f>
        <v/>
      </c>
      <c r="F11" s="87">
        <f>IF(tbOrcamento[[#This Row],[Meta mensal]]&gt;0,tbOrcamento[[#This Row],[Realizado no mês selecionado]]/tbOrcamento[[#This Row],[Meta mensal]],0)</f>
        <v/>
      </c>
      <c r="G11" s="8" t="n"/>
      <c r="H11" s="8" t="n"/>
      <c r="I11" s="8" t="n"/>
      <c r="J11" s="8" t="n"/>
    </row>
    <row r="12" ht="20" customHeight="1">
      <c r="A12" s="8" t="n"/>
      <c r="B12" s="33" t="inlineStr">
        <is>
          <t>Saúde</t>
        </is>
      </c>
      <c r="C12" s="48" t="n">
        <v>1100</v>
      </c>
      <c r="D12" s="48">
        <f>SUMIFS(tbLancamentos[Valor],tbLancamentos[Categoria],tbOrcamento[[#This Row],[Categoria]],tbLancamentos[Tipo],"&lt;&gt;Receita",tbLancamentos[Conta no mês?],"sim",tbLancamentos[Mês],MesNum,tbLancamentos[Ano],AnoSelecionado)</f>
        <v/>
      </c>
      <c r="E12" s="48">
        <f>tbOrcamento[[#This Row],[Meta mensal]]-tbOrcamento[[#This Row],[Realizado no mês selecionado]]</f>
        <v/>
      </c>
      <c r="F12" s="87">
        <f>IF(tbOrcamento[[#This Row],[Meta mensal]]&gt;0,tbOrcamento[[#This Row],[Realizado no mês selecionado]]/tbOrcamento[[#This Row],[Meta mensal]],0)</f>
        <v/>
      </c>
      <c r="G12" s="8" t="n"/>
      <c r="H12" s="8" t="n"/>
      <c r="I12" s="8" t="n"/>
      <c r="J12" s="8" t="n"/>
    </row>
    <row r="13" ht="20" customHeight="1">
      <c r="A13" s="8" t="n"/>
      <c r="B13" s="33" t="inlineStr">
        <is>
          <t>Lazer</t>
        </is>
      </c>
      <c r="C13" s="48" t="n">
        <v>600</v>
      </c>
      <c r="D13" s="48">
        <f>SUMIFS(tbLancamentos[Valor],tbLancamentos[Categoria],tbOrcamento[[#This Row],[Categoria]],tbLancamentos[Tipo],"&lt;&gt;Receita",tbLancamentos[Conta no mês?],"sim",tbLancamentos[Mês],MesNum,tbLancamentos[Ano],AnoSelecionado)</f>
        <v/>
      </c>
      <c r="E13" s="48">
        <f>tbOrcamento[[#This Row],[Meta mensal]]-tbOrcamento[[#This Row],[Realizado no mês selecionado]]</f>
        <v/>
      </c>
      <c r="F13" s="87">
        <f>IF(tbOrcamento[[#This Row],[Meta mensal]]&gt;0,tbOrcamento[[#This Row],[Realizado no mês selecionado]]/tbOrcamento[[#This Row],[Meta mensal]],0)</f>
        <v/>
      </c>
      <c r="G13" s="8" t="n"/>
      <c r="H13" s="8" t="n"/>
      <c r="I13" s="8" t="n"/>
      <c r="J13" s="8" t="n"/>
    </row>
    <row r="14" ht="20" customHeight="1">
      <c r="A14" s="8" t="n"/>
      <c r="B14" s="33" t="inlineStr">
        <is>
          <t>Assinaturas</t>
        </is>
      </c>
      <c r="C14" s="48" t="n">
        <v>260</v>
      </c>
      <c r="D14" s="48">
        <f>SUMIFS(tbLancamentos[Valor],tbLancamentos[Categoria],tbOrcamento[[#This Row],[Categoria]],tbLancamentos[Tipo],"&lt;&gt;Receita",tbLancamentos[Conta no mês?],"sim",tbLancamentos[Mês],MesNum,tbLancamentos[Ano],AnoSelecionado)</f>
        <v/>
      </c>
      <c r="E14" s="48">
        <f>tbOrcamento[[#This Row],[Meta mensal]]-tbOrcamento[[#This Row],[Realizado no mês selecionado]]</f>
        <v/>
      </c>
      <c r="F14" s="87">
        <f>IF(tbOrcamento[[#This Row],[Meta mensal]]&gt;0,tbOrcamento[[#This Row],[Realizado no mês selecionado]]/tbOrcamento[[#This Row],[Meta mensal]],0)</f>
        <v/>
      </c>
      <c r="G14" s="8" t="n"/>
      <c r="H14" s="8" t="n"/>
      <c r="I14" s="8" t="n"/>
      <c r="J14" s="8" t="n"/>
    </row>
    <row r="15" ht="20" customHeight="1">
      <c r="A15" s="8" t="n"/>
      <c r="B15" s="33" t="inlineStr">
        <is>
          <t>Compras</t>
        </is>
      </c>
      <c r="C15" s="48" t="n">
        <v>500</v>
      </c>
      <c r="D15" s="48">
        <f>SUMIFS(tbLancamentos[Valor],tbLancamentos[Categoria],tbOrcamento[[#This Row],[Categoria]],tbLancamentos[Tipo],"&lt;&gt;Receita",tbLancamentos[Conta no mês?],"sim",tbLancamentos[Mês],MesNum,tbLancamentos[Ano],AnoSelecionado)</f>
        <v/>
      </c>
      <c r="E15" s="48">
        <f>tbOrcamento[[#This Row],[Meta mensal]]-tbOrcamento[[#This Row],[Realizado no mês selecionado]]</f>
        <v/>
      </c>
      <c r="F15" s="87">
        <f>IF(tbOrcamento[[#This Row],[Meta mensal]]&gt;0,tbOrcamento[[#This Row],[Realizado no mês selecionado]]/tbOrcamento[[#This Row],[Meta mensal]],0)</f>
        <v/>
      </c>
      <c r="G15" s="8" t="n"/>
      <c r="H15" s="8" t="n"/>
      <c r="I15" s="8" t="n"/>
      <c r="J15" s="8" t="n"/>
    </row>
    <row r="16" ht="20" customHeight="1">
      <c r="A16" s="8" t="n"/>
      <c r="B16" s="33" t="inlineStr">
        <is>
          <t>Impostos e taxas</t>
        </is>
      </c>
      <c r="C16" s="48" t="n">
        <v>200</v>
      </c>
      <c r="D16" s="48">
        <f>SUMIFS(tbLancamentos[Valor],tbLancamentos[Categoria],tbOrcamento[[#This Row],[Categoria]],tbLancamentos[Tipo],"&lt;&gt;Receita",tbLancamentos[Conta no mês?],"sim",tbLancamentos[Mês],MesNum,tbLancamentos[Ano],AnoSelecionado)</f>
        <v/>
      </c>
      <c r="E16" s="48">
        <f>tbOrcamento[[#This Row],[Meta mensal]]-tbOrcamento[[#This Row],[Realizado no mês selecionado]]</f>
        <v/>
      </c>
      <c r="F16" s="87">
        <f>IF(tbOrcamento[[#This Row],[Meta mensal]]&gt;0,tbOrcamento[[#This Row],[Realizado no mês selecionado]]/tbOrcamento[[#This Row],[Meta mensal]],0)</f>
        <v/>
      </c>
      <c r="G16" s="8" t="n"/>
      <c r="H16" s="8" t="n"/>
      <c r="I16" s="8" t="n"/>
      <c r="J16" s="8" t="n"/>
    </row>
    <row r="17" ht="20" customHeight="1">
      <c r="A17" s="8" t="n"/>
      <c r="B17" s="33" t="inlineStr">
        <is>
          <t>Outros</t>
        </is>
      </c>
      <c r="C17" s="48" t="n">
        <v>300</v>
      </c>
      <c r="D17" s="48">
        <f>SUMIFS(tbLancamentos[Valor],tbLancamentos[Categoria],tbOrcamento[[#This Row],[Categoria]],tbLancamentos[Tipo],"&lt;&gt;Receita",tbLancamentos[Conta no mês?],"sim",tbLancamentos[Mês],MesNum,tbLancamentos[Ano],AnoSelecionado)</f>
        <v/>
      </c>
      <c r="E17" s="48">
        <f>tbOrcamento[[#This Row],[Meta mensal]]-tbOrcamento[[#This Row],[Realizado no mês selecionado]]</f>
        <v/>
      </c>
      <c r="F17" s="87">
        <f>IF(tbOrcamento[[#This Row],[Meta mensal]]&gt;0,tbOrcamento[[#This Row],[Realizado no mês selecionado]]/tbOrcamento[[#This Row],[Meta mensal]],0)</f>
        <v/>
      </c>
      <c r="G17" s="8" t="n"/>
      <c r="H17" s="8" t="n"/>
      <c r="I17" s="8" t="n"/>
      <c r="J17" s="8" t="n"/>
    </row>
    <row r="18" ht="20" customHeight="1">
      <c r="A18" s="8" t="n"/>
      <c r="B18" s="92" t="inlineStr">
        <is>
          <t>Total</t>
        </is>
      </c>
      <c r="C18" s="93">
        <f>SUBTOTAL(109,tbOrcamento[Meta mensal])</f>
        <v/>
      </c>
      <c r="D18" s="93">
        <f>SUBTOTAL(109,tbOrcamento[Realizado no mês selecionado])</f>
        <v/>
      </c>
      <c r="E18" s="93">
        <f>SUBTOTAL(109,tbOrcamento[Diferença])</f>
        <v/>
      </c>
      <c r="F18" s="94">
        <f>IF(SUM(tbOrcamento[Meta mensal])&gt;0,SUM(tbOrcamento[Realizado no mês selecionado])/SUM(tbOrcamento[Meta mensal]),0)</f>
        <v/>
      </c>
      <c r="G18" s="8" t="n"/>
      <c r="H18" s="8" t="n"/>
      <c r="I18" s="8" t="n"/>
      <c r="J18" s="8" t="n"/>
    </row>
  </sheetData>
  <mergeCells count="1">
    <mergeCell ref="H10:H13"/>
  </mergeCells>
  <conditionalFormatting sqref="F6:F18">
    <cfRule type="dataBar" priority="1">
      <dataBar showValue="1">
        <cfvo type="num" val="0"/>
        <cfvo type="num" val="1.2"/>
        <color rgb="FF395C9E"/>
      </dataBar>
      <extLst>
        <ext xmlns:x14="http://schemas.microsoft.com/office/spreadsheetml/2009/9/main" uri="{B025F937-C7B1-47D3-B67F-A62EFF666E3E}">
          <x14:id>{DA7ABA02-0000-4000-8000-000000000002}</x14:id>
        </ext>
      </extLst>
    </cfRule>
    <cfRule type="expression" priority="2" dxfId="0" stopIfTrue="0">
      <formula>AND(ISNUMBER(F6),F6&gt;1)</formula>
    </cfRule>
    <cfRule type="expression" priority="3" dxfId="2" stopIfTrue="0">
      <formula>AND(ISNUMBER(F6),F6&gt;0.8,F6&lt;=1)</formula>
    </cfRule>
    <cfRule type="expression" priority="4" dxfId="1" stopIfTrue="0">
      <formula>AND(ISNUMBER(F6),F6&lt;=0.8)</formula>
    </cfRule>
  </conditionalFormatting>
  <conditionalFormatting sqref="E6:E18">
    <cfRule type="expression" priority="5" dxfId="3">
      <formula>E6&lt;0</formula>
    </cfRule>
  </conditionalFormatting>
  <dataValidations count="1">
    <dataValidation sqref="B6:B58" showDropDown="0" showInputMessage="0" showErrorMessage="1" allowBlank="1" errorTitle="Valor inválido" error="Use uma categoria de gasto cadastrada na aba Config." type="list">
      <formula1>=CatDespesa</formula1>
    </dataValidation>
  </dataValidations>
  <pageMargins left="0.3" right="0.3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02-0000-4000-8000-000000000002}">
            <x14:dataBar minLength="0" maxLength="100" border="0" gradient="0">
              <x14:cfvo type="num">
                <xm:f>0</xm:f>
              </x14:cfvo>
              <x14:cfvo type="num">
                <xm:f>1.2</xm:f>
              </x14:cfvo>
              <x14:negativeFillColor rgb="FFFF5C5C"/>
              <x14:axisColor rgb="FF9AA0A6"/>
            </x14:dataBar>
          </x14:cfRule>
          <xm:sqref>F6:F18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>
  <sheetPr>
    <tabColor rgb="009B7BFF"/>
    <outlinePr summaryBelow="1" summaryRight="1"/>
    <pageSetUpPr fitToPage="1"/>
  </sheetPr>
  <dimension ref="A1:T35"/>
  <sheetViews>
    <sheetView showGridLines="0" tabSelected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style="1" min="1" max="1"/>
    <col width="26" customWidth="1" style="1" min="2" max="2"/>
    <col width="11.5" customWidth="1" style="1" min="3" max="3"/>
    <col width="11.5" customWidth="1" style="1" min="4" max="4"/>
    <col width="11.5" customWidth="1" style="1" min="5" max="5"/>
    <col width="11.5" customWidth="1" style="1" min="6" max="6"/>
    <col width="11.5" customWidth="1" style="1" min="7" max="7"/>
    <col width="11.5" customWidth="1" style="1" min="8" max="8"/>
    <col width="11.5" customWidth="1" style="1" min="9" max="9"/>
    <col width="11.5" customWidth="1" style="1" min="10" max="10"/>
    <col width="11.5" customWidth="1" style="1" min="11" max="11"/>
    <col width="11.5" customWidth="1" style="1" min="12" max="12"/>
    <col width="11.5" customWidth="1" style="1" min="13" max="13"/>
    <col width="11.5" customWidth="1" style="1" min="14" max="14"/>
    <col width="14" customWidth="1" style="1" min="15" max="15"/>
    <col width="13" customWidth="1" style="1" min="16" max="16"/>
    <col width="16" customWidth="1" style="1" min="17" max="17"/>
    <col width="2" customWidth="1" style="1" min="18" max="18"/>
    <col width="13" customWidth="1" style="1" min="19" max="19"/>
    <col width="13" customWidth="1" style="1" min="20" max="20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30" customHeight="1">
      <c r="A2" s="1" t="n"/>
      <c r="B2" s="52" t="inlineStr">
        <is>
          <t>Visão anual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95">
        <f>"Ano: "&amp;AnoSelecionado</f>
        <v/>
      </c>
      <c r="P2" s="8" t="n"/>
      <c r="Q2" s="8" t="n"/>
      <c r="R2" s="1" t="n"/>
      <c r="S2" s="1" t="n"/>
      <c r="T2" s="1" t="n"/>
    </row>
    <row r="3" ht="18" customHeight="1">
      <c r="A3" s="1" t="n"/>
      <c r="B3" s="4" t="inlineStr">
        <is>
          <t>Categorias × meses do ano selecionado no Dashboard. Linhas vazias estão reservadas para categorias novas cadastradas na aba Config.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</row>
    <row r="5" ht="24" customHeight="1">
      <c r="A5" s="8" t="n"/>
      <c r="B5" s="55" t="inlineStr">
        <is>
          <t>Categoria</t>
        </is>
      </c>
      <c r="C5" s="96" t="inlineStr">
        <is>
          <t>Jan</t>
        </is>
      </c>
      <c r="D5" s="96" t="inlineStr">
        <is>
          <t>Fev</t>
        </is>
      </c>
      <c r="E5" s="96" t="inlineStr">
        <is>
          <t>Mar</t>
        </is>
      </c>
      <c r="F5" s="96" t="inlineStr">
        <is>
          <t>Abr</t>
        </is>
      </c>
      <c r="G5" s="96" t="inlineStr">
        <is>
          <t>Mai</t>
        </is>
      </c>
      <c r="H5" s="96" t="inlineStr">
        <is>
          <t>Jun</t>
        </is>
      </c>
      <c r="I5" s="96" t="inlineStr">
        <is>
          <t>Jul</t>
        </is>
      </c>
      <c r="J5" s="96" t="inlineStr">
        <is>
          <t>Ago</t>
        </is>
      </c>
      <c r="K5" s="96" t="inlineStr">
        <is>
          <t>Set</t>
        </is>
      </c>
      <c r="L5" s="96" t="inlineStr">
        <is>
          <t>Out</t>
        </is>
      </c>
      <c r="M5" s="96" t="inlineStr">
        <is>
          <t>Nov</t>
        </is>
      </c>
      <c r="N5" s="96" t="inlineStr">
        <is>
          <t>Dez</t>
        </is>
      </c>
      <c r="O5" s="96" t="inlineStr">
        <is>
          <t>Total</t>
        </is>
      </c>
      <c r="P5" s="96" t="inlineStr">
        <is>
          <t>Média mensal</t>
        </is>
      </c>
      <c r="Q5" s="97" t="inlineStr">
        <is>
          <t>Tendência</t>
        </is>
      </c>
      <c r="R5" s="8" t="n"/>
      <c r="S5" s="8" t="n"/>
      <c r="T5" s="8" t="n"/>
    </row>
    <row r="6" ht="22" customHeight="1">
      <c r="A6" s="8" t="n"/>
      <c r="B6" s="98" t="inlineStr">
        <is>
          <t>RECEITAS</t>
        </is>
      </c>
      <c r="C6" s="99" t="n"/>
      <c r="D6" s="99" t="n"/>
      <c r="E6" s="99" t="n"/>
      <c r="F6" s="99" t="n"/>
      <c r="G6" s="99" t="n"/>
      <c r="H6" s="99" t="n"/>
      <c r="I6" s="99" t="n"/>
      <c r="J6" s="99" t="n"/>
      <c r="K6" s="99" t="n"/>
      <c r="L6" s="99" t="n"/>
      <c r="M6" s="99" t="n"/>
      <c r="N6" s="99" t="n"/>
      <c r="O6" s="99" t="n"/>
      <c r="P6" s="99" t="n"/>
      <c r="Q6" s="99" t="n"/>
      <c r="R6" s="8" t="n"/>
      <c r="S6" s="8" t="n"/>
      <c r="T6" s="8" t="n"/>
    </row>
    <row r="7" ht="20" customHeight="1">
      <c r="A7" s="8" t="n"/>
      <c r="B7" s="33">
        <f>IF(1&lt;=Calc!$B$20,INDEX(Config!$B$6:$B$1000,1),"")</f>
        <v/>
      </c>
      <c r="C7" s="100">
        <f>IF($B7="",0,SUMIFS(tbLancamentos[Valor],tbLancamentos[Categoria],$B7,tbLancamentos[Tipo],"Receita",tbLancamentos[Conta no mês?],"sim",tbLancamentos[Mês],1,tbLancamentos[Ano],AnoSelecionado))</f>
        <v/>
      </c>
      <c r="D7" s="100">
        <f>IF($B7="",0,SUMIFS(tbLancamentos[Valor],tbLancamentos[Categoria],$B7,tbLancamentos[Tipo],"Receita",tbLancamentos[Conta no mês?],"sim",tbLancamentos[Mês],2,tbLancamentos[Ano],AnoSelecionado))</f>
        <v/>
      </c>
      <c r="E7" s="100">
        <f>IF($B7="",0,SUMIFS(tbLancamentos[Valor],tbLancamentos[Categoria],$B7,tbLancamentos[Tipo],"Receita",tbLancamentos[Conta no mês?],"sim",tbLancamentos[Mês],3,tbLancamentos[Ano],AnoSelecionado))</f>
        <v/>
      </c>
      <c r="F7" s="100">
        <f>IF($B7="",0,SUMIFS(tbLancamentos[Valor],tbLancamentos[Categoria],$B7,tbLancamentos[Tipo],"Receita",tbLancamentos[Conta no mês?],"sim",tbLancamentos[Mês],4,tbLancamentos[Ano],AnoSelecionado))</f>
        <v/>
      </c>
      <c r="G7" s="100">
        <f>IF($B7="",0,SUMIFS(tbLancamentos[Valor],tbLancamentos[Categoria],$B7,tbLancamentos[Tipo],"Receita",tbLancamentos[Conta no mês?],"sim",tbLancamentos[Mês],5,tbLancamentos[Ano],AnoSelecionado))</f>
        <v/>
      </c>
      <c r="H7" s="100">
        <f>IF($B7="",0,SUMIFS(tbLancamentos[Valor],tbLancamentos[Categoria],$B7,tbLancamentos[Tipo],"Receita",tbLancamentos[Conta no mês?],"sim",tbLancamentos[Mês],6,tbLancamentos[Ano],AnoSelecionado))</f>
        <v/>
      </c>
      <c r="I7" s="100">
        <f>IF($B7="",0,SUMIFS(tbLancamentos[Valor],tbLancamentos[Categoria],$B7,tbLancamentos[Tipo],"Receita",tbLancamentos[Conta no mês?],"sim",tbLancamentos[Mês],7,tbLancamentos[Ano],AnoSelecionado))</f>
        <v/>
      </c>
      <c r="J7" s="100">
        <f>IF($B7="",0,SUMIFS(tbLancamentos[Valor],tbLancamentos[Categoria],$B7,tbLancamentos[Tipo],"Receita",tbLancamentos[Conta no mês?],"sim",tbLancamentos[Mês],8,tbLancamentos[Ano],AnoSelecionado))</f>
        <v/>
      </c>
      <c r="K7" s="100">
        <f>IF($B7="",0,SUMIFS(tbLancamentos[Valor],tbLancamentos[Categoria],$B7,tbLancamentos[Tipo],"Receita",tbLancamentos[Conta no mês?],"sim",tbLancamentos[Mês],9,tbLancamentos[Ano],AnoSelecionado))</f>
        <v/>
      </c>
      <c r="L7" s="100">
        <f>IF($B7="",0,SUMIFS(tbLancamentos[Valor],tbLancamentos[Categoria],$B7,tbLancamentos[Tipo],"Receita",tbLancamentos[Conta no mês?],"sim",tbLancamentos[Mês],10,tbLancamentos[Ano],AnoSelecionado))</f>
        <v/>
      </c>
      <c r="M7" s="100">
        <f>IF($B7="",0,SUMIFS(tbLancamentos[Valor],tbLancamentos[Categoria],$B7,tbLancamentos[Tipo],"Receita",tbLancamentos[Conta no mês?],"sim",tbLancamentos[Mês],11,tbLancamentos[Ano],AnoSelecionado))</f>
        <v/>
      </c>
      <c r="N7" s="100">
        <f>IF($B7="",0,SUMIFS(tbLancamentos[Valor],tbLancamentos[Categoria],$B7,tbLancamentos[Tipo],"Receita",tbLancamentos[Conta no mês?],"sim",tbLancamentos[Mês],12,tbLancamentos[Ano],AnoSelecionado))</f>
        <v/>
      </c>
      <c r="O7" s="100">
        <f>SUM(C7:N7)</f>
        <v/>
      </c>
      <c r="P7" s="100">
        <f>IF(Calc!$B$26&gt;0,O7/Calc!$B$26,0)</f>
        <v/>
      </c>
      <c r="Q7" s="101" t="n"/>
      <c r="R7" s="8" t="n"/>
      <c r="S7" s="8" t="n"/>
      <c r="T7" s="8" t="n"/>
    </row>
    <row r="8" ht="20" customHeight="1">
      <c r="A8" s="8" t="n"/>
      <c r="B8" s="33">
        <f>IF(2&lt;=Calc!$B$20,INDEX(Config!$B$6:$B$1000,2),"")</f>
        <v/>
      </c>
      <c r="C8" s="100">
        <f>IF($B8="",0,SUMIFS(tbLancamentos[Valor],tbLancamentos[Categoria],$B8,tbLancamentos[Tipo],"Receita",tbLancamentos[Conta no mês?],"sim",tbLancamentos[Mês],1,tbLancamentos[Ano],AnoSelecionado))</f>
        <v/>
      </c>
      <c r="D8" s="100">
        <f>IF($B8="",0,SUMIFS(tbLancamentos[Valor],tbLancamentos[Categoria],$B8,tbLancamentos[Tipo],"Receita",tbLancamentos[Conta no mês?],"sim",tbLancamentos[Mês],2,tbLancamentos[Ano],AnoSelecionado))</f>
        <v/>
      </c>
      <c r="E8" s="100">
        <f>IF($B8="",0,SUMIFS(tbLancamentos[Valor],tbLancamentos[Categoria],$B8,tbLancamentos[Tipo],"Receita",tbLancamentos[Conta no mês?],"sim",tbLancamentos[Mês],3,tbLancamentos[Ano],AnoSelecionado))</f>
        <v/>
      </c>
      <c r="F8" s="100">
        <f>IF($B8="",0,SUMIFS(tbLancamentos[Valor],tbLancamentos[Categoria],$B8,tbLancamentos[Tipo],"Receita",tbLancamentos[Conta no mês?],"sim",tbLancamentos[Mês],4,tbLancamentos[Ano],AnoSelecionado))</f>
        <v/>
      </c>
      <c r="G8" s="100">
        <f>IF($B8="",0,SUMIFS(tbLancamentos[Valor],tbLancamentos[Categoria],$B8,tbLancamentos[Tipo],"Receita",tbLancamentos[Conta no mês?],"sim",tbLancamentos[Mês],5,tbLancamentos[Ano],AnoSelecionado))</f>
        <v/>
      </c>
      <c r="H8" s="100">
        <f>IF($B8="",0,SUMIFS(tbLancamentos[Valor],tbLancamentos[Categoria],$B8,tbLancamentos[Tipo],"Receita",tbLancamentos[Conta no mês?],"sim",tbLancamentos[Mês],6,tbLancamentos[Ano],AnoSelecionado))</f>
        <v/>
      </c>
      <c r="I8" s="100">
        <f>IF($B8="",0,SUMIFS(tbLancamentos[Valor],tbLancamentos[Categoria],$B8,tbLancamentos[Tipo],"Receita",tbLancamentos[Conta no mês?],"sim",tbLancamentos[Mês],7,tbLancamentos[Ano],AnoSelecionado))</f>
        <v/>
      </c>
      <c r="J8" s="100">
        <f>IF($B8="",0,SUMIFS(tbLancamentos[Valor],tbLancamentos[Categoria],$B8,tbLancamentos[Tipo],"Receita",tbLancamentos[Conta no mês?],"sim",tbLancamentos[Mês],8,tbLancamentos[Ano],AnoSelecionado))</f>
        <v/>
      </c>
      <c r="K8" s="100">
        <f>IF($B8="",0,SUMIFS(tbLancamentos[Valor],tbLancamentos[Categoria],$B8,tbLancamentos[Tipo],"Receita",tbLancamentos[Conta no mês?],"sim",tbLancamentos[Mês],9,tbLancamentos[Ano],AnoSelecionado))</f>
        <v/>
      </c>
      <c r="L8" s="100">
        <f>IF($B8="",0,SUMIFS(tbLancamentos[Valor],tbLancamentos[Categoria],$B8,tbLancamentos[Tipo],"Receita",tbLancamentos[Conta no mês?],"sim",tbLancamentos[Mês],10,tbLancamentos[Ano],AnoSelecionado))</f>
        <v/>
      </c>
      <c r="M8" s="100">
        <f>IF($B8="",0,SUMIFS(tbLancamentos[Valor],tbLancamentos[Categoria],$B8,tbLancamentos[Tipo],"Receita",tbLancamentos[Conta no mês?],"sim",tbLancamentos[Mês],11,tbLancamentos[Ano],AnoSelecionado))</f>
        <v/>
      </c>
      <c r="N8" s="100">
        <f>IF($B8="",0,SUMIFS(tbLancamentos[Valor],tbLancamentos[Categoria],$B8,tbLancamentos[Tipo],"Receita",tbLancamentos[Conta no mês?],"sim",tbLancamentos[Mês],12,tbLancamentos[Ano],AnoSelecionado))</f>
        <v/>
      </c>
      <c r="O8" s="100">
        <f>SUM(C8:N8)</f>
        <v/>
      </c>
      <c r="P8" s="100">
        <f>IF(Calc!$B$26&gt;0,O8/Calc!$B$26,0)</f>
        <v/>
      </c>
      <c r="Q8" s="101" t="n"/>
      <c r="R8" s="8" t="n"/>
      <c r="S8" s="8" t="n"/>
      <c r="T8" s="8" t="n"/>
    </row>
    <row r="9" ht="20" customHeight="1">
      <c r="A9" s="8" t="n"/>
      <c r="B9" s="33">
        <f>IF(3&lt;=Calc!$B$20,INDEX(Config!$B$6:$B$1000,3),"")</f>
        <v/>
      </c>
      <c r="C9" s="100">
        <f>IF($B9="",0,SUMIFS(tbLancamentos[Valor],tbLancamentos[Categoria],$B9,tbLancamentos[Tipo],"Receita",tbLancamentos[Conta no mês?],"sim",tbLancamentos[Mês],1,tbLancamentos[Ano],AnoSelecionado))</f>
        <v/>
      </c>
      <c r="D9" s="100">
        <f>IF($B9="",0,SUMIFS(tbLancamentos[Valor],tbLancamentos[Categoria],$B9,tbLancamentos[Tipo],"Receita",tbLancamentos[Conta no mês?],"sim",tbLancamentos[Mês],2,tbLancamentos[Ano],AnoSelecionado))</f>
        <v/>
      </c>
      <c r="E9" s="100">
        <f>IF($B9="",0,SUMIFS(tbLancamentos[Valor],tbLancamentos[Categoria],$B9,tbLancamentos[Tipo],"Receita",tbLancamentos[Conta no mês?],"sim",tbLancamentos[Mês],3,tbLancamentos[Ano],AnoSelecionado))</f>
        <v/>
      </c>
      <c r="F9" s="100">
        <f>IF($B9="",0,SUMIFS(tbLancamentos[Valor],tbLancamentos[Categoria],$B9,tbLancamentos[Tipo],"Receita",tbLancamentos[Conta no mês?],"sim",tbLancamentos[Mês],4,tbLancamentos[Ano],AnoSelecionado))</f>
        <v/>
      </c>
      <c r="G9" s="100">
        <f>IF($B9="",0,SUMIFS(tbLancamentos[Valor],tbLancamentos[Categoria],$B9,tbLancamentos[Tipo],"Receita",tbLancamentos[Conta no mês?],"sim",tbLancamentos[Mês],5,tbLancamentos[Ano],AnoSelecionado))</f>
        <v/>
      </c>
      <c r="H9" s="100">
        <f>IF($B9="",0,SUMIFS(tbLancamentos[Valor],tbLancamentos[Categoria],$B9,tbLancamentos[Tipo],"Receita",tbLancamentos[Conta no mês?],"sim",tbLancamentos[Mês],6,tbLancamentos[Ano],AnoSelecionado))</f>
        <v/>
      </c>
      <c r="I9" s="100">
        <f>IF($B9="",0,SUMIFS(tbLancamentos[Valor],tbLancamentos[Categoria],$B9,tbLancamentos[Tipo],"Receita",tbLancamentos[Conta no mês?],"sim",tbLancamentos[Mês],7,tbLancamentos[Ano],AnoSelecionado))</f>
        <v/>
      </c>
      <c r="J9" s="100">
        <f>IF($B9="",0,SUMIFS(tbLancamentos[Valor],tbLancamentos[Categoria],$B9,tbLancamentos[Tipo],"Receita",tbLancamentos[Conta no mês?],"sim",tbLancamentos[Mês],8,tbLancamentos[Ano],AnoSelecionado))</f>
        <v/>
      </c>
      <c r="K9" s="100">
        <f>IF($B9="",0,SUMIFS(tbLancamentos[Valor],tbLancamentos[Categoria],$B9,tbLancamentos[Tipo],"Receita",tbLancamentos[Conta no mês?],"sim",tbLancamentos[Mês],9,tbLancamentos[Ano],AnoSelecionado))</f>
        <v/>
      </c>
      <c r="L9" s="100">
        <f>IF($B9="",0,SUMIFS(tbLancamentos[Valor],tbLancamentos[Categoria],$B9,tbLancamentos[Tipo],"Receita",tbLancamentos[Conta no mês?],"sim",tbLancamentos[Mês],10,tbLancamentos[Ano],AnoSelecionado))</f>
        <v/>
      </c>
      <c r="M9" s="100">
        <f>IF($B9="",0,SUMIFS(tbLancamentos[Valor],tbLancamentos[Categoria],$B9,tbLancamentos[Tipo],"Receita",tbLancamentos[Conta no mês?],"sim",tbLancamentos[Mês],11,tbLancamentos[Ano],AnoSelecionado))</f>
        <v/>
      </c>
      <c r="N9" s="100">
        <f>IF($B9="",0,SUMIFS(tbLancamentos[Valor],tbLancamentos[Categoria],$B9,tbLancamentos[Tipo],"Receita",tbLancamentos[Conta no mês?],"sim",tbLancamentos[Mês],12,tbLancamentos[Ano],AnoSelecionado))</f>
        <v/>
      </c>
      <c r="O9" s="100">
        <f>SUM(C9:N9)</f>
        <v/>
      </c>
      <c r="P9" s="100">
        <f>IF(Calc!$B$26&gt;0,O9/Calc!$B$26,0)</f>
        <v/>
      </c>
      <c r="Q9" s="101" t="n"/>
      <c r="R9" s="8" t="n"/>
      <c r="S9" s="8" t="n"/>
      <c r="T9" s="8" t="n"/>
    </row>
    <row r="10" ht="20" customHeight="1">
      <c r="A10" s="8" t="n"/>
      <c r="B10" s="33">
        <f>IF(4&lt;=Calc!$B$20,INDEX(Config!$B$6:$B$1000,4),"")</f>
        <v/>
      </c>
      <c r="C10" s="100">
        <f>IF($B10="",0,SUMIFS(tbLancamentos[Valor],tbLancamentos[Categoria],$B10,tbLancamentos[Tipo],"Receita",tbLancamentos[Conta no mês?],"sim",tbLancamentos[Mês],1,tbLancamentos[Ano],AnoSelecionado))</f>
        <v/>
      </c>
      <c r="D10" s="100">
        <f>IF($B10="",0,SUMIFS(tbLancamentos[Valor],tbLancamentos[Categoria],$B10,tbLancamentos[Tipo],"Receita",tbLancamentos[Conta no mês?],"sim",tbLancamentos[Mês],2,tbLancamentos[Ano],AnoSelecionado))</f>
        <v/>
      </c>
      <c r="E10" s="100">
        <f>IF($B10="",0,SUMIFS(tbLancamentos[Valor],tbLancamentos[Categoria],$B10,tbLancamentos[Tipo],"Receita",tbLancamentos[Conta no mês?],"sim",tbLancamentos[Mês],3,tbLancamentos[Ano],AnoSelecionado))</f>
        <v/>
      </c>
      <c r="F10" s="100">
        <f>IF($B10="",0,SUMIFS(tbLancamentos[Valor],tbLancamentos[Categoria],$B10,tbLancamentos[Tipo],"Receita",tbLancamentos[Conta no mês?],"sim",tbLancamentos[Mês],4,tbLancamentos[Ano],AnoSelecionado))</f>
        <v/>
      </c>
      <c r="G10" s="100">
        <f>IF($B10="",0,SUMIFS(tbLancamentos[Valor],tbLancamentos[Categoria],$B10,tbLancamentos[Tipo],"Receita",tbLancamentos[Conta no mês?],"sim",tbLancamentos[Mês],5,tbLancamentos[Ano],AnoSelecionado))</f>
        <v/>
      </c>
      <c r="H10" s="100">
        <f>IF($B10="",0,SUMIFS(tbLancamentos[Valor],tbLancamentos[Categoria],$B10,tbLancamentos[Tipo],"Receita",tbLancamentos[Conta no mês?],"sim",tbLancamentos[Mês],6,tbLancamentos[Ano],AnoSelecionado))</f>
        <v/>
      </c>
      <c r="I10" s="100">
        <f>IF($B10="",0,SUMIFS(tbLancamentos[Valor],tbLancamentos[Categoria],$B10,tbLancamentos[Tipo],"Receita",tbLancamentos[Conta no mês?],"sim",tbLancamentos[Mês],7,tbLancamentos[Ano],AnoSelecionado))</f>
        <v/>
      </c>
      <c r="J10" s="100">
        <f>IF($B10="",0,SUMIFS(tbLancamentos[Valor],tbLancamentos[Categoria],$B10,tbLancamentos[Tipo],"Receita",tbLancamentos[Conta no mês?],"sim",tbLancamentos[Mês],8,tbLancamentos[Ano],AnoSelecionado))</f>
        <v/>
      </c>
      <c r="K10" s="100">
        <f>IF($B10="",0,SUMIFS(tbLancamentos[Valor],tbLancamentos[Categoria],$B10,tbLancamentos[Tipo],"Receita",tbLancamentos[Conta no mês?],"sim",tbLancamentos[Mês],9,tbLancamentos[Ano],AnoSelecionado))</f>
        <v/>
      </c>
      <c r="L10" s="100">
        <f>IF($B10="",0,SUMIFS(tbLancamentos[Valor],tbLancamentos[Categoria],$B10,tbLancamentos[Tipo],"Receita",tbLancamentos[Conta no mês?],"sim",tbLancamentos[Mês],10,tbLancamentos[Ano],AnoSelecionado))</f>
        <v/>
      </c>
      <c r="M10" s="100">
        <f>IF($B10="",0,SUMIFS(tbLancamentos[Valor],tbLancamentos[Categoria],$B10,tbLancamentos[Tipo],"Receita",tbLancamentos[Conta no mês?],"sim",tbLancamentos[Mês],11,tbLancamentos[Ano],AnoSelecionado))</f>
        <v/>
      </c>
      <c r="N10" s="100">
        <f>IF($B10="",0,SUMIFS(tbLancamentos[Valor],tbLancamentos[Categoria],$B10,tbLancamentos[Tipo],"Receita",tbLancamentos[Conta no mês?],"sim",tbLancamentos[Mês],12,tbLancamentos[Ano],AnoSelecionado))</f>
        <v/>
      </c>
      <c r="O10" s="100">
        <f>SUM(C10:N10)</f>
        <v/>
      </c>
      <c r="P10" s="100">
        <f>IF(Calc!$B$26&gt;0,O10/Calc!$B$26,0)</f>
        <v/>
      </c>
      <c r="Q10" s="101" t="n"/>
      <c r="R10" s="8" t="n"/>
      <c r="S10" s="8" t="n"/>
      <c r="T10" s="8" t="n"/>
    </row>
    <row r="11" ht="20" customHeight="1">
      <c r="A11" s="8" t="n"/>
      <c r="B11" s="33">
        <f>IF(5&lt;=Calc!$B$20,INDEX(Config!$B$6:$B$1000,5),"")</f>
        <v/>
      </c>
      <c r="C11" s="100">
        <f>IF($B11="",0,SUMIFS(tbLancamentos[Valor],tbLancamentos[Categoria],$B11,tbLancamentos[Tipo],"Receita",tbLancamentos[Conta no mês?],"sim",tbLancamentos[Mês],1,tbLancamentos[Ano],AnoSelecionado))</f>
        <v/>
      </c>
      <c r="D11" s="100">
        <f>IF($B11="",0,SUMIFS(tbLancamentos[Valor],tbLancamentos[Categoria],$B11,tbLancamentos[Tipo],"Receita",tbLancamentos[Conta no mês?],"sim",tbLancamentos[Mês],2,tbLancamentos[Ano],AnoSelecionado))</f>
        <v/>
      </c>
      <c r="E11" s="100">
        <f>IF($B11="",0,SUMIFS(tbLancamentos[Valor],tbLancamentos[Categoria],$B11,tbLancamentos[Tipo],"Receita",tbLancamentos[Conta no mês?],"sim",tbLancamentos[Mês],3,tbLancamentos[Ano],AnoSelecionado))</f>
        <v/>
      </c>
      <c r="F11" s="100">
        <f>IF($B11="",0,SUMIFS(tbLancamentos[Valor],tbLancamentos[Categoria],$B11,tbLancamentos[Tipo],"Receita",tbLancamentos[Conta no mês?],"sim",tbLancamentos[Mês],4,tbLancamentos[Ano],AnoSelecionado))</f>
        <v/>
      </c>
      <c r="G11" s="100">
        <f>IF($B11="",0,SUMIFS(tbLancamentos[Valor],tbLancamentos[Categoria],$B11,tbLancamentos[Tipo],"Receita",tbLancamentos[Conta no mês?],"sim",tbLancamentos[Mês],5,tbLancamentos[Ano],AnoSelecionado))</f>
        <v/>
      </c>
      <c r="H11" s="100">
        <f>IF($B11="",0,SUMIFS(tbLancamentos[Valor],tbLancamentos[Categoria],$B11,tbLancamentos[Tipo],"Receita",tbLancamentos[Conta no mês?],"sim",tbLancamentos[Mês],6,tbLancamentos[Ano],AnoSelecionado))</f>
        <v/>
      </c>
      <c r="I11" s="100">
        <f>IF($B11="",0,SUMIFS(tbLancamentos[Valor],tbLancamentos[Categoria],$B11,tbLancamentos[Tipo],"Receita",tbLancamentos[Conta no mês?],"sim",tbLancamentos[Mês],7,tbLancamentos[Ano],AnoSelecionado))</f>
        <v/>
      </c>
      <c r="J11" s="100">
        <f>IF($B11="",0,SUMIFS(tbLancamentos[Valor],tbLancamentos[Categoria],$B11,tbLancamentos[Tipo],"Receita",tbLancamentos[Conta no mês?],"sim",tbLancamentos[Mês],8,tbLancamentos[Ano],AnoSelecionado))</f>
        <v/>
      </c>
      <c r="K11" s="100">
        <f>IF($B11="",0,SUMIFS(tbLancamentos[Valor],tbLancamentos[Categoria],$B11,tbLancamentos[Tipo],"Receita",tbLancamentos[Conta no mês?],"sim",tbLancamentos[Mês],9,tbLancamentos[Ano],AnoSelecionado))</f>
        <v/>
      </c>
      <c r="L11" s="100">
        <f>IF($B11="",0,SUMIFS(tbLancamentos[Valor],tbLancamentos[Categoria],$B11,tbLancamentos[Tipo],"Receita",tbLancamentos[Conta no mês?],"sim",tbLancamentos[Mês],10,tbLancamentos[Ano],AnoSelecionado))</f>
        <v/>
      </c>
      <c r="M11" s="100">
        <f>IF($B11="",0,SUMIFS(tbLancamentos[Valor],tbLancamentos[Categoria],$B11,tbLancamentos[Tipo],"Receita",tbLancamentos[Conta no mês?],"sim",tbLancamentos[Mês],11,tbLancamentos[Ano],AnoSelecionado))</f>
        <v/>
      </c>
      <c r="N11" s="100">
        <f>IF($B11="",0,SUMIFS(tbLancamentos[Valor],tbLancamentos[Categoria],$B11,tbLancamentos[Tipo],"Receita",tbLancamentos[Conta no mês?],"sim",tbLancamentos[Mês],12,tbLancamentos[Ano],AnoSelecionado))</f>
        <v/>
      </c>
      <c r="O11" s="100">
        <f>SUM(C11:N11)</f>
        <v/>
      </c>
      <c r="P11" s="100">
        <f>IF(Calc!$B$26&gt;0,O11/Calc!$B$26,0)</f>
        <v/>
      </c>
      <c r="Q11" s="101" t="n"/>
      <c r="R11" s="8" t="n"/>
      <c r="S11" s="8" t="n"/>
      <c r="T11" s="8" t="n"/>
    </row>
    <row r="12" ht="20" customHeight="1">
      <c r="A12" s="8" t="n"/>
      <c r="B12" s="33">
        <f>IF(6&lt;=Calc!$B$20,INDEX(Config!$B$6:$B$1000,6),"")</f>
        <v/>
      </c>
      <c r="C12" s="100">
        <f>IF($B12="",0,SUMIFS(tbLancamentos[Valor],tbLancamentos[Categoria],$B12,tbLancamentos[Tipo],"Receita",tbLancamentos[Conta no mês?],"sim",tbLancamentos[Mês],1,tbLancamentos[Ano],AnoSelecionado))</f>
        <v/>
      </c>
      <c r="D12" s="100">
        <f>IF($B12="",0,SUMIFS(tbLancamentos[Valor],tbLancamentos[Categoria],$B12,tbLancamentos[Tipo],"Receita",tbLancamentos[Conta no mês?],"sim",tbLancamentos[Mês],2,tbLancamentos[Ano],AnoSelecionado))</f>
        <v/>
      </c>
      <c r="E12" s="100">
        <f>IF($B12="",0,SUMIFS(tbLancamentos[Valor],tbLancamentos[Categoria],$B12,tbLancamentos[Tipo],"Receita",tbLancamentos[Conta no mês?],"sim",tbLancamentos[Mês],3,tbLancamentos[Ano],AnoSelecionado))</f>
        <v/>
      </c>
      <c r="F12" s="100">
        <f>IF($B12="",0,SUMIFS(tbLancamentos[Valor],tbLancamentos[Categoria],$B12,tbLancamentos[Tipo],"Receita",tbLancamentos[Conta no mês?],"sim",tbLancamentos[Mês],4,tbLancamentos[Ano],AnoSelecionado))</f>
        <v/>
      </c>
      <c r="G12" s="100">
        <f>IF($B12="",0,SUMIFS(tbLancamentos[Valor],tbLancamentos[Categoria],$B12,tbLancamentos[Tipo],"Receita",tbLancamentos[Conta no mês?],"sim",tbLancamentos[Mês],5,tbLancamentos[Ano],AnoSelecionado))</f>
        <v/>
      </c>
      <c r="H12" s="100">
        <f>IF($B12="",0,SUMIFS(tbLancamentos[Valor],tbLancamentos[Categoria],$B12,tbLancamentos[Tipo],"Receita",tbLancamentos[Conta no mês?],"sim",tbLancamentos[Mês],6,tbLancamentos[Ano],AnoSelecionado))</f>
        <v/>
      </c>
      <c r="I12" s="100">
        <f>IF($B12="",0,SUMIFS(tbLancamentos[Valor],tbLancamentos[Categoria],$B12,tbLancamentos[Tipo],"Receita",tbLancamentos[Conta no mês?],"sim",tbLancamentos[Mês],7,tbLancamentos[Ano],AnoSelecionado))</f>
        <v/>
      </c>
      <c r="J12" s="100">
        <f>IF($B12="",0,SUMIFS(tbLancamentos[Valor],tbLancamentos[Categoria],$B12,tbLancamentos[Tipo],"Receita",tbLancamentos[Conta no mês?],"sim",tbLancamentos[Mês],8,tbLancamentos[Ano],AnoSelecionado))</f>
        <v/>
      </c>
      <c r="K12" s="100">
        <f>IF($B12="",0,SUMIFS(tbLancamentos[Valor],tbLancamentos[Categoria],$B12,tbLancamentos[Tipo],"Receita",tbLancamentos[Conta no mês?],"sim",tbLancamentos[Mês],9,tbLancamentos[Ano],AnoSelecionado))</f>
        <v/>
      </c>
      <c r="L12" s="100">
        <f>IF($B12="",0,SUMIFS(tbLancamentos[Valor],tbLancamentos[Categoria],$B12,tbLancamentos[Tipo],"Receita",tbLancamentos[Conta no mês?],"sim",tbLancamentos[Mês],10,tbLancamentos[Ano],AnoSelecionado))</f>
        <v/>
      </c>
      <c r="M12" s="100">
        <f>IF($B12="",0,SUMIFS(tbLancamentos[Valor],tbLancamentos[Categoria],$B12,tbLancamentos[Tipo],"Receita",tbLancamentos[Conta no mês?],"sim",tbLancamentos[Mês],11,tbLancamentos[Ano],AnoSelecionado))</f>
        <v/>
      </c>
      <c r="N12" s="100">
        <f>IF($B12="",0,SUMIFS(tbLancamentos[Valor],tbLancamentos[Categoria],$B12,tbLancamentos[Tipo],"Receita",tbLancamentos[Conta no mês?],"sim",tbLancamentos[Mês],12,tbLancamentos[Ano],AnoSelecionado))</f>
        <v/>
      </c>
      <c r="O12" s="100">
        <f>SUM(C12:N12)</f>
        <v/>
      </c>
      <c r="P12" s="100">
        <f>IF(Calc!$B$26&gt;0,O12/Calc!$B$26,0)</f>
        <v/>
      </c>
      <c r="Q12" s="101" t="n"/>
      <c r="R12" s="8" t="n"/>
      <c r="S12" s="8" t="n"/>
      <c r="T12" s="8" t="n"/>
    </row>
    <row r="13" ht="20" customHeight="1">
      <c r="A13" s="8" t="n"/>
      <c r="B13" s="33">
        <f>IF(7&lt;=Calc!$B$20,INDEX(Config!$B$6:$B$1000,7),"")</f>
        <v/>
      </c>
      <c r="C13" s="100">
        <f>IF($B13="",0,SUMIFS(tbLancamentos[Valor],tbLancamentos[Categoria],$B13,tbLancamentos[Tipo],"Receita",tbLancamentos[Conta no mês?],"sim",tbLancamentos[Mês],1,tbLancamentos[Ano],AnoSelecionado))</f>
        <v/>
      </c>
      <c r="D13" s="100">
        <f>IF($B13="",0,SUMIFS(tbLancamentos[Valor],tbLancamentos[Categoria],$B13,tbLancamentos[Tipo],"Receita",tbLancamentos[Conta no mês?],"sim",tbLancamentos[Mês],2,tbLancamentos[Ano],AnoSelecionado))</f>
        <v/>
      </c>
      <c r="E13" s="100">
        <f>IF($B13="",0,SUMIFS(tbLancamentos[Valor],tbLancamentos[Categoria],$B13,tbLancamentos[Tipo],"Receita",tbLancamentos[Conta no mês?],"sim",tbLancamentos[Mês],3,tbLancamentos[Ano],AnoSelecionado))</f>
        <v/>
      </c>
      <c r="F13" s="100">
        <f>IF($B13="",0,SUMIFS(tbLancamentos[Valor],tbLancamentos[Categoria],$B13,tbLancamentos[Tipo],"Receita",tbLancamentos[Conta no mês?],"sim",tbLancamentos[Mês],4,tbLancamentos[Ano],AnoSelecionado))</f>
        <v/>
      </c>
      <c r="G13" s="100">
        <f>IF($B13="",0,SUMIFS(tbLancamentos[Valor],tbLancamentos[Categoria],$B13,tbLancamentos[Tipo],"Receita",tbLancamentos[Conta no mês?],"sim",tbLancamentos[Mês],5,tbLancamentos[Ano],AnoSelecionado))</f>
        <v/>
      </c>
      <c r="H13" s="100">
        <f>IF($B13="",0,SUMIFS(tbLancamentos[Valor],tbLancamentos[Categoria],$B13,tbLancamentos[Tipo],"Receita",tbLancamentos[Conta no mês?],"sim",tbLancamentos[Mês],6,tbLancamentos[Ano],AnoSelecionado))</f>
        <v/>
      </c>
      <c r="I13" s="100">
        <f>IF($B13="",0,SUMIFS(tbLancamentos[Valor],tbLancamentos[Categoria],$B13,tbLancamentos[Tipo],"Receita",tbLancamentos[Conta no mês?],"sim",tbLancamentos[Mês],7,tbLancamentos[Ano],AnoSelecionado))</f>
        <v/>
      </c>
      <c r="J13" s="100">
        <f>IF($B13="",0,SUMIFS(tbLancamentos[Valor],tbLancamentos[Categoria],$B13,tbLancamentos[Tipo],"Receita",tbLancamentos[Conta no mês?],"sim",tbLancamentos[Mês],8,tbLancamentos[Ano],AnoSelecionado))</f>
        <v/>
      </c>
      <c r="K13" s="100">
        <f>IF($B13="",0,SUMIFS(tbLancamentos[Valor],tbLancamentos[Categoria],$B13,tbLancamentos[Tipo],"Receita",tbLancamentos[Conta no mês?],"sim",tbLancamentos[Mês],9,tbLancamentos[Ano],AnoSelecionado))</f>
        <v/>
      </c>
      <c r="L13" s="100">
        <f>IF($B13="",0,SUMIFS(tbLancamentos[Valor],tbLancamentos[Categoria],$B13,tbLancamentos[Tipo],"Receita",tbLancamentos[Conta no mês?],"sim",tbLancamentos[Mês],10,tbLancamentos[Ano],AnoSelecionado))</f>
        <v/>
      </c>
      <c r="M13" s="100">
        <f>IF($B13="",0,SUMIFS(tbLancamentos[Valor],tbLancamentos[Categoria],$B13,tbLancamentos[Tipo],"Receita",tbLancamentos[Conta no mês?],"sim",tbLancamentos[Mês],11,tbLancamentos[Ano],AnoSelecionado))</f>
        <v/>
      </c>
      <c r="N13" s="100">
        <f>IF($B13="",0,SUMIFS(tbLancamentos[Valor],tbLancamentos[Categoria],$B13,tbLancamentos[Tipo],"Receita",tbLancamentos[Conta no mês?],"sim",tbLancamentos[Mês],12,tbLancamentos[Ano],AnoSelecionado))</f>
        <v/>
      </c>
      <c r="O13" s="100">
        <f>SUM(C13:N13)</f>
        <v/>
      </c>
      <c r="P13" s="100">
        <f>IF(Calc!$B$26&gt;0,O13/Calc!$B$26,0)</f>
        <v/>
      </c>
      <c r="Q13" s="101" t="n"/>
      <c r="R13" s="8" t="n"/>
      <c r="S13" s="8" t="n"/>
      <c r="T13" s="8" t="n"/>
    </row>
    <row r="14">
      <c r="A14" s="8" t="n"/>
      <c r="B14" s="102" t="inlineStr">
        <is>
          <t>Total de receitas</t>
        </is>
      </c>
      <c r="C14" s="103">
        <f>SUM(C7:C13)</f>
        <v/>
      </c>
      <c r="D14" s="103">
        <f>SUM(D7:D13)</f>
        <v/>
      </c>
      <c r="E14" s="103">
        <f>SUM(E7:E13)</f>
        <v/>
      </c>
      <c r="F14" s="103">
        <f>SUM(F7:F13)</f>
        <v/>
      </c>
      <c r="G14" s="103">
        <f>SUM(G7:G13)</f>
        <v/>
      </c>
      <c r="H14" s="103">
        <f>SUM(H7:H13)</f>
        <v/>
      </c>
      <c r="I14" s="103">
        <f>SUM(I7:I13)</f>
        <v/>
      </c>
      <c r="J14" s="103">
        <f>SUM(J7:J13)</f>
        <v/>
      </c>
      <c r="K14" s="103">
        <f>SUM(K7:K13)</f>
        <v/>
      </c>
      <c r="L14" s="103">
        <f>SUM(L7:L13)</f>
        <v/>
      </c>
      <c r="M14" s="103">
        <f>SUM(M7:M13)</f>
        <v/>
      </c>
      <c r="N14" s="103">
        <f>SUM(N7:N13)</f>
        <v/>
      </c>
      <c r="O14" s="103">
        <f>SUM(O7:O13)</f>
        <v/>
      </c>
      <c r="P14" s="103">
        <f>IF(Calc!$B$26&gt;0,O14/Calc!$B$26,0)</f>
        <v/>
      </c>
      <c r="Q14" s="104" t="n"/>
      <c r="R14" s="8" t="n"/>
      <c r="S14" s="8" t="n"/>
      <c r="T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</row>
    <row r="16" ht="22" customHeight="1">
      <c r="A16" s="8" t="n"/>
      <c r="B16" s="105" t="inlineStr">
        <is>
          <t>GASTOS</t>
        </is>
      </c>
      <c r="C16" s="106" t="n"/>
      <c r="D16" s="106" t="n"/>
      <c r="E16" s="106" t="n"/>
      <c r="F16" s="106" t="n"/>
      <c r="G16" s="106" t="n"/>
      <c r="H16" s="106" t="n"/>
      <c r="I16" s="106" t="n"/>
      <c r="J16" s="106" t="n"/>
      <c r="K16" s="106" t="n"/>
      <c r="L16" s="106" t="n"/>
      <c r="M16" s="106" t="n"/>
      <c r="N16" s="106" t="n"/>
      <c r="O16" s="106" t="n"/>
      <c r="P16" s="106" t="n"/>
      <c r="Q16" s="106" t="n"/>
      <c r="R16" s="8" t="n"/>
      <c r="S16" s="8" t="n"/>
      <c r="T16" s="8" t="n"/>
    </row>
    <row r="17" ht="20" customHeight="1">
      <c r="A17" s="8" t="n"/>
      <c r="B17" s="33">
        <f>IF(1&lt;=Calc!$B$21,INDEX(Config!$D$6:$D$1000,1),"")</f>
        <v/>
      </c>
      <c r="C17" s="100">
        <f>IF($B17="",0,SUMIFS(tbLancamentos[Valor],tbLancamentos[Categoria],$B17,tbLancamentos[Tipo],"&lt;&gt;Receita",tbLancamentos[Conta no mês?],"sim",tbLancamentos[Mês],1,tbLancamentos[Ano],AnoSelecionado))</f>
        <v/>
      </c>
      <c r="D17" s="100">
        <f>IF($B17="",0,SUMIFS(tbLancamentos[Valor],tbLancamentos[Categoria],$B17,tbLancamentos[Tipo],"&lt;&gt;Receita",tbLancamentos[Conta no mês?],"sim",tbLancamentos[Mês],2,tbLancamentos[Ano],AnoSelecionado))</f>
        <v/>
      </c>
      <c r="E17" s="100">
        <f>IF($B17="",0,SUMIFS(tbLancamentos[Valor],tbLancamentos[Categoria],$B17,tbLancamentos[Tipo],"&lt;&gt;Receita",tbLancamentos[Conta no mês?],"sim",tbLancamentos[Mês],3,tbLancamentos[Ano],AnoSelecionado))</f>
        <v/>
      </c>
      <c r="F17" s="100">
        <f>IF($B17="",0,SUMIFS(tbLancamentos[Valor],tbLancamentos[Categoria],$B17,tbLancamentos[Tipo],"&lt;&gt;Receita",tbLancamentos[Conta no mês?],"sim",tbLancamentos[Mês],4,tbLancamentos[Ano],AnoSelecionado))</f>
        <v/>
      </c>
      <c r="G17" s="100">
        <f>IF($B17="",0,SUMIFS(tbLancamentos[Valor],tbLancamentos[Categoria],$B17,tbLancamentos[Tipo],"&lt;&gt;Receita",tbLancamentos[Conta no mês?],"sim",tbLancamentos[Mês],5,tbLancamentos[Ano],AnoSelecionado))</f>
        <v/>
      </c>
      <c r="H17" s="100">
        <f>IF($B17="",0,SUMIFS(tbLancamentos[Valor],tbLancamentos[Categoria],$B17,tbLancamentos[Tipo],"&lt;&gt;Receita",tbLancamentos[Conta no mês?],"sim",tbLancamentos[Mês],6,tbLancamentos[Ano],AnoSelecionado))</f>
        <v/>
      </c>
      <c r="I17" s="100">
        <f>IF($B17="",0,SUMIFS(tbLancamentos[Valor],tbLancamentos[Categoria],$B17,tbLancamentos[Tipo],"&lt;&gt;Receita",tbLancamentos[Conta no mês?],"sim",tbLancamentos[Mês],7,tbLancamentos[Ano],AnoSelecionado))</f>
        <v/>
      </c>
      <c r="J17" s="100">
        <f>IF($B17="",0,SUMIFS(tbLancamentos[Valor],tbLancamentos[Categoria],$B17,tbLancamentos[Tipo],"&lt;&gt;Receita",tbLancamentos[Conta no mês?],"sim",tbLancamentos[Mês],8,tbLancamentos[Ano],AnoSelecionado))</f>
        <v/>
      </c>
      <c r="K17" s="100">
        <f>IF($B17="",0,SUMIFS(tbLancamentos[Valor],tbLancamentos[Categoria],$B17,tbLancamentos[Tipo],"&lt;&gt;Receita",tbLancamentos[Conta no mês?],"sim",tbLancamentos[Mês],9,tbLancamentos[Ano],AnoSelecionado))</f>
        <v/>
      </c>
      <c r="L17" s="100">
        <f>IF($B17="",0,SUMIFS(tbLancamentos[Valor],tbLancamentos[Categoria],$B17,tbLancamentos[Tipo],"&lt;&gt;Receita",tbLancamentos[Conta no mês?],"sim",tbLancamentos[Mês],10,tbLancamentos[Ano],AnoSelecionado))</f>
        <v/>
      </c>
      <c r="M17" s="100">
        <f>IF($B17="",0,SUMIFS(tbLancamentos[Valor],tbLancamentos[Categoria],$B17,tbLancamentos[Tipo],"&lt;&gt;Receita",tbLancamentos[Conta no mês?],"sim",tbLancamentos[Mês],11,tbLancamentos[Ano],AnoSelecionado))</f>
        <v/>
      </c>
      <c r="N17" s="100">
        <f>IF($B17="",0,SUMIFS(tbLancamentos[Valor],tbLancamentos[Categoria],$B17,tbLancamentos[Tipo],"&lt;&gt;Receita",tbLancamentos[Conta no mês?],"sim",tbLancamentos[Mês],12,tbLancamentos[Ano],AnoSelecionado))</f>
        <v/>
      </c>
      <c r="O17" s="100">
        <f>SUM(C17:N17)</f>
        <v/>
      </c>
      <c r="P17" s="100">
        <f>IF(Calc!$B$26&gt;0,O17/Calc!$B$26,0)</f>
        <v/>
      </c>
      <c r="Q17" s="101" t="n"/>
      <c r="R17" s="8" t="n"/>
      <c r="S17" s="8" t="n"/>
      <c r="T17" s="8" t="n"/>
    </row>
    <row r="18" ht="20" customHeight="1">
      <c r="A18" s="8" t="n"/>
      <c r="B18" s="33">
        <f>IF(2&lt;=Calc!$B$21,INDEX(Config!$D$6:$D$1000,2),"")</f>
        <v/>
      </c>
      <c r="C18" s="100">
        <f>IF($B18="",0,SUMIFS(tbLancamentos[Valor],tbLancamentos[Categoria],$B18,tbLancamentos[Tipo],"&lt;&gt;Receita",tbLancamentos[Conta no mês?],"sim",tbLancamentos[Mês],1,tbLancamentos[Ano],AnoSelecionado))</f>
        <v/>
      </c>
      <c r="D18" s="100">
        <f>IF($B18="",0,SUMIFS(tbLancamentos[Valor],tbLancamentos[Categoria],$B18,tbLancamentos[Tipo],"&lt;&gt;Receita",tbLancamentos[Conta no mês?],"sim",tbLancamentos[Mês],2,tbLancamentos[Ano],AnoSelecionado))</f>
        <v/>
      </c>
      <c r="E18" s="100">
        <f>IF($B18="",0,SUMIFS(tbLancamentos[Valor],tbLancamentos[Categoria],$B18,tbLancamentos[Tipo],"&lt;&gt;Receita",tbLancamentos[Conta no mês?],"sim",tbLancamentos[Mês],3,tbLancamentos[Ano],AnoSelecionado))</f>
        <v/>
      </c>
      <c r="F18" s="100">
        <f>IF($B18="",0,SUMIFS(tbLancamentos[Valor],tbLancamentos[Categoria],$B18,tbLancamentos[Tipo],"&lt;&gt;Receita",tbLancamentos[Conta no mês?],"sim",tbLancamentos[Mês],4,tbLancamentos[Ano],AnoSelecionado))</f>
        <v/>
      </c>
      <c r="G18" s="100">
        <f>IF($B18="",0,SUMIFS(tbLancamentos[Valor],tbLancamentos[Categoria],$B18,tbLancamentos[Tipo],"&lt;&gt;Receita",tbLancamentos[Conta no mês?],"sim",tbLancamentos[Mês],5,tbLancamentos[Ano],AnoSelecionado))</f>
        <v/>
      </c>
      <c r="H18" s="100">
        <f>IF($B18="",0,SUMIFS(tbLancamentos[Valor],tbLancamentos[Categoria],$B18,tbLancamentos[Tipo],"&lt;&gt;Receita",tbLancamentos[Conta no mês?],"sim",tbLancamentos[Mês],6,tbLancamentos[Ano],AnoSelecionado))</f>
        <v/>
      </c>
      <c r="I18" s="100">
        <f>IF($B18="",0,SUMIFS(tbLancamentos[Valor],tbLancamentos[Categoria],$B18,tbLancamentos[Tipo],"&lt;&gt;Receita",tbLancamentos[Conta no mês?],"sim",tbLancamentos[Mês],7,tbLancamentos[Ano],AnoSelecionado))</f>
        <v/>
      </c>
      <c r="J18" s="100">
        <f>IF($B18="",0,SUMIFS(tbLancamentos[Valor],tbLancamentos[Categoria],$B18,tbLancamentos[Tipo],"&lt;&gt;Receita",tbLancamentos[Conta no mês?],"sim",tbLancamentos[Mês],8,tbLancamentos[Ano],AnoSelecionado))</f>
        <v/>
      </c>
      <c r="K18" s="100">
        <f>IF($B18="",0,SUMIFS(tbLancamentos[Valor],tbLancamentos[Categoria],$B18,tbLancamentos[Tipo],"&lt;&gt;Receita",tbLancamentos[Conta no mês?],"sim",tbLancamentos[Mês],9,tbLancamentos[Ano],AnoSelecionado))</f>
        <v/>
      </c>
      <c r="L18" s="100">
        <f>IF($B18="",0,SUMIFS(tbLancamentos[Valor],tbLancamentos[Categoria],$B18,tbLancamentos[Tipo],"&lt;&gt;Receita",tbLancamentos[Conta no mês?],"sim",tbLancamentos[Mês],10,tbLancamentos[Ano],AnoSelecionado))</f>
        <v/>
      </c>
      <c r="M18" s="100">
        <f>IF($B18="",0,SUMIFS(tbLancamentos[Valor],tbLancamentos[Categoria],$B18,tbLancamentos[Tipo],"&lt;&gt;Receita",tbLancamentos[Conta no mês?],"sim",tbLancamentos[Mês],11,tbLancamentos[Ano],AnoSelecionado))</f>
        <v/>
      </c>
      <c r="N18" s="100">
        <f>IF($B18="",0,SUMIFS(tbLancamentos[Valor],tbLancamentos[Categoria],$B18,tbLancamentos[Tipo],"&lt;&gt;Receita",tbLancamentos[Conta no mês?],"sim",tbLancamentos[Mês],12,tbLancamentos[Ano],AnoSelecionado))</f>
        <v/>
      </c>
      <c r="O18" s="100">
        <f>SUM(C18:N18)</f>
        <v/>
      </c>
      <c r="P18" s="100">
        <f>IF(Calc!$B$26&gt;0,O18/Calc!$B$26,0)</f>
        <v/>
      </c>
      <c r="Q18" s="101" t="n"/>
      <c r="R18" s="8" t="n"/>
      <c r="S18" s="8" t="n"/>
      <c r="T18" s="8" t="n"/>
    </row>
    <row r="19" ht="20" customHeight="1">
      <c r="A19" s="8" t="n"/>
      <c r="B19" s="33">
        <f>IF(3&lt;=Calc!$B$21,INDEX(Config!$D$6:$D$1000,3),"")</f>
        <v/>
      </c>
      <c r="C19" s="100">
        <f>IF($B19="",0,SUMIFS(tbLancamentos[Valor],tbLancamentos[Categoria],$B19,tbLancamentos[Tipo],"&lt;&gt;Receita",tbLancamentos[Conta no mês?],"sim",tbLancamentos[Mês],1,tbLancamentos[Ano],AnoSelecionado))</f>
        <v/>
      </c>
      <c r="D19" s="100">
        <f>IF($B19="",0,SUMIFS(tbLancamentos[Valor],tbLancamentos[Categoria],$B19,tbLancamentos[Tipo],"&lt;&gt;Receita",tbLancamentos[Conta no mês?],"sim",tbLancamentos[Mês],2,tbLancamentos[Ano],AnoSelecionado))</f>
        <v/>
      </c>
      <c r="E19" s="100">
        <f>IF($B19="",0,SUMIFS(tbLancamentos[Valor],tbLancamentos[Categoria],$B19,tbLancamentos[Tipo],"&lt;&gt;Receita",tbLancamentos[Conta no mês?],"sim",tbLancamentos[Mês],3,tbLancamentos[Ano],AnoSelecionado))</f>
        <v/>
      </c>
      <c r="F19" s="100">
        <f>IF($B19="",0,SUMIFS(tbLancamentos[Valor],tbLancamentos[Categoria],$B19,tbLancamentos[Tipo],"&lt;&gt;Receita",tbLancamentos[Conta no mês?],"sim",tbLancamentos[Mês],4,tbLancamentos[Ano],AnoSelecionado))</f>
        <v/>
      </c>
      <c r="G19" s="100">
        <f>IF($B19="",0,SUMIFS(tbLancamentos[Valor],tbLancamentos[Categoria],$B19,tbLancamentos[Tipo],"&lt;&gt;Receita",tbLancamentos[Conta no mês?],"sim",tbLancamentos[Mês],5,tbLancamentos[Ano],AnoSelecionado))</f>
        <v/>
      </c>
      <c r="H19" s="100">
        <f>IF($B19="",0,SUMIFS(tbLancamentos[Valor],tbLancamentos[Categoria],$B19,tbLancamentos[Tipo],"&lt;&gt;Receita",tbLancamentos[Conta no mês?],"sim",tbLancamentos[Mês],6,tbLancamentos[Ano],AnoSelecionado))</f>
        <v/>
      </c>
      <c r="I19" s="100">
        <f>IF($B19="",0,SUMIFS(tbLancamentos[Valor],tbLancamentos[Categoria],$B19,tbLancamentos[Tipo],"&lt;&gt;Receita",tbLancamentos[Conta no mês?],"sim",tbLancamentos[Mês],7,tbLancamentos[Ano],AnoSelecionado))</f>
        <v/>
      </c>
      <c r="J19" s="100">
        <f>IF($B19="",0,SUMIFS(tbLancamentos[Valor],tbLancamentos[Categoria],$B19,tbLancamentos[Tipo],"&lt;&gt;Receita",tbLancamentos[Conta no mês?],"sim",tbLancamentos[Mês],8,tbLancamentos[Ano],AnoSelecionado))</f>
        <v/>
      </c>
      <c r="K19" s="100">
        <f>IF($B19="",0,SUMIFS(tbLancamentos[Valor],tbLancamentos[Categoria],$B19,tbLancamentos[Tipo],"&lt;&gt;Receita",tbLancamentos[Conta no mês?],"sim",tbLancamentos[Mês],9,tbLancamentos[Ano],AnoSelecionado))</f>
        <v/>
      </c>
      <c r="L19" s="100">
        <f>IF($B19="",0,SUMIFS(tbLancamentos[Valor],tbLancamentos[Categoria],$B19,tbLancamentos[Tipo],"&lt;&gt;Receita",tbLancamentos[Conta no mês?],"sim",tbLancamentos[Mês],10,tbLancamentos[Ano],AnoSelecionado))</f>
        <v/>
      </c>
      <c r="M19" s="100">
        <f>IF($B19="",0,SUMIFS(tbLancamentos[Valor],tbLancamentos[Categoria],$B19,tbLancamentos[Tipo],"&lt;&gt;Receita",tbLancamentos[Conta no mês?],"sim",tbLancamentos[Mês],11,tbLancamentos[Ano],AnoSelecionado))</f>
        <v/>
      </c>
      <c r="N19" s="100">
        <f>IF($B19="",0,SUMIFS(tbLancamentos[Valor],tbLancamentos[Categoria],$B19,tbLancamentos[Tipo],"&lt;&gt;Receita",tbLancamentos[Conta no mês?],"sim",tbLancamentos[Mês],12,tbLancamentos[Ano],AnoSelecionado))</f>
        <v/>
      </c>
      <c r="O19" s="100">
        <f>SUM(C19:N19)</f>
        <v/>
      </c>
      <c r="P19" s="100">
        <f>IF(Calc!$B$26&gt;0,O19/Calc!$B$26,0)</f>
        <v/>
      </c>
      <c r="Q19" s="101" t="n"/>
      <c r="R19" s="8" t="n"/>
      <c r="S19" s="8" t="n"/>
      <c r="T19" s="8" t="n"/>
    </row>
    <row r="20" ht="20" customHeight="1">
      <c r="A20" s="8" t="n"/>
      <c r="B20" s="33">
        <f>IF(4&lt;=Calc!$B$21,INDEX(Config!$D$6:$D$1000,4),"")</f>
        <v/>
      </c>
      <c r="C20" s="100">
        <f>IF($B20="",0,SUMIFS(tbLancamentos[Valor],tbLancamentos[Categoria],$B20,tbLancamentos[Tipo],"&lt;&gt;Receita",tbLancamentos[Conta no mês?],"sim",tbLancamentos[Mês],1,tbLancamentos[Ano],AnoSelecionado))</f>
        <v/>
      </c>
      <c r="D20" s="100">
        <f>IF($B20="",0,SUMIFS(tbLancamentos[Valor],tbLancamentos[Categoria],$B20,tbLancamentos[Tipo],"&lt;&gt;Receita",tbLancamentos[Conta no mês?],"sim",tbLancamentos[Mês],2,tbLancamentos[Ano],AnoSelecionado))</f>
        <v/>
      </c>
      <c r="E20" s="100">
        <f>IF($B20="",0,SUMIFS(tbLancamentos[Valor],tbLancamentos[Categoria],$B20,tbLancamentos[Tipo],"&lt;&gt;Receita",tbLancamentos[Conta no mês?],"sim",tbLancamentos[Mês],3,tbLancamentos[Ano],AnoSelecionado))</f>
        <v/>
      </c>
      <c r="F20" s="100">
        <f>IF($B20="",0,SUMIFS(tbLancamentos[Valor],tbLancamentos[Categoria],$B20,tbLancamentos[Tipo],"&lt;&gt;Receita",tbLancamentos[Conta no mês?],"sim",tbLancamentos[Mês],4,tbLancamentos[Ano],AnoSelecionado))</f>
        <v/>
      </c>
      <c r="G20" s="100">
        <f>IF($B20="",0,SUMIFS(tbLancamentos[Valor],tbLancamentos[Categoria],$B20,tbLancamentos[Tipo],"&lt;&gt;Receita",tbLancamentos[Conta no mês?],"sim",tbLancamentos[Mês],5,tbLancamentos[Ano],AnoSelecionado))</f>
        <v/>
      </c>
      <c r="H20" s="100">
        <f>IF($B20="",0,SUMIFS(tbLancamentos[Valor],tbLancamentos[Categoria],$B20,tbLancamentos[Tipo],"&lt;&gt;Receita",tbLancamentos[Conta no mês?],"sim",tbLancamentos[Mês],6,tbLancamentos[Ano],AnoSelecionado))</f>
        <v/>
      </c>
      <c r="I20" s="100">
        <f>IF($B20="",0,SUMIFS(tbLancamentos[Valor],tbLancamentos[Categoria],$B20,tbLancamentos[Tipo],"&lt;&gt;Receita",tbLancamentos[Conta no mês?],"sim",tbLancamentos[Mês],7,tbLancamentos[Ano],AnoSelecionado))</f>
        <v/>
      </c>
      <c r="J20" s="100">
        <f>IF($B20="",0,SUMIFS(tbLancamentos[Valor],tbLancamentos[Categoria],$B20,tbLancamentos[Tipo],"&lt;&gt;Receita",tbLancamentos[Conta no mês?],"sim",tbLancamentos[Mês],8,tbLancamentos[Ano],AnoSelecionado))</f>
        <v/>
      </c>
      <c r="K20" s="100">
        <f>IF($B20="",0,SUMIFS(tbLancamentos[Valor],tbLancamentos[Categoria],$B20,tbLancamentos[Tipo],"&lt;&gt;Receita",tbLancamentos[Conta no mês?],"sim",tbLancamentos[Mês],9,tbLancamentos[Ano],AnoSelecionado))</f>
        <v/>
      </c>
      <c r="L20" s="100">
        <f>IF($B20="",0,SUMIFS(tbLancamentos[Valor],tbLancamentos[Categoria],$B20,tbLancamentos[Tipo],"&lt;&gt;Receita",tbLancamentos[Conta no mês?],"sim",tbLancamentos[Mês],10,tbLancamentos[Ano],AnoSelecionado))</f>
        <v/>
      </c>
      <c r="M20" s="100">
        <f>IF($B20="",0,SUMIFS(tbLancamentos[Valor],tbLancamentos[Categoria],$B20,tbLancamentos[Tipo],"&lt;&gt;Receita",tbLancamentos[Conta no mês?],"sim",tbLancamentos[Mês],11,tbLancamentos[Ano],AnoSelecionado))</f>
        <v/>
      </c>
      <c r="N20" s="100">
        <f>IF($B20="",0,SUMIFS(tbLancamentos[Valor],tbLancamentos[Categoria],$B20,tbLancamentos[Tipo],"&lt;&gt;Receita",tbLancamentos[Conta no mês?],"sim",tbLancamentos[Mês],12,tbLancamentos[Ano],AnoSelecionado))</f>
        <v/>
      </c>
      <c r="O20" s="100">
        <f>SUM(C20:N20)</f>
        <v/>
      </c>
      <c r="P20" s="100">
        <f>IF(Calc!$B$26&gt;0,O20/Calc!$B$26,0)</f>
        <v/>
      </c>
      <c r="Q20" s="101" t="n"/>
      <c r="R20" s="8" t="n"/>
      <c r="S20" s="8" t="n"/>
      <c r="T20" s="8" t="n"/>
    </row>
    <row r="21" ht="20" customHeight="1">
      <c r="A21" s="8" t="n"/>
      <c r="B21" s="33">
        <f>IF(5&lt;=Calc!$B$21,INDEX(Config!$D$6:$D$1000,5),"")</f>
        <v/>
      </c>
      <c r="C21" s="100">
        <f>IF($B21="",0,SUMIFS(tbLancamentos[Valor],tbLancamentos[Categoria],$B21,tbLancamentos[Tipo],"&lt;&gt;Receita",tbLancamentos[Conta no mês?],"sim",tbLancamentos[Mês],1,tbLancamentos[Ano],AnoSelecionado))</f>
        <v/>
      </c>
      <c r="D21" s="100">
        <f>IF($B21="",0,SUMIFS(tbLancamentos[Valor],tbLancamentos[Categoria],$B21,tbLancamentos[Tipo],"&lt;&gt;Receita",tbLancamentos[Conta no mês?],"sim",tbLancamentos[Mês],2,tbLancamentos[Ano],AnoSelecionado))</f>
        <v/>
      </c>
      <c r="E21" s="100">
        <f>IF($B21="",0,SUMIFS(tbLancamentos[Valor],tbLancamentos[Categoria],$B21,tbLancamentos[Tipo],"&lt;&gt;Receita",tbLancamentos[Conta no mês?],"sim",tbLancamentos[Mês],3,tbLancamentos[Ano],AnoSelecionado))</f>
        <v/>
      </c>
      <c r="F21" s="100">
        <f>IF($B21="",0,SUMIFS(tbLancamentos[Valor],tbLancamentos[Categoria],$B21,tbLancamentos[Tipo],"&lt;&gt;Receita",tbLancamentos[Conta no mês?],"sim",tbLancamentos[Mês],4,tbLancamentos[Ano],AnoSelecionado))</f>
        <v/>
      </c>
      <c r="G21" s="100">
        <f>IF($B21="",0,SUMIFS(tbLancamentos[Valor],tbLancamentos[Categoria],$B21,tbLancamentos[Tipo],"&lt;&gt;Receita",tbLancamentos[Conta no mês?],"sim",tbLancamentos[Mês],5,tbLancamentos[Ano],AnoSelecionado))</f>
        <v/>
      </c>
      <c r="H21" s="100">
        <f>IF($B21="",0,SUMIFS(tbLancamentos[Valor],tbLancamentos[Categoria],$B21,tbLancamentos[Tipo],"&lt;&gt;Receita",tbLancamentos[Conta no mês?],"sim",tbLancamentos[Mês],6,tbLancamentos[Ano],AnoSelecionado))</f>
        <v/>
      </c>
      <c r="I21" s="100">
        <f>IF($B21="",0,SUMIFS(tbLancamentos[Valor],tbLancamentos[Categoria],$B21,tbLancamentos[Tipo],"&lt;&gt;Receita",tbLancamentos[Conta no mês?],"sim",tbLancamentos[Mês],7,tbLancamentos[Ano],AnoSelecionado))</f>
        <v/>
      </c>
      <c r="J21" s="100">
        <f>IF($B21="",0,SUMIFS(tbLancamentos[Valor],tbLancamentos[Categoria],$B21,tbLancamentos[Tipo],"&lt;&gt;Receita",tbLancamentos[Conta no mês?],"sim",tbLancamentos[Mês],8,tbLancamentos[Ano],AnoSelecionado))</f>
        <v/>
      </c>
      <c r="K21" s="100">
        <f>IF($B21="",0,SUMIFS(tbLancamentos[Valor],tbLancamentos[Categoria],$B21,tbLancamentos[Tipo],"&lt;&gt;Receita",tbLancamentos[Conta no mês?],"sim",tbLancamentos[Mês],9,tbLancamentos[Ano],AnoSelecionado))</f>
        <v/>
      </c>
      <c r="L21" s="100">
        <f>IF($B21="",0,SUMIFS(tbLancamentos[Valor],tbLancamentos[Categoria],$B21,tbLancamentos[Tipo],"&lt;&gt;Receita",tbLancamentos[Conta no mês?],"sim",tbLancamentos[Mês],10,tbLancamentos[Ano],AnoSelecionado))</f>
        <v/>
      </c>
      <c r="M21" s="100">
        <f>IF($B21="",0,SUMIFS(tbLancamentos[Valor],tbLancamentos[Categoria],$B21,tbLancamentos[Tipo],"&lt;&gt;Receita",tbLancamentos[Conta no mês?],"sim",tbLancamentos[Mês],11,tbLancamentos[Ano],AnoSelecionado))</f>
        <v/>
      </c>
      <c r="N21" s="100">
        <f>IF($B21="",0,SUMIFS(tbLancamentos[Valor],tbLancamentos[Categoria],$B21,tbLancamentos[Tipo],"&lt;&gt;Receita",tbLancamentos[Conta no mês?],"sim",tbLancamentos[Mês],12,tbLancamentos[Ano],AnoSelecionado))</f>
        <v/>
      </c>
      <c r="O21" s="100">
        <f>SUM(C21:N21)</f>
        <v/>
      </c>
      <c r="P21" s="100">
        <f>IF(Calc!$B$26&gt;0,O21/Calc!$B$26,0)</f>
        <v/>
      </c>
      <c r="Q21" s="101" t="n"/>
      <c r="R21" s="8" t="n"/>
      <c r="S21" s="8" t="n"/>
      <c r="T21" s="8" t="n"/>
    </row>
    <row r="22" ht="20" customHeight="1">
      <c r="A22" s="8" t="n"/>
      <c r="B22" s="33">
        <f>IF(6&lt;=Calc!$B$21,INDEX(Config!$D$6:$D$1000,6),"")</f>
        <v/>
      </c>
      <c r="C22" s="100">
        <f>IF($B22="",0,SUMIFS(tbLancamentos[Valor],tbLancamentos[Categoria],$B22,tbLancamentos[Tipo],"&lt;&gt;Receita",tbLancamentos[Conta no mês?],"sim",tbLancamentos[Mês],1,tbLancamentos[Ano],AnoSelecionado))</f>
        <v/>
      </c>
      <c r="D22" s="100">
        <f>IF($B22="",0,SUMIFS(tbLancamentos[Valor],tbLancamentos[Categoria],$B22,tbLancamentos[Tipo],"&lt;&gt;Receita",tbLancamentos[Conta no mês?],"sim",tbLancamentos[Mês],2,tbLancamentos[Ano],AnoSelecionado))</f>
        <v/>
      </c>
      <c r="E22" s="100">
        <f>IF($B22="",0,SUMIFS(tbLancamentos[Valor],tbLancamentos[Categoria],$B22,tbLancamentos[Tipo],"&lt;&gt;Receita",tbLancamentos[Conta no mês?],"sim",tbLancamentos[Mês],3,tbLancamentos[Ano],AnoSelecionado))</f>
        <v/>
      </c>
      <c r="F22" s="100">
        <f>IF($B22="",0,SUMIFS(tbLancamentos[Valor],tbLancamentos[Categoria],$B22,tbLancamentos[Tipo],"&lt;&gt;Receita",tbLancamentos[Conta no mês?],"sim",tbLancamentos[Mês],4,tbLancamentos[Ano],AnoSelecionado))</f>
        <v/>
      </c>
      <c r="G22" s="100">
        <f>IF($B22="",0,SUMIFS(tbLancamentos[Valor],tbLancamentos[Categoria],$B22,tbLancamentos[Tipo],"&lt;&gt;Receita",tbLancamentos[Conta no mês?],"sim",tbLancamentos[Mês],5,tbLancamentos[Ano],AnoSelecionado))</f>
        <v/>
      </c>
      <c r="H22" s="100">
        <f>IF($B22="",0,SUMIFS(tbLancamentos[Valor],tbLancamentos[Categoria],$B22,tbLancamentos[Tipo],"&lt;&gt;Receita",tbLancamentos[Conta no mês?],"sim",tbLancamentos[Mês],6,tbLancamentos[Ano],AnoSelecionado))</f>
        <v/>
      </c>
      <c r="I22" s="100">
        <f>IF($B22="",0,SUMIFS(tbLancamentos[Valor],tbLancamentos[Categoria],$B22,tbLancamentos[Tipo],"&lt;&gt;Receita",tbLancamentos[Conta no mês?],"sim",tbLancamentos[Mês],7,tbLancamentos[Ano],AnoSelecionado))</f>
        <v/>
      </c>
      <c r="J22" s="100">
        <f>IF($B22="",0,SUMIFS(tbLancamentos[Valor],tbLancamentos[Categoria],$B22,tbLancamentos[Tipo],"&lt;&gt;Receita",tbLancamentos[Conta no mês?],"sim",tbLancamentos[Mês],8,tbLancamentos[Ano],AnoSelecionado))</f>
        <v/>
      </c>
      <c r="K22" s="100">
        <f>IF($B22="",0,SUMIFS(tbLancamentos[Valor],tbLancamentos[Categoria],$B22,tbLancamentos[Tipo],"&lt;&gt;Receita",tbLancamentos[Conta no mês?],"sim",tbLancamentos[Mês],9,tbLancamentos[Ano],AnoSelecionado))</f>
        <v/>
      </c>
      <c r="L22" s="100">
        <f>IF($B22="",0,SUMIFS(tbLancamentos[Valor],tbLancamentos[Categoria],$B22,tbLancamentos[Tipo],"&lt;&gt;Receita",tbLancamentos[Conta no mês?],"sim",tbLancamentos[Mês],10,tbLancamentos[Ano],AnoSelecionado))</f>
        <v/>
      </c>
      <c r="M22" s="100">
        <f>IF($B22="",0,SUMIFS(tbLancamentos[Valor],tbLancamentos[Categoria],$B22,tbLancamentos[Tipo],"&lt;&gt;Receita",tbLancamentos[Conta no mês?],"sim",tbLancamentos[Mês],11,tbLancamentos[Ano],AnoSelecionado))</f>
        <v/>
      </c>
      <c r="N22" s="100">
        <f>IF($B22="",0,SUMIFS(tbLancamentos[Valor],tbLancamentos[Categoria],$B22,tbLancamentos[Tipo],"&lt;&gt;Receita",tbLancamentos[Conta no mês?],"sim",tbLancamentos[Mês],12,tbLancamentos[Ano],AnoSelecionado))</f>
        <v/>
      </c>
      <c r="O22" s="100">
        <f>SUM(C22:N22)</f>
        <v/>
      </c>
      <c r="P22" s="100">
        <f>IF(Calc!$B$26&gt;0,O22/Calc!$B$26,0)</f>
        <v/>
      </c>
      <c r="Q22" s="101" t="n"/>
      <c r="R22" s="8" t="n"/>
      <c r="S22" s="8" t="n"/>
      <c r="T22" s="8" t="n"/>
    </row>
    <row r="23" ht="20" customHeight="1">
      <c r="A23" s="8" t="n"/>
      <c r="B23" s="33">
        <f>IF(7&lt;=Calc!$B$21,INDEX(Config!$D$6:$D$1000,7),"")</f>
        <v/>
      </c>
      <c r="C23" s="100">
        <f>IF($B23="",0,SUMIFS(tbLancamentos[Valor],tbLancamentos[Categoria],$B23,tbLancamentos[Tipo],"&lt;&gt;Receita",tbLancamentos[Conta no mês?],"sim",tbLancamentos[Mês],1,tbLancamentos[Ano],AnoSelecionado))</f>
        <v/>
      </c>
      <c r="D23" s="100">
        <f>IF($B23="",0,SUMIFS(tbLancamentos[Valor],tbLancamentos[Categoria],$B23,tbLancamentos[Tipo],"&lt;&gt;Receita",tbLancamentos[Conta no mês?],"sim",tbLancamentos[Mês],2,tbLancamentos[Ano],AnoSelecionado))</f>
        <v/>
      </c>
      <c r="E23" s="100">
        <f>IF($B23="",0,SUMIFS(tbLancamentos[Valor],tbLancamentos[Categoria],$B23,tbLancamentos[Tipo],"&lt;&gt;Receita",tbLancamentos[Conta no mês?],"sim",tbLancamentos[Mês],3,tbLancamentos[Ano],AnoSelecionado))</f>
        <v/>
      </c>
      <c r="F23" s="100">
        <f>IF($B23="",0,SUMIFS(tbLancamentos[Valor],tbLancamentos[Categoria],$B23,tbLancamentos[Tipo],"&lt;&gt;Receita",tbLancamentos[Conta no mês?],"sim",tbLancamentos[Mês],4,tbLancamentos[Ano],AnoSelecionado))</f>
        <v/>
      </c>
      <c r="G23" s="100">
        <f>IF($B23="",0,SUMIFS(tbLancamentos[Valor],tbLancamentos[Categoria],$B23,tbLancamentos[Tipo],"&lt;&gt;Receita",tbLancamentos[Conta no mês?],"sim",tbLancamentos[Mês],5,tbLancamentos[Ano],AnoSelecionado))</f>
        <v/>
      </c>
      <c r="H23" s="100">
        <f>IF($B23="",0,SUMIFS(tbLancamentos[Valor],tbLancamentos[Categoria],$B23,tbLancamentos[Tipo],"&lt;&gt;Receita",tbLancamentos[Conta no mês?],"sim",tbLancamentos[Mês],6,tbLancamentos[Ano],AnoSelecionado))</f>
        <v/>
      </c>
      <c r="I23" s="100">
        <f>IF($B23="",0,SUMIFS(tbLancamentos[Valor],tbLancamentos[Categoria],$B23,tbLancamentos[Tipo],"&lt;&gt;Receita",tbLancamentos[Conta no mês?],"sim",tbLancamentos[Mês],7,tbLancamentos[Ano],AnoSelecionado))</f>
        <v/>
      </c>
      <c r="J23" s="100">
        <f>IF($B23="",0,SUMIFS(tbLancamentos[Valor],tbLancamentos[Categoria],$B23,tbLancamentos[Tipo],"&lt;&gt;Receita",tbLancamentos[Conta no mês?],"sim",tbLancamentos[Mês],8,tbLancamentos[Ano],AnoSelecionado))</f>
        <v/>
      </c>
      <c r="K23" s="100">
        <f>IF($B23="",0,SUMIFS(tbLancamentos[Valor],tbLancamentos[Categoria],$B23,tbLancamentos[Tipo],"&lt;&gt;Receita",tbLancamentos[Conta no mês?],"sim",tbLancamentos[Mês],9,tbLancamentos[Ano],AnoSelecionado))</f>
        <v/>
      </c>
      <c r="L23" s="100">
        <f>IF($B23="",0,SUMIFS(tbLancamentos[Valor],tbLancamentos[Categoria],$B23,tbLancamentos[Tipo],"&lt;&gt;Receita",tbLancamentos[Conta no mês?],"sim",tbLancamentos[Mês],10,tbLancamentos[Ano],AnoSelecionado))</f>
        <v/>
      </c>
      <c r="M23" s="100">
        <f>IF($B23="",0,SUMIFS(tbLancamentos[Valor],tbLancamentos[Categoria],$B23,tbLancamentos[Tipo],"&lt;&gt;Receita",tbLancamentos[Conta no mês?],"sim",tbLancamentos[Mês],11,tbLancamentos[Ano],AnoSelecionado))</f>
        <v/>
      </c>
      <c r="N23" s="100">
        <f>IF($B23="",0,SUMIFS(tbLancamentos[Valor],tbLancamentos[Categoria],$B23,tbLancamentos[Tipo],"&lt;&gt;Receita",tbLancamentos[Conta no mês?],"sim",tbLancamentos[Mês],12,tbLancamentos[Ano],AnoSelecionado))</f>
        <v/>
      </c>
      <c r="O23" s="100">
        <f>SUM(C23:N23)</f>
        <v/>
      </c>
      <c r="P23" s="100">
        <f>IF(Calc!$B$26&gt;0,O23/Calc!$B$26,0)</f>
        <v/>
      </c>
      <c r="Q23" s="101" t="n"/>
      <c r="R23" s="8" t="n"/>
      <c r="S23" s="8" t="n"/>
      <c r="T23" s="8" t="n"/>
    </row>
    <row r="24" ht="20" customHeight="1">
      <c r="A24" s="8" t="n"/>
      <c r="B24" s="33">
        <f>IF(8&lt;=Calc!$B$21,INDEX(Config!$D$6:$D$1000,8),"")</f>
        <v/>
      </c>
      <c r="C24" s="100">
        <f>IF($B24="",0,SUMIFS(tbLancamentos[Valor],tbLancamentos[Categoria],$B24,tbLancamentos[Tipo],"&lt;&gt;Receita",tbLancamentos[Conta no mês?],"sim",tbLancamentos[Mês],1,tbLancamentos[Ano],AnoSelecionado))</f>
        <v/>
      </c>
      <c r="D24" s="100">
        <f>IF($B24="",0,SUMIFS(tbLancamentos[Valor],tbLancamentos[Categoria],$B24,tbLancamentos[Tipo],"&lt;&gt;Receita",tbLancamentos[Conta no mês?],"sim",tbLancamentos[Mês],2,tbLancamentos[Ano],AnoSelecionado))</f>
        <v/>
      </c>
      <c r="E24" s="100">
        <f>IF($B24="",0,SUMIFS(tbLancamentos[Valor],tbLancamentos[Categoria],$B24,tbLancamentos[Tipo],"&lt;&gt;Receita",tbLancamentos[Conta no mês?],"sim",tbLancamentos[Mês],3,tbLancamentos[Ano],AnoSelecionado))</f>
        <v/>
      </c>
      <c r="F24" s="100">
        <f>IF($B24="",0,SUMIFS(tbLancamentos[Valor],tbLancamentos[Categoria],$B24,tbLancamentos[Tipo],"&lt;&gt;Receita",tbLancamentos[Conta no mês?],"sim",tbLancamentos[Mês],4,tbLancamentos[Ano],AnoSelecionado))</f>
        <v/>
      </c>
      <c r="G24" s="100">
        <f>IF($B24="",0,SUMIFS(tbLancamentos[Valor],tbLancamentos[Categoria],$B24,tbLancamentos[Tipo],"&lt;&gt;Receita",tbLancamentos[Conta no mês?],"sim",tbLancamentos[Mês],5,tbLancamentos[Ano],AnoSelecionado))</f>
        <v/>
      </c>
      <c r="H24" s="100">
        <f>IF($B24="",0,SUMIFS(tbLancamentos[Valor],tbLancamentos[Categoria],$B24,tbLancamentos[Tipo],"&lt;&gt;Receita",tbLancamentos[Conta no mês?],"sim",tbLancamentos[Mês],6,tbLancamentos[Ano],AnoSelecionado))</f>
        <v/>
      </c>
      <c r="I24" s="100">
        <f>IF($B24="",0,SUMIFS(tbLancamentos[Valor],tbLancamentos[Categoria],$B24,tbLancamentos[Tipo],"&lt;&gt;Receita",tbLancamentos[Conta no mês?],"sim",tbLancamentos[Mês],7,tbLancamentos[Ano],AnoSelecionado))</f>
        <v/>
      </c>
      <c r="J24" s="100">
        <f>IF($B24="",0,SUMIFS(tbLancamentos[Valor],tbLancamentos[Categoria],$B24,tbLancamentos[Tipo],"&lt;&gt;Receita",tbLancamentos[Conta no mês?],"sim",tbLancamentos[Mês],8,tbLancamentos[Ano],AnoSelecionado))</f>
        <v/>
      </c>
      <c r="K24" s="100">
        <f>IF($B24="",0,SUMIFS(tbLancamentos[Valor],tbLancamentos[Categoria],$B24,tbLancamentos[Tipo],"&lt;&gt;Receita",tbLancamentos[Conta no mês?],"sim",tbLancamentos[Mês],9,tbLancamentos[Ano],AnoSelecionado))</f>
        <v/>
      </c>
      <c r="L24" s="100">
        <f>IF($B24="",0,SUMIFS(tbLancamentos[Valor],tbLancamentos[Categoria],$B24,tbLancamentos[Tipo],"&lt;&gt;Receita",tbLancamentos[Conta no mês?],"sim",tbLancamentos[Mês],10,tbLancamentos[Ano],AnoSelecionado))</f>
        <v/>
      </c>
      <c r="M24" s="100">
        <f>IF($B24="",0,SUMIFS(tbLancamentos[Valor],tbLancamentos[Categoria],$B24,tbLancamentos[Tipo],"&lt;&gt;Receita",tbLancamentos[Conta no mês?],"sim",tbLancamentos[Mês],11,tbLancamentos[Ano],AnoSelecionado))</f>
        <v/>
      </c>
      <c r="N24" s="100">
        <f>IF($B24="",0,SUMIFS(tbLancamentos[Valor],tbLancamentos[Categoria],$B24,tbLancamentos[Tipo],"&lt;&gt;Receita",tbLancamentos[Conta no mês?],"sim",tbLancamentos[Mês],12,tbLancamentos[Ano],AnoSelecionado))</f>
        <v/>
      </c>
      <c r="O24" s="100">
        <f>SUM(C24:N24)</f>
        <v/>
      </c>
      <c r="P24" s="100">
        <f>IF(Calc!$B$26&gt;0,O24/Calc!$B$26,0)</f>
        <v/>
      </c>
      <c r="Q24" s="101" t="n"/>
      <c r="R24" s="8" t="n"/>
      <c r="S24" s="8" t="n"/>
      <c r="T24" s="8" t="n"/>
    </row>
    <row r="25" ht="20" customHeight="1">
      <c r="A25" s="8" t="n"/>
      <c r="B25" s="33">
        <f>IF(9&lt;=Calc!$B$21,INDEX(Config!$D$6:$D$1000,9),"")</f>
        <v/>
      </c>
      <c r="C25" s="100">
        <f>IF($B25="",0,SUMIFS(tbLancamentos[Valor],tbLancamentos[Categoria],$B25,tbLancamentos[Tipo],"&lt;&gt;Receita",tbLancamentos[Conta no mês?],"sim",tbLancamentos[Mês],1,tbLancamentos[Ano],AnoSelecionado))</f>
        <v/>
      </c>
      <c r="D25" s="100">
        <f>IF($B25="",0,SUMIFS(tbLancamentos[Valor],tbLancamentos[Categoria],$B25,tbLancamentos[Tipo],"&lt;&gt;Receita",tbLancamentos[Conta no mês?],"sim",tbLancamentos[Mês],2,tbLancamentos[Ano],AnoSelecionado))</f>
        <v/>
      </c>
      <c r="E25" s="100">
        <f>IF($B25="",0,SUMIFS(tbLancamentos[Valor],tbLancamentos[Categoria],$B25,tbLancamentos[Tipo],"&lt;&gt;Receita",tbLancamentos[Conta no mês?],"sim",tbLancamentos[Mês],3,tbLancamentos[Ano],AnoSelecionado))</f>
        <v/>
      </c>
      <c r="F25" s="100">
        <f>IF($B25="",0,SUMIFS(tbLancamentos[Valor],tbLancamentos[Categoria],$B25,tbLancamentos[Tipo],"&lt;&gt;Receita",tbLancamentos[Conta no mês?],"sim",tbLancamentos[Mês],4,tbLancamentos[Ano],AnoSelecionado))</f>
        <v/>
      </c>
      <c r="G25" s="100">
        <f>IF($B25="",0,SUMIFS(tbLancamentos[Valor],tbLancamentos[Categoria],$B25,tbLancamentos[Tipo],"&lt;&gt;Receita",tbLancamentos[Conta no mês?],"sim",tbLancamentos[Mês],5,tbLancamentos[Ano],AnoSelecionado))</f>
        <v/>
      </c>
      <c r="H25" s="100">
        <f>IF($B25="",0,SUMIFS(tbLancamentos[Valor],tbLancamentos[Categoria],$B25,tbLancamentos[Tipo],"&lt;&gt;Receita",tbLancamentos[Conta no mês?],"sim",tbLancamentos[Mês],6,tbLancamentos[Ano],AnoSelecionado))</f>
        <v/>
      </c>
      <c r="I25" s="100">
        <f>IF($B25="",0,SUMIFS(tbLancamentos[Valor],tbLancamentos[Categoria],$B25,tbLancamentos[Tipo],"&lt;&gt;Receita",tbLancamentos[Conta no mês?],"sim",tbLancamentos[Mês],7,tbLancamentos[Ano],AnoSelecionado))</f>
        <v/>
      </c>
      <c r="J25" s="100">
        <f>IF($B25="",0,SUMIFS(tbLancamentos[Valor],tbLancamentos[Categoria],$B25,tbLancamentos[Tipo],"&lt;&gt;Receita",tbLancamentos[Conta no mês?],"sim",tbLancamentos[Mês],8,tbLancamentos[Ano],AnoSelecionado))</f>
        <v/>
      </c>
      <c r="K25" s="100">
        <f>IF($B25="",0,SUMIFS(tbLancamentos[Valor],tbLancamentos[Categoria],$B25,tbLancamentos[Tipo],"&lt;&gt;Receita",tbLancamentos[Conta no mês?],"sim",tbLancamentos[Mês],9,tbLancamentos[Ano],AnoSelecionado))</f>
        <v/>
      </c>
      <c r="L25" s="100">
        <f>IF($B25="",0,SUMIFS(tbLancamentos[Valor],tbLancamentos[Categoria],$B25,tbLancamentos[Tipo],"&lt;&gt;Receita",tbLancamentos[Conta no mês?],"sim",tbLancamentos[Mês],10,tbLancamentos[Ano],AnoSelecionado))</f>
        <v/>
      </c>
      <c r="M25" s="100">
        <f>IF($B25="",0,SUMIFS(tbLancamentos[Valor],tbLancamentos[Categoria],$B25,tbLancamentos[Tipo],"&lt;&gt;Receita",tbLancamentos[Conta no mês?],"sim",tbLancamentos[Mês],11,tbLancamentos[Ano],AnoSelecionado))</f>
        <v/>
      </c>
      <c r="N25" s="100">
        <f>IF($B25="",0,SUMIFS(tbLancamentos[Valor],tbLancamentos[Categoria],$B25,tbLancamentos[Tipo],"&lt;&gt;Receita",tbLancamentos[Conta no mês?],"sim",tbLancamentos[Mês],12,tbLancamentos[Ano],AnoSelecionado))</f>
        <v/>
      </c>
      <c r="O25" s="100">
        <f>SUM(C25:N25)</f>
        <v/>
      </c>
      <c r="P25" s="100">
        <f>IF(Calc!$B$26&gt;0,O25/Calc!$B$26,0)</f>
        <v/>
      </c>
      <c r="Q25" s="101" t="n"/>
      <c r="R25" s="8" t="n"/>
      <c r="S25" s="8" t="n"/>
      <c r="T25" s="8" t="n"/>
    </row>
    <row r="26" ht="20" customHeight="1">
      <c r="A26" s="8" t="n"/>
      <c r="B26" s="33">
        <f>IF(10&lt;=Calc!$B$21,INDEX(Config!$D$6:$D$1000,10),"")</f>
        <v/>
      </c>
      <c r="C26" s="100">
        <f>IF($B26="",0,SUMIFS(tbLancamentos[Valor],tbLancamentos[Categoria],$B26,tbLancamentos[Tipo],"&lt;&gt;Receita",tbLancamentos[Conta no mês?],"sim",tbLancamentos[Mês],1,tbLancamentos[Ano],AnoSelecionado))</f>
        <v/>
      </c>
      <c r="D26" s="100">
        <f>IF($B26="",0,SUMIFS(tbLancamentos[Valor],tbLancamentos[Categoria],$B26,tbLancamentos[Tipo],"&lt;&gt;Receita",tbLancamentos[Conta no mês?],"sim",tbLancamentos[Mês],2,tbLancamentos[Ano],AnoSelecionado))</f>
        <v/>
      </c>
      <c r="E26" s="100">
        <f>IF($B26="",0,SUMIFS(tbLancamentos[Valor],tbLancamentos[Categoria],$B26,tbLancamentos[Tipo],"&lt;&gt;Receita",tbLancamentos[Conta no mês?],"sim",tbLancamentos[Mês],3,tbLancamentos[Ano],AnoSelecionado))</f>
        <v/>
      </c>
      <c r="F26" s="100">
        <f>IF($B26="",0,SUMIFS(tbLancamentos[Valor],tbLancamentos[Categoria],$B26,tbLancamentos[Tipo],"&lt;&gt;Receita",tbLancamentos[Conta no mês?],"sim",tbLancamentos[Mês],4,tbLancamentos[Ano],AnoSelecionado))</f>
        <v/>
      </c>
      <c r="G26" s="100">
        <f>IF($B26="",0,SUMIFS(tbLancamentos[Valor],tbLancamentos[Categoria],$B26,tbLancamentos[Tipo],"&lt;&gt;Receita",tbLancamentos[Conta no mês?],"sim",tbLancamentos[Mês],5,tbLancamentos[Ano],AnoSelecionado))</f>
        <v/>
      </c>
      <c r="H26" s="100">
        <f>IF($B26="",0,SUMIFS(tbLancamentos[Valor],tbLancamentos[Categoria],$B26,tbLancamentos[Tipo],"&lt;&gt;Receita",tbLancamentos[Conta no mês?],"sim",tbLancamentos[Mês],6,tbLancamentos[Ano],AnoSelecionado))</f>
        <v/>
      </c>
      <c r="I26" s="100">
        <f>IF($B26="",0,SUMIFS(tbLancamentos[Valor],tbLancamentos[Categoria],$B26,tbLancamentos[Tipo],"&lt;&gt;Receita",tbLancamentos[Conta no mês?],"sim",tbLancamentos[Mês],7,tbLancamentos[Ano],AnoSelecionado))</f>
        <v/>
      </c>
      <c r="J26" s="100">
        <f>IF($B26="",0,SUMIFS(tbLancamentos[Valor],tbLancamentos[Categoria],$B26,tbLancamentos[Tipo],"&lt;&gt;Receita",tbLancamentos[Conta no mês?],"sim",tbLancamentos[Mês],8,tbLancamentos[Ano],AnoSelecionado))</f>
        <v/>
      </c>
      <c r="K26" s="100">
        <f>IF($B26="",0,SUMIFS(tbLancamentos[Valor],tbLancamentos[Categoria],$B26,tbLancamentos[Tipo],"&lt;&gt;Receita",tbLancamentos[Conta no mês?],"sim",tbLancamentos[Mês],9,tbLancamentos[Ano],AnoSelecionado))</f>
        <v/>
      </c>
      <c r="L26" s="100">
        <f>IF($B26="",0,SUMIFS(tbLancamentos[Valor],tbLancamentos[Categoria],$B26,tbLancamentos[Tipo],"&lt;&gt;Receita",tbLancamentos[Conta no mês?],"sim",tbLancamentos[Mês],10,tbLancamentos[Ano],AnoSelecionado))</f>
        <v/>
      </c>
      <c r="M26" s="100">
        <f>IF($B26="",0,SUMIFS(tbLancamentos[Valor],tbLancamentos[Categoria],$B26,tbLancamentos[Tipo],"&lt;&gt;Receita",tbLancamentos[Conta no mês?],"sim",tbLancamentos[Mês],11,tbLancamentos[Ano],AnoSelecionado))</f>
        <v/>
      </c>
      <c r="N26" s="100">
        <f>IF($B26="",0,SUMIFS(tbLancamentos[Valor],tbLancamentos[Categoria],$B26,tbLancamentos[Tipo],"&lt;&gt;Receita",tbLancamentos[Conta no mês?],"sim",tbLancamentos[Mês],12,tbLancamentos[Ano],AnoSelecionado))</f>
        <v/>
      </c>
      <c r="O26" s="100">
        <f>SUM(C26:N26)</f>
        <v/>
      </c>
      <c r="P26" s="100">
        <f>IF(Calc!$B$26&gt;0,O26/Calc!$B$26,0)</f>
        <v/>
      </c>
      <c r="Q26" s="101" t="n"/>
      <c r="R26" s="8" t="n"/>
      <c r="S26" s="8" t="n"/>
      <c r="T26" s="8" t="n"/>
    </row>
    <row r="27" ht="20" customHeight="1">
      <c r="A27" s="8" t="n"/>
      <c r="B27" s="33">
        <f>IF(11&lt;=Calc!$B$21,INDEX(Config!$D$6:$D$1000,11),"")</f>
        <v/>
      </c>
      <c r="C27" s="100">
        <f>IF($B27="",0,SUMIFS(tbLancamentos[Valor],tbLancamentos[Categoria],$B27,tbLancamentos[Tipo],"&lt;&gt;Receita",tbLancamentos[Conta no mês?],"sim",tbLancamentos[Mês],1,tbLancamentos[Ano],AnoSelecionado))</f>
        <v/>
      </c>
      <c r="D27" s="100">
        <f>IF($B27="",0,SUMIFS(tbLancamentos[Valor],tbLancamentos[Categoria],$B27,tbLancamentos[Tipo],"&lt;&gt;Receita",tbLancamentos[Conta no mês?],"sim",tbLancamentos[Mês],2,tbLancamentos[Ano],AnoSelecionado))</f>
        <v/>
      </c>
      <c r="E27" s="100">
        <f>IF($B27="",0,SUMIFS(tbLancamentos[Valor],tbLancamentos[Categoria],$B27,tbLancamentos[Tipo],"&lt;&gt;Receita",tbLancamentos[Conta no mês?],"sim",tbLancamentos[Mês],3,tbLancamentos[Ano],AnoSelecionado))</f>
        <v/>
      </c>
      <c r="F27" s="100">
        <f>IF($B27="",0,SUMIFS(tbLancamentos[Valor],tbLancamentos[Categoria],$B27,tbLancamentos[Tipo],"&lt;&gt;Receita",tbLancamentos[Conta no mês?],"sim",tbLancamentos[Mês],4,tbLancamentos[Ano],AnoSelecionado))</f>
        <v/>
      </c>
      <c r="G27" s="100">
        <f>IF($B27="",0,SUMIFS(tbLancamentos[Valor],tbLancamentos[Categoria],$B27,tbLancamentos[Tipo],"&lt;&gt;Receita",tbLancamentos[Conta no mês?],"sim",tbLancamentos[Mês],5,tbLancamentos[Ano],AnoSelecionado))</f>
        <v/>
      </c>
      <c r="H27" s="100">
        <f>IF($B27="",0,SUMIFS(tbLancamentos[Valor],tbLancamentos[Categoria],$B27,tbLancamentos[Tipo],"&lt;&gt;Receita",tbLancamentos[Conta no mês?],"sim",tbLancamentos[Mês],6,tbLancamentos[Ano],AnoSelecionado))</f>
        <v/>
      </c>
      <c r="I27" s="100">
        <f>IF($B27="",0,SUMIFS(tbLancamentos[Valor],tbLancamentos[Categoria],$B27,tbLancamentos[Tipo],"&lt;&gt;Receita",tbLancamentos[Conta no mês?],"sim",tbLancamentos[Mês],7,tbLancamentos[Ano],AnoSelecionado))</f>
        <v/>
      </c>
      <c r="J27" s="100">
        <f>IF($B27="",0,SUMIFS(tbLancamentos[Valor],tbLancamentos[Categoria],$B27,tbLancamentos[Tipo],"&lt;&gt;Receita",tbLancamentos[Conta no mês?],"sim",tbLancamentos[Mês],8,tbLancamentos[Ano],AnoSelecionado))</f>
        <v/>
      </c>
      <c r="K27" s="100">
        <f>IF($B27="",0,SUMIFS(tbLancamentos[Valor],tbLancamentos[Categoria],$B27,tbLancamentos[Tipo],"&lt;&gt;Receita",tbLancamentos[Conta no mês?],"sim",tbLancamentos[Mês],9,tbLancamentos[Ano],AnoSelecionado))</f>
        <v/>
      </c>
      <c r="L27" s="100">
        <f>IF($B27="",0,SUMIFS(tbLancamentos[Valor],tbLancamentos[Categoria],$B27,tbLancamentos[Tipo],"&lt;&gt;Receita",tbLancamentos[Conta no mês?],"sim",tbLancamentos[Mês],10,tbLancamentos[Ano],AnoSelecionado))</f>
        <v/>
      </c>
      <c r="M27" s="100">
        <f>IF($B27="",0,SUMIFS(tbLancamentos[Valor],tbLancamentos[Categoria],$B27,tbLancamentos[Tipo],"&lt;&gt;Receita",tbLancamentos[Conta no mês?],"sim",tbLancamentos[Mês],11,tbLancamentos[Ano],AnoSelecionado))</f>
        <v/>
      </c>
      <c r="N27" s="100">
        <f>IF($B27="",0,SUMIFS(tbLancamentos[Valor],tbLancamentos[Categoria],$B27,tbLancamentos[Tipo],"&lt;&gt;Receita",tbLancamentos[Conta no mês?],"sim",tbLancamentos[Mês],12,tbLancamentos[Ano],AnoSelecionado))</f>
        <v/>
      </c>
      <c r="O27" s="100">
        <f>SUM(C27:N27)</f>
        <v/>
      </c>
      <c r="P27" s="100">
        <f>IF(Calc!$B$26&gt;0,O27/Calc!$B$26,0)</f>
        <v/>
      </c>
      <c r="Q27" s="101" t="n"/>
      <c r="R27" s="8" t="n"/>
      <c r="S27" s="8" t="n"/>
      <c r="T27" s="8" t="n"/>
    </row>
    <row r="28" ht="20" customHeight="1">
      <c r="A28" s="8" t="n"/>
      <c r="B28" s="33">
        <f>IF(12&lt;=Calc!$B$21,INDEX(Config!$D$6:$D$1000,12),"")</f>
        <v/>
      </c>
      <c r="C28" s="100">
        <f>IF($B28="",0,SUMIFS(tbLancamentos[Valor],tbLancamentos[Categoria],$B28,tbLancamentos[Tipo],"&lt;&gt;Receita",tbLancamentos[Conta no mês?],"sim",tbLancamentos[Mês],1,tbLancamentos[Ano],AnoSelecionado))</f>
        <v/>
      </c>
      <c r="D28" s="100">
        <f>IF($B28="",0,SUMIFS(tbLancamentos[Valor],tbLancamentos[Categoria],$B28,tbLancamentos[Tipo],"&lt;&gt;Receita",tbLancamentos[Conta no mês?],"sim",tbLancamentos[Mês],2,tbLancamentos[Ano],AnoSelecionado))</f>
        <v/>
      </c>
      <c r="E28" s="100">
        <f>IF($B28="",0,SUMIFS(tbLancamentos[Valor],tbLancamentos[Categoria],$B28,tbLancamentos[Tipo],"&lt;&gt;Receita",tbLancamentos[Conta no mês?],"sim",tbLancamentos[Mês],3,tbLancamentos[Ano],AnoSelecionado))</f>
        <v/>
      </c>
      <c r="F28" s="100">
        <f>IF($B28="",0,SUMIFS(tbLancamentos[Valor],tbLancamentos[Categoria],$B28,tbLancamentos[Tipo],"&lt;&gt;Receita",tbLancamentos[Conta no mês?],"sim",tbLancamentos[Mês],4,tbLancamentos[Ano],AnoSelecionado))</f>
        <v/>
      </c>
      <c r="G28" s="100">
        <f>IF($B28="",0,SUMIFS(tbLancamentos[Valor],tbLancamentos[Categoria],$B28,tbLancamentos[Tipo],"&lt;&gt;Receita",tbLancamentos[Conta no mês?],"sim",tbLancamentos[Mês],5,tbLancamentos[Ano],AnoSelecionado))</f>
        <v/>
      </c>
      <c r="H28" s="100">
        <f>IF($B28="",0,SUMIFS(tbLancamentos[Valor],tbLancamentos[Categoria],$B28,tbLancamentos[Tipo],"&lt;&gt;Receita",tbLancamentos[Conta no mês?],"sim",tbLancamentos[Mês],6,tbLancamentos[Ano],AnoSelecionado))</f>
        <v/>
      </c>
      <c r="I28" s="100">
        <f>IF($B28="",0,SUMIFS(tbLancamentos[Valor],tbLancamentos[Categoria],$B28,tbLancamentos[Tipo],"&lt;&gt;Receita",tbLancamentos[Conta no mês?],"sim",tbLancamentos[Mês],7,tbLancamentos[Ano],AnoSelecionado))</f>
        <v/>
      </c>
      <c r="J28" s="100">
        <f>IF($B28="",0,SUMIFS(tbLancamentos[Valor],tbLancamentos[Categoria],$B28,tbLancamentos[Tipo],"&lt;&gt;Receita",tbLancamentos[Conta no mês?],"sim",tbLancamentos[Mês],8,tbLancamentos[Ano],AnoSelecionado))</f>
        <v/>
      </c>
      <c r="K28" s="100">
        <f>IF($B28="",0,SUMIFS(tbLancamentos[Valor],tbLancamentos[Categoria],$B28,tbLancamentos[Tipo],"&lt;&gt;Receita",tbLancamentos[Conta no mês?],"sim",tbLancamentos[Mês],9,tbLancamentos[Ano],AnoSelecionado))</f>
        <v/>
      </c>
      <c r="L28" s="100">
        <f>IF($B28="",0,SUMIFS(tbLancamentos[Valor],tbLancamentos[Categoria],$B28,tbLancamentos[Tipo],"&lt;&gt;Receita",tbLancamentos[Conta no mês?],"sim",tbLancamentos[Mês],10,tbLancamentos[Ano],AnoSelecionado))</f>
        <v/>
      </c>
      <c r="M28" s="100">
        <f>IF($B28="",0,SUMIFS(tbLancamentos[Valor],tbLancamentos[Categoria],$B28,tbLancamentos[Tipo],"&lt;&gt;Receita",tbLancamentos[Conta no mês?],"sim",tbLancamentos[Mês],11,tbLancamentos[Ano],AnoSelecionado))</f>
        <v/>
      </c>
      <c r="N28" s="100">
        <f>IF($B28="",0,SUMIFS(tbLancamentos[Valor],tbLancamentos[Categoria],$B28,tbLancamentos[Tipo],"&lt;&gt;Receita",tbLancamentos[Conta no mês?],"sim",tbLancamentos[Mês],12,tbLancamentos[Ano],AnoSelecionado))</f>
        <v/>
      </c>
      <c r="O28" s="100">
        <f>SUM(C28:N28)</f>
        <v/>
      </c>
      <c r="P28" s="100">
        <f>IF(Calc!$B$26&gt;0,O28/Calc!$B$26,0)</f>
        <v/>
      </c>
      <c r="Q28" s="101" t="n"/>
      <c r="R28" s="8" t="n"/>
      <c r="S28" s="8" t="n"/>
      <c r="T28" s="8" t="n"/>
    </row>
    <row r="29" ht="20" customHeight="1">
      <c r="A29" s="8" t="n"/>
      <c r="B29" s="33">
        <f>IF(13&lt;=Calc!$B$21,INDEX(Config!$D$6:$D$1000,13),"")</f>
        <v/>
      </c>
      <c r="C29" s="100">
        <f>IF($B29="",0,SUMIFS(tbLancamentos[Valor],tbLancamentos[Categoria],$B29,tbLancamentos[Tipo],"&lt;&gt;Receita",tbLancamentos[Conta no mês?],"sim",tbLancamentos[Mês],1,tbLancamentos[Ano],AnoSelecionado))</f>
        <v/>
      </c>
      <c r="D29" s="100">
        <f>IF($B29="",0,SUMIFS(tbLancamentos[Valor],tbLancamentos[Categoria],$B29,tbLancamentos[Tipo],"&lt;&gt;Receita",tbLancamentos[Conta no mês?],"sim",tbLancamentos[Mês],2,tbLancamentos[Ano],AnoSelecionado))</f>
        <v/>
      </c>
      <c r="E29" s="100">
        <f>IF($B29="",0,SUMIFS(tbLancamentos[Valor],tbLancamentos[Categoria],$B29,tbLancamentos[Tipo],"&lt;&gt;Receita",tbLancamentos[Conta no mês?],"sim",tbLancamentos[Mês],3,tbLancamentos[Ano],AnoSelecionado))</f>
        <v/>
      </c>
      <c r="F29" s="100">
        <f>IF($B29="",0,SUMIFS(tbLancamentos[Valor],tbLancamentos[Categoria],$B29,tbLancamentos[Tipo],"&lt;&gt;Receita",tbLancamentos[Conta no mês?],"sim",tbLancamentos[Mês],4,tbLancamentos[Ano],AnoSelecionado))</f>
        <v/>
      </c>
      <c r="G29" s="100">
        <f>IF($B29="",0,SUMIFS(tbLancamentos[Valor],tbLancamentos[Categoria],$B29,tbLancamentos[Tipo],"&lt;&gt;Receita",tbLancamentos[Conta no mês?],"sim",tbLancamentos[Mês],5,tbLancamentos[Ano],AnoSelecionado))</f>
        <v/>
      </c>
      <c r="H29" s="100">
        <f>IF($B29="",0,SUMIFS(tbLancamentos[Valor],tbLancamentos[Categoria],$B29,tbLancamentos[Tipo],"&lt;&gt;Receita",tbLancamentos[Conta no mês?],"sim",tbLancamentos[Mês],6,tbLancamentos[Ano],AnoSelecionado))</f>
        <v/>
      </c>
      <c r="I29" s="100">
        <f>IF($B29="",0,SUMIFS(tbLancamentos[Valor],tbLancamentos[Categoria],$B29,tbLancamentos[Tipo],"&lt;&gt;Receita",tbLancamentos[Conta no mês?],"sim",tbLancamentos[Mês],7,tbLancamentos[Ano],AnoSelecionado))</f>
        <v/>
      </c>
      <c r="J29" s="100">
        <f>IF($B29="",0,SUMIFS(tbLancamentos[Valor],tbLancamentos[Categoria],$B29,tbLancamentos[Tipo],"&lt;&gt;Receita",tbLancamentos[Conta no mês?],"sim",tbLancamentos[Mês],8,tbLancamentos[Ano],AnoSelecionado))</f>
        <v/>
      </c>
      <c r="K29" s="100">
        <f>IF($B29="",0,SUMIFS(tbLancamentos[Valor],tbLancamentos[Categoria],$B29,tbLancamentos[Tipo],"&lt;&gt;Receita",tbLancamentos[Conta no mês?],"sim",tbLancamentos[Mês],9,tbLancamentos[Ano],AnoSelecionado))</f>
        <v/>
      </c>
      <c r="L29" s="100">
        <f>IF($B29="",0,SUMIFS(tbLancamentos[Valor],tbLancamentos[Categoria],$B29,tbLancamentos[Tipo],"&lt;&gt;Receita",tbLancamentos[Conta no mês?],"sim",tbLancamentos[Mês],10,tbLancamentos[Ano],AnoSelecionado))</f>
        <v/>
      </c>
      <c r="M29" s="100">
        <f>IF($B29="",0,SUMIFS(tbLancamentos[Valor],tbLancamentos[Categoria],$B29,tbLancamentos[Tipo],"&lt;&gt;Receita",tbLancamentos[Conta no mês?],"sim",tbLancamentos[Mês],11,tbLancamentos[Ano],AnoSelecionado))</f>
        <v/>
      </c>
      <c r="N29" s="100">
        <f>IF($B29="",0,SUMIFS(tbLancamentos[Valor],tbLancamentos[Categoria],$B29,tbLancamentos[Tipo],"&lt;&gt;Receita",tbLancamentos[Conta no mês?],"sim",tbLancamentos[Mês],12,tbLancamentos[Ano],AnoSelecionado))</f>
        <v/>
      </c>
      <c r="O29" s="100">
        <f>SUM(C29:N29)</f>
        <v/>
      </c>
      <c r="P29" s="100">
        <f>IF(Calc!$B$26&gt;0,O29/Calc!$B$26,0)</f>
        <v/>
      </c>
      <c r="Q29" s="101" t="n"/>
      <c r="R29" s="8" t="n"/>
      <c r="S29" s="8" t="n"/>
      <c r="T29" s="8" t="n"/>
    </row>
    <row r="30" ht="20" customHeight="1">
      <c r="A30" s="8" t="n"/>
      <c r="B30" s="33">
        <f>IF(14&lt;=Calc!$B$21,INDEX(Config!$D$6:$D$1000,14),"")</f>
        <v/>
      </c>
      <c r="C30" s="100">
        <f>IF($B30="",0,SUMIFS(tbLancamentos[Valor],tbLancamentos[Categoria],$B30,tbLancamentos[Tipo],"&lt;&gt;Receita",tbLancamentos[Conta no mês?],"sim",tbLancamentos[Mês],1,tbLancamentos[Ano],AnoSelecionado))</f>
        <v/>
      </c>
      <c r="D30" s="100">
        <f>IF($B30="",0,SUMIFS(tbLancamentos[Valor],tbLancamentos[Categoria],$B30,tbLancamentos[Tipo],"&lt;&gt;Receita",tbLancamentos[Conta no mês?],"sim",tbLancamentos[Mês],2,tbLancamentos[Ano],AnoSelecionado))</f>
        <v/>
      </c>
      <c r="E30" s="100">
        <f>IF($B30="",0,SUMIFS(tbLancamentos[Valor],tbLancamentos[Categoria],$B30,tbLancamentos[Tipo],"&lt;&gt;Receita",tbLancamentos[Conta no mês?],"sim",tbLancamentos[Mês],3,tbLancamentos[Ano],AnoSelecionado))</f>
        <v/>
      </c>
      <c r="F30" s="100">
        <f>IF($B30="",0,SUMIFS(tbLancamentos[Valor],tbLancamentos[Categoria],$B30,tbLancamentos[Tipo],"&lt;&gt;Receita",tbLancamentos[Conta no mês?],"sim",tbLancamentos[Mês],4,tbLancamentos[Ano],AnoSelecionado))</f>
        <v/>
      </c>
      <c r="G30" s="100">
        <f>IF($B30="",0,SUMIFS(tbLancamentos[Valor],tbLancamentos[Categoria],$B30,tbLancamentos[Tipo],"&lt;&gt;Receita",tbLancamentos[Conta no mês?],"sim",tbLancamentos[Mês],5,tbLancamentos[Ano],AnoSelecionado))</f>
        <v/>
      </c>
      <c r="H30" s="100">
        <f>IF($B30="",0,SUMIFS(tbLancamentos[Valor],tbLancamentos[Categoria],$B30,tbLancamentos[Tipo],"&lt;&gt;Receita",tbLancamentos[Conta no mês?],"sim",tbLancamentos[Mês],6,tbLancamentos[Ano],AnoSelecionado))</f>
        <v/>
      </c>
      <c r="I30" s="100">
        <f>IF($B30="",0,SUMIFS(tbLancamentos[Valor],tbLancamentos[Categoria],$B30,tbLancamentos[Tipo],"&lt;&gt;Receita",tbLancamentos[Conta no mês?],"sim",tbLancamentos[Mês],7,tbLancamentos[Ano],AnoSelecionado))</f>
        <v/>
      </c>
      <c r="J30" s="100">
        <f>IF($B30="",0,SUMIFS(tbLancamentos[Valor],tbLancamentos[Categoria],$B30,tbLancamentos[Tipo],"&lt;&gt;Receita",tbLancamentos[Conta no mês?],"sim",tbLancamentos[Mês],8,tbLancamentos[Ano],AnoSelecionado))</f>
        <v/>
      </c>
      <c r="K30" s="100">
        <f>IF($B30="",0,SUMIFS(tbLancamentos[Valor],tbLancamentos[Categoria],$B30,tbLancamentos[Tipo],"&lt;&gt;Receita",tbLancamentos[Conta no mês?],"sim",tbLancamentos[Mês],9,tbLancamentos[Ano],AnoSelecionado))</f>
        <v/>
      </c>
      <c r="L30" s="100">
        <f>IF($B30="",0,SUMIFS(tbLancamentos[Valor],tbLancamentos[Categoria],$B30,tbLancamentos[Tipo],"&lt;&gt;Receita",tbLancamentos[Conta no mês?],"sim",tbLancamentos[Mês],10,tbLancamentos[Ano],AnoSelecionado))</f>
        <v/>
      </c>
      <c r="M30" s="100">
        <f>IF($B30="",0,SUMIFS(tbLancamentos[Valor],tbLancamentos[Categoria],$B30,tbLancamentos[Tipo],"&lt;&gt;Receita",tbLancamentos[Conta no mês?],"sim",tbLancamentos[Mês],11,tbLancamentos[Ano],AnoSelecionado))</f>
        <v/>
      </c>
      <c r="N30" s="100">
        <f>IF($B30="",0,SUMIFS(tbLancamentos[Valor],tbLancamentos[Categoria],$B30,tbLancamentos[Tipo],"&lt;&gt;Receita",tbLancamentos[Conta no mês?],"sim",tbLancamentos[Mês],12,tbLancamentos[Ano],AnoSelecionado))</f>
        <v/>
      </c>
      <c r="O30" s="100">
        <f>SUM(C30:N30)</f>
        <v/>
      </c>
      <c r="P30" s="100">
        <f>IF(Calc!$B$26&gt;0,O30/Calc!$B$26,0)</f>
        <v/>
      </c>
      <c r="Q30" s="101" t="n"/>
      <c r="R30" s="8" t="n"/>
      <c r="S30" s="8" t="n"/>
      <c r="T30" s="8" t="n"/>
    </row>
    <row r="31" ht="20" customHeight="1">
      <c r="A31" s="8" t="n"/>
      <c r="B31" s="33">
        <f>IF(15&lt;=Calc!$B$21,INDEX(Config!$D$6:$D$1000,15),"")</f>
        <v/>
      </c>
      <c r="C31" s="100">
        <f>IF($B31="",0,SUMIFS(tbLancamentos[Valor],tbLancamentos[Categoria],$B31,tbLancamentos[Tipo],"&lt;&gt;Receita",tbLancamentos[Conta no mês?],"sim",tbLancamentos[Mês],1,tbLancamentos[Ano],AnoSelecionado))</f>
        <v/>
      </c>
      <c r="D31" s="100">
        <f>IF($B31="",0,SUMIFS(tbLancamentos[Valor],tbLancamentos[Categoria],$B31,tbLancamentos[Tipo],"&lt;&gt;Receita",tbLancamentos[Conta no mês?],"sim",tbLancamentos[Mês],2,tbLancamentos[Ano],AnoSelecionado))</f>
        <v/>
      </c>
      <c r="E31" s="100">
        <f>IF($B31="",0,SUMIFS(tbLancamentos[Valor],tbLancamentos[Categoria],$B31,tbLancamentos[Tipo],"&lt;&gt;Receita",tbLancamentos[Conta no mês?],"sim",tbLancamentos[Mês],3,tbLancamentos[Ano],AnoSelecionado))</f>
        <v/>
      </c>
      <c r="F31" s="100">
        <f>IF($B31="",0,SUMIFS(tbLancamentos[Valor],tbLancamentos[Categoria],$B31,tbLancamentos[Tipo],"&lt;&gt;Receita",tbLancamentos[Conta no mês?],"sim",tbLancamentos[Mês],4,tbLancamentos[Ano],AnoSelecionado))</f>
        <v/>
      </c>
      <c r="G31" s="100">
        <f>IF($B31="",0,SUMIFS(tbLancamentos[Valor],tbLancamentos[Categoria],$B31,tbLancamentos[Tipo],"&lt;&gt;Receita",tbLancamentos[Conta no mês?],"sim",tbLancamentos[Mês],5,tbLancamentos[Ano],AnoSelecionado))</f>
        <v/>
      </c>
      <c r="H31" s="100">
        <f>IF($B31="",0,SUMIFS(tbLancamentos[Valor],tbLancamentos[Categoria],$B31,tbLancamentos[Tipo],"&lt;&gt;Receita",tbLancamentos[Conta no mês?],"sim",tbLancamentos[Mês],6,tbLancamentos[Ano],AnoSelecionado))</f>
        <v/>
      </c>
      <c r="I31" s="100">
        <f>IF($B31="",0,SUMIFS(tbLancamentos[Valor],tbLancamentos[Categoria],$B31,tbLancamentos[Tipo],"&lt;&gt;Receita",tbLancamentos[Conta no mês?],"sim",tbLancamentos[Mês],7,tbLancamentos[Ano],AnoSelecionado))</f>
        <v/>
      </c>
      <c r="J31" s="100">
        <f>IF($B31="",0,SUMIFS(tbLancamentos[Valor],tbLancamentos[Categoria],$B31,tbLancamentos[Tipo],"&lt;&gt;Receita",tbLancamentos[Conta no mês?],"sim",tbLancamentos[Mês],8,tbLancamentos[Ano],AnoSelecionado))</f>
        <v/>
      </c>
      <c r="K31" s="100">
        <f>IF($B31="",0,SUMIFS(tbLancamentos[Valor],tbLancamentos[Categoria],$B31,tbLancamentos[Tipo],"&lt;&gt;Receita",tbLancamentos[Conta no mês?],"sim",tbLancamentos[Mês],9,tbLancamentos[Ano],AnoSelecionado))</f>
        <v/>
      </c>
      <c r="L31" s="100">
        <f>IF($B31="",0,SUMIFS(tbLancamentos[Valor],tbLancamentos[Categoria],$B31,tbLancamentos[Tipo],"&lt;&gt;Receita",tbLancamentos[Conta no mês?],"sim",tbLancamentos[Mês],10,tbLancamentos[Ano],AnoSelecionado))</f>
        <v/>
      </c>
      <c r="M31" s="100">
        <f>IF($B31="",0,SUMIFS(tbLancamentos[Valor],tbLancamentos[Categoria],$B31,tbLancamentos[Tipo],"&lt;&gt;Receita",tbLancamentos[Conta no mês?],"sim",tbLancamentos[Mês],11,tbLancamentos[Ano],AnoSelecionado))</f>
        <v/>
      </c>
      <c r="N31" s="100">
        <f>IF($B31="",0,SUMIFS(tbLancamentos[Valor],tbLancamentos[Categoria],$B31,tbLancamentos[Tipo],"&lt;&gt;Receita",tbLancamentos[Conta no mês?],"sim",tbLancamentos[Mês],12,tbLancamentos[Ano],AnoSelecionado))</f>
        <v/>
      </c>
      <c r="O31" s="100">
        <f>SUM(C31:N31)</f>
        <v/>
      </c>
      <c r="P31" s="100">
        <f>IF(Calc!$B$26&gt;0,O31/Calc!$B$26,0)</f>
        <v/>
      </c>
      <c r="Q31" s="101" t="n"/>
      <c r="R31" s="8" t="n"/>
      <c r="S31" s="8" t="n"/>
      <c r="T31" s="8" t="n"/>
    </row>
    <row r="32">
      <c r="A32" s="8" t="n"/>
      <c r="B32" s="107" t="inlineStr">
        <is>
          <t>Total de gastos</t>
        </is>
      </c>
      <c r="C32" s="108">
        <f>SUM(C17:C31)</f>
        <v/>
      </c>
      <c r="D32" s="108">
        <f>SUM(D17:D31)</f>
        <v/>
      </c>
      <c r="E32" s="108">
        <f>SUM(E17:E31)</f>
        <v/>
      </c>
      <c r="F32" s="108">
        <f>SUM(F17:F31)</f>
        <v/>
      </c>
      <c r="G32" s="108">
        <f>SUM(G17:G31)</f>
        <v/>
      </c>
      <c r="H32" s="108">
        <f>SUM(H17:H31)</f>
        <v/>
      </c>
      <c r="I32" s="108">
        <f>SUM(I17:I31)</f>
        <v/>
      </c>
      <c r="J32" s="108">
        <f>SUM(J17:J31)</f>
        <v/>
      </c>
      <c r="K32" s="108">
        <f>SUM(K17:K31)</f>
        <v/>
      </c>
      <c r="L32" s="108">
        <f>SUM(L17:L31)</f>
        <v/>
      </c>
      <c r="M32" s="108">
        <f>SUM(M17:M31)</f>
        <v/>
      </c>
      <c r="N32" s="108">
        <f>SUM(N17:N31)</f>
        <v/>
      </c>
      <c r="O32" s="108">
        <f>SUM(O17:O31)</f>
        <v/>
      </c>
      <c r="P32" s="108">
        <f>IF(Calc!$B$26&gt;0,O32/Calc!$B$26,0)</f>
        <v/>
      </c>
      <c r="Q32" s="109" t="n"/>
      <c r="R32" s="8" t="n"/>
      <c r="S32" s="8" t="n"/>
      <c r="T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</row>
    <row r="34" ht="22" customHeight="1">
      <c r="A34" s="8" t="n"/>
      <c r="B34" s="110" t="inlineStr">
        <is>
          <t>Saldo do mês</t>
        </is>
      </c>
      <c r="C34" s="111">
        <f>C14-C32</f>
        <v/>
      </c>
      <c r="D34" s="111">
        <f>D14-D32</f>
        <v/>
      </c>
      <c r="E34" s="111">
        <f>E14-E32</f>
        <v/>
      </c>
      <c r="F34" s="111">
        <f>F14-F32</f>
        <v/>
      </c>
      <c r="G34" s="111">
        <f>G14-G32</f>
        <v/>
      </c>
      <c r="H34" s="111">
        <f>H14-H32</f>
        <v/>
      </c>
      <c r="I34" s="111">
        <f>I14-I32</f>
        <v/>
      </c>
      <c r="J34" s="111">
        <f>J14-J32</f>
        <v/>
      </c>
      <c r="K34" s="111">
        <f>K14-K32</f>
        <v/>
      </c>
      <c r="L34" s="111">
        <f>L14-L32</f>
        <v/>
      </c>
      <c r="M34" s="111">
        <f>M14-M32</f>
        <v/>
      </c>
      <c r="N34" s="111">
        <f>N14-N32</f>
        <v/>
      </c>
      <c r="O34" s="111">
        <f>O14-O32</f>
        <v/>
      </c>
      <c r="P34" s="111">
        <f>P14-P32</f>
        <v/>
      </c>
      <c r="Q34" s="112" t="n"/>
      <c r="R34" s="8" t="n"/>
      <c r="S34" s="8" t="n"/>
      <c r="T34" s="8" t="n"/>
    </row>
    <row r="35">
      <c r="A35" s="8" t="n"/>
      <c r="B35" s="113" t="inlineStr">
        <is>
          <t>Taxa de poupança</t>
        </is>
      </c>
      <c r="C35" s="114">
        <f>IF(C14&gt;0,C34/C14,0)</f>
        <v/>
      </c>
      <c r="D35" s="114">
        <f>IF(D14&gt;0,D34/D14,0)</f>
        <v/>
      </c>
      <c r="E35" s="114">
        <f>IF(E14&gt;0,E34/E14,0)</f>
        <v/>
      </c>
      <c r="F35" s="114">
        <f>IF(F14&gt;0,F34/F14,0)</f>
        <v/>
      </c>
      <c r="G35" s="114">
        <f>IF(G14&gt;0,G34/G14,0)</f>
        <v/>
      </c>
      <c r="H35" s="114">
        <f>IF(H14&gt;0,H34/H14,0)</f>
        <v/>
      </c>
      <c r="I35" s="114">
        <f>IF(I14&gt;0,I34/I14,0)</f>
        <v/>
      </c>
      <c r="J35" s="114">
        <f>IF(J14&gt;0,J34/J14,0)</f>
        <v/>
      </c>
      <c r="K35" s="114">
        <f>IF(K14&gt;0,K34/K14,0)</f>
        <v/>
      </c>
      <c r="L35" s="114">
        <f>IF(L14&gt;0,L34/L14,0)</f>
        <v/>
      </c>
      <c r="M35" s="114">
        <f>IF(M14&gt;0,M34/M14,0)</f>
        <v/>
      </c>
      <c r="N35" s="114">
        <f>IF(N14&gt;0,N34/N14,0)</f>
        <v/>
      </c>
      <c r="O35" s="114">
        <f>IF(O14&gt;0,O34/O14,0)</f>
        <v/>
      </c>
      <c r="P35" s="114" t="n"/>
      <c r="Q35" s="115" t="n"/>
      <c r="R35" s="8" t="n"/>
      <c r="S35" s="8" t="n"/>
      <c r="T35" s="8" t="n"/>
    </row>
  </sheetData>
  <mergeCells count="1">
    <mergeCell ref="O2:Q2"/>
  </mergeCells>
  <conditionalFormatting sqref="C17:N31">
    <cfRule type="colorScale" priority="1">
      <colorScale>
        <cfvo type="num" val="0"/>
        <cfvo type="max"/>
        <color rgb="FF1E2228"/>
        <color rgb="FF6B2F36"/>
      </colorScale>
    </cfRule>
  </conditionalFormatting>
  <conditionalFormatting sqref="C34:O34">
    <cfRule type="expression" priority="2" dxfId="0">
      <formula>C34&lt;0</formula>
    </cfRule>
  </conditionalFormatting>
  <pageMargins left="0.3" right="0.3" top="1" bottom="1" header="0.5" footer="0.5"/>
  <pageSetup orientation="landscape" paperSize="9" fitToHeight="0" fitToWidth="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 lineWeight="1.25">
          <x14:colorSeries rgb="FF4F8CFF"/>
          <x14:colorNegative rgb="FFFF5C5C"/>
          <x14:colorAxis rgb="FF9AA0A6"/>
          <x14:colorMarkers rgb="FF4F8CFF"/>
          <x14:colorFirst rgb="FF4F8CFF"/>
          <x14:colorLast rgb="FF4F8CFF"/>
          <x14:colorHigh rgb="FFF5B942"/>
          <x14:colorLow rgb="FF4F8CFF"/>
          <x14:sparklines>
            <x14:sparkline>
              <xm:f>Anual!C7:N7</xm:f>
              <xm:sqref>Q7</xm:sqref>
            </x14:sparkline>
            <x14:sparkline>
              <xm:f>Anual!C8:N8</xm:f>
              <xm:sqref>Q8</xm:sqref>
            </x14:sparkline>
            <x14:sparkline>
              <xm:f>Anual!C9:N9</xm:f>
              <xm:sqref>Q9</xm:sqref>
            </x14:sparkline>
            <x14:sparkline>
              <xm:f>Anual!C10:N10</xm:f>
              <xm:sqref>Q10</xm:sqref>
            </x14:sparkline>
            <x14:sparkline>
              <xm:f>Anual!C11:N11</xm:f>
              <xm:sqref>Q11</xm:sqref>
            </x14:sparkline>
            <x14:sparkline>
              <xm:f>Anual!C12:N12</xm:f>
              <xm:sqref>Q12</xm:sqref>
            </x14:sparkline>
            <x14:sparkline>
              <xm:f>Anual!C13:N13</xm:f>
              <xm:sqref>Q13</xm:sqref>
            </x14:sparkline>
            <x14:sparkline>
              <xm:f>Anual!C14:N14</xm:f>
              <xm:sqref>Q14</xm:sqref>
            </x14:sparkline>
            <x14:sparkline>
              <xm:f>Anual!C17:N17</xm:f>
              <xm:sqref>Q17</xm:sqref>
            </x14:sparkline>
            <x14:sparkline>
              <xm:f>Anual!C18:N18</xm:f>
              <xm:sqref>Q18</xm:sqref>
            </x14:sparkline>
            <x14:sparkline>
              <xm:f>Anual!C19:N19</xm:f>
              <xm:sqref>Q19</xm:sqref>
            </x14:sparkline>
            <x14:sparkline>
              <xm:f>Anual!C20:N20</xm:f>
              <xm:sqref>Q20</xm:sqref>
            </x14:sparkline>
            <x14:sparkline>
              <xm:f>Anual!C21:N21</xm:f>
              <xm:sqref>Q21</xm:sqref>
            </x14:sparkline>
            <x14:sparkline>
              <xm:f>Anual!C22:N22</xm:f>
              <xm:sqref>Q22</xm:sqref>
            </x14:sparkline>
            <x14:sparkline>
              <xm:f>Anual!C23:N23</xm:f>
              <xm:sqref>Q23</xm:sqref>
            </x14:sparkline>
            <x14:sparkline>
              <xm:f>Anual!C24:N24</xm:f>
              <xm:sqref>Q24</xm:sqref>
            </x14:sparkline>
            <x14:sparkline>
              <xm:f>Anual!C25:N25</xm:f>
              <xm:sqref>Q25</xm:sqref>
            </x14:sparkline>
            <x14:sparkline>
              <xm:f>Anual!C26:N26</xm:f>
              <xm:sqref>Q26</xm:sqref>
            </x14:sparkline>
            <x14:sparkline>
              <xm:f>Anual!C27:N27</xm:f>
              <xm:sqref>Q27</xm:sqref>
            </x14:sparkline>
            <x14:sparkline>
              <xm:f>Anual!C28:N28</xm:f>
              <xm:sqref>Q28</xm:sqref>
            </x14:sparkline>
            <x14:sparkline>
              <xm:f>Anual!C29:N29</xm:f>
              <xm:sqref>Q29</xm:sqref>
            </x14:sparkline>
            <x14:sparkline>
              <xm:f>Anual!C30:N30</xm:f>
              <xm:sqref>Q30</xm:sqref>
            </x14:sparkline>
            <x14:sparkline>
              <xm:f>Anual!C31:N31</xm:f>
              <xm:sqref>Q31</xm:sqref>
            </x14:sparkline>
            <x14:sparkline>
              <xm:f>Anual!C32:N32</xm:f>
              <xm:sqref>Q32</xm:sqref>
            </x14:sparkline>
            <x14:sparkline>
              <xm:f>Anual!C34:N34</xm:f>
              <xm:sqref>Q34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>
  <sheetPr>
    <tabColor rgb="009B7BFF"/>
    <outlinePr summaryBelow="1" summaryRight="1"/>
    <pageSetUpPr fitToPage="1"/>
  </sheetPr>
  <dimension ref="A1:H11"/>
  <sheetViews>
    <sheetView showGridLines="0" tabSelected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style="1" min="1" max="1"/>
    <col width="12" customWidth="1" style="1" min="2" max="2"/>
    <col width="17" customWidth="1" style="1" min="3" max="3"/>
    <col width="17" customWidth="1" style="1" min="4" max="4"/>
    <col width="17" customWidth="1" style="1" min="5" max="5"/>
    <col width="17" customWidth="1" style="1" min="6" max="6"/>
    <col width="13" customWidth="1" style="1" min="7" max="7"/>
    <col width="13" customWidth="1" style="1" min="8" max="8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30" customHeight="1">
      <c r="A2" s="1" t="n"/>
      <c r="B2" s="52" t="inlineStr">
        <is>
          <t>Histórico mês a mês</t>
        </is>
      </c>
      <c r="C2" s="1" t="n"/>
      <c r="D2" s="1" t="n"/>
      <c r="E2" s="1" t="n"/>
      <c r="F2" s="1" t="n"/>
      <c r="G2" s="1" t="n"/>
      <c r="H2" s="1" t="n"/>
    </row>
    <row r="3" ht="18" customHeight="1">
      <c r="A3" s="1" t="n"/>
      <c r="B3" s="4" t="inlineStr">
        <is>
          <t>Todos os meses desde o primeiro lançamento. Mesma regra do Dashboard: só entra o que tem 'Conta no mês?' = sim.</t>
        </is>
      </c>
      <c r="C3" s="1" t="n"/>
      <c r="D3" s="1" t="n"/>
      <c r="E3" s="1" t="n"/>
      <c r="F3" s="1" t="n"/>
      <c r="G3" s="1" t="n"/>
      <c r="H3" s="1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</row>
    <row r="5" ht="24" customHeight="1">
      <c r="A5" s="8" t="n"/>
      <c r="B5" s="55" t="inlineStr">
        <is>
          <t>Mês</t>
        </is>
      </c>
      <c r="C5" s="116" t="inlineStr">
        <is>
          <t>Receitas</t>
        </is>
      </c>
      <c r="D5" s="116" t="inlineStr">
        <is>
          <t>Despesa</t>
        </is>
      </c>
      <c r="E5" s="116" t="inlineStr">
        <is>
          <t>Resultado</t>
        </is>
      </c>
      <c r="F5" s="116" t="inlineStr">
        <is>
          <t>Taxa de poupança</t>
        </is>
      </c>
      <c r="G5" s="8" t="n"/>
      <c r="H5" s="8" t="n"/>
    </row>
    <row r="6" ht="20" customHeight="1">
      <c r="A6" s="8" t="n"/>
      <c r="B6" s="117" t="n">
        <v>46113</v>
      </c>
      <c r="C6" s="100">
        <f>SUMIFS(tbLancamentos[Valor],tbLancamentos[Tipo],"Receita",tbLancamentos[Conta no mês?],"sim",tbLancamentos[Mês],MONTH($B6),tbLancamentos[Ano],YEAR($B6))</f>
        <v/>
      </c>
      <c r="D6" s="100">
        <f>SUMIFS(tbLancamentos[Valor],tbLancamentos[Tipo],"Despesa",tbLancamentos[Conta no mês?],"sim",tbLancamentos[Mês],MONTH($B6),tbLancamentos[Ano],YEAR($B6))</f>
        <v/>
      </c>
      <c r="E6" s="118">
        <f>C6-D6</f>
        <v/>
      </c>
      <c r="F6" s="87">
        <f>IF(C6&gt;0,E6/C6,0)</f>
        <v/>
      </c>
      <c r="G6" s="8" t="n"/>
      <c r="H6" s="8" t="n"/>
    </row>
    <row r="7" ht="20" customHeight="1">
      <c r="A7" s="8" t="n"/>
      <c r="B7" s="117" t="n">
        <v>46143</v>
      </c>
      <c r="C7" s="100">
        <f>SUMIFS(tbLancamentos[Valor],tbLancamentos[Tipo],"Receita",tbLancamentos[Conta no mês?],"sim",tbLancamentos[Mês],MONTH($B7),tbLancamentos[Ano],YEAR($B7))</f>
        <v/>
      </c>
      <c r="D7" s="100">
        <f>SUMIFS(tbLancamentos[Valor],tbLancamentos[Tipo],"Despesa",tbLancamentos[Conta no mês?],"sim",tbLancamentos[Mês],MONTH($B7),tbLancamentos[Ano],YEAR($B7))</f>
        <v/>
      </c>
      <c r="E7" s="118">
        <f>C7-D7</f>
        <v/>
      </c>
      <c r="F7" s="87">
        <f>IF(C7&gt;0,E7/C7,0)</f>
        <v/>
      </c>
      <c r="G7" s="8" t="n"/>
      <c r="H7" s="8" t="n"/>
    </row>
    <row r="8" ht="20" customHeight="1">
      <c r="A8" s="8" t="n"/>
      <c r="B8" s="117" t="n">
        <v>46174</v>
      </c>
      <c r="C8" s="100">
        <f>SUMIFS(tbLancamentos[Valor],tbLancamentos[Tipo],"Receita",tbLancamentos[Conta no mês?],"sim",tbLancamentos[Mês],MONTH($B8),tbLancamentos[Ano],YEAR($B8))</f>
        <v/>
      </c>
      <c r="D8" s="100">
        <f>SUMIFS(tbLancamentos[Valor],tbLancamentos[Tipo],"Despesa",tbLancamentos[Conta no mês?],"sim",tbLancamentos[Mês],MONTH($B8),tbLancamentos[Ano],YEAR($B8))</f>
        <v/>
      </c>
      <c r="E8" s="118">
        <f>C8-D8</f>
        <v/>
      </c>
      <c r="F8" s="87">
        <f>IF(C8&gt;0,E8/C8,0)</f>
        <v/>
      </c>
      <c r="G8" s="8" t="n"/>
      <c r="H8" s="8" t="n"/>
    </row>
    <row r="9" ht="20" customHeight="1">
      <c r="A9" s="8" t="n"/>
      <c r="B9" s="117" t="n">
        <v>46204</v>
      </c>
      <c r="C9" s="100">
        <f>SUMIFS(tbLancamentos[Valor],tbLancamentos[Tipo],"Receita",tbLancamentos[Conta no mês?],"sim",tbLancamentos[Mês],MONTH($B9),tbLancamentos[Ano],YEAR($B9))</f>
        <v/>
      </c>
      <c r="D9" s="100">
        <f>SUMIFS(tbLancamentos[Valor],tbLancamentos[Tipo],"Despesa",tbLancamentos[Conta no mês?],"sim",tbLancamentos[Mês],MONTH($B9),tbLancamentos[Ano],YEAR($B9))</f>
        <v/>
      </c>
      <c r="E9" s="118">
        <f>C9-D9</f>
        <v/>
      </c>
      <c r="F9" s="87">
        <f>IF(C9&gt;0,E9/C9,0)</f>
        <v/>
      </c>
      <c r="G9" s="8" t="n"/>
      <c r="H9" s="8" t="n"/>
    </row>
    <row r="10" ht="20" customHeight="1">
      <c r="A10" s="8" t="n"/>
      <c r="B10" s="117" t="n">
        <v>46235</v>
      </c>
      <c r="C10" s="100">
        <f>SUMIFS(tbLancamentos[Valor],tbLancamentos[Tipo],"Receita",tbLancamentos[Conta no mês?],"sim",tbLancamentos[Mês],MONTH($B10),tbLancamentos[Ano],YEAR($B10))</f>
        <v/>
      </c>
      <c r="D10" s="100">
        <f>SUMIFS(tbLancamentos[Valor],tbLancamentos[Tipo],"Despesa",tbLancamentos[Conta no mês?],"sim",tbLancamentos[Mês],MONTH($B10),tbLancamentos[Ano],YEAR($B10))</f>
        <v/>
      </c>
      <c r="E10" s="118">
        <f>C10-D10</f>
        <v/>
      </c>
      <c r="F10" s="87">
        <f>IF(C10&gt;0,E10/C10,0)</f>
        <v/>
      </c>
      <c r="G10" s="8" t="n"/>
      <c r="H10" s="8" t="n"/>
    </row>
    <row r="11" ht="20" customHeight="1">
      <c r="A11" s="8" t="n"/>
      <c r="B11" s="117" t="n">
        <v>46266</v>
      </c>
      <c r="C11" s="100">
        <f>SUMIFS(tbLancamentos[Valor],tbLancamentos[Tipo],"Receita",tbLancamentos[Conta no mês?],"sim",tbLancamentos[Mês],MONTH($B11),tbLancamentos[Ano],YEAR($B11))</f>
        <v/>
      </c>
      <c r="D11" s="100">
        <f>SUMIFS(tbLancamentos[Valor],tbLancamentos[Tipo],"Despesa",tbLancamentos[Conta no mês?],"sim",tbLancamentos[Mês],MONTH($B11),tbLancamentos[Ano],YEAR($B11))</f>
        <v/>
      </c>
      <c r="E11" s="118">
        <f>C11-D11</f>
        <v/>
      </c>
      <c r="F11" s="87">
        <f>IF(C11&gt;0,E11/C11,0)</f>
        <v/>
      </c>
      <c r="G11" s="8" t="n"/>
      <c r="H11" s="8" t="n"/>
    </row>
  </sheetData>
  <conditionalFormatting sqref="E6:E11">
    <cfRule type="expression" priority="1" dxfId="0">
      <formula>E6&lt;0</formula>
    </cfRule>
    <cfRule type="expression" priority="2" dxfId="1">
      <formula>E6&gt;0</formula>
    </cfRule>
  </conditionalFormatting>
  <pageMargins left="0.3" right="0.3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tabColor rgb="002EC4B6"/>
    <outlinePr summaryBelow="1" summaryRight="1"/>
    <pageSetUpPr fitToPage="1"/>
  </sheetPr>
  <dimension ref="A1:R12"/>
  <sheetViews>
    <sheetView showGridLines="0" tabSelected="0" workbookViewId="0">
      <selection activeCell="A1" sqref="A1"/>
    </sheetView>
  </sheetViews>
  <sheetFormatPr baseColWidth="8" defaultRowHeight="15"/>
  <cols>
    <col width="2" customWidth="1" style="1" min="1" max="1"/>
    <col width="28" customWidth="1" style="1" min="2" max="2"/>
    <col width="14" customWidth="1" style="1" min="3" max="3"/>
    <col width="14" customWidth="1" style="1" min="4" max="4"/>
    <col width="14" customWidth="1" style="1" min="5" max="5"/>
    <col width="12" customWidth="1" style="1" min="6" max="6"/>
    <col width="16" customWidth="1" style="1" min="7" max="7"/>
    <col width="4" customWidth="1" style="1" min="8" max="8"/>
    <col width="28" customWidth="1" style="1" min="9" max="9"/>
    <col width="14" customWidth="1" style="1" min="10" max="10"/>
    <col width="11" customWidth="1" style="1" min="11" max="11"/>
    <col width="11" customWidth="1" style="1" min="12" max="12"/>
    <col width="15" customWidth="1" style="1" min="13" max="13"/>
    <col width="14" customWidth="1" style="1" min="14" max="14"/>
    <col width="2" customWidth="1" style="1" min="15" max="15"/>
    <col width="13" customWidth="1" style="1" min="16" max="16"/>
    <col width="13" customWidth="1" style="1" min="17" max="17"/>
    <col width="13" customWidth="1" style="1" min="18" max="18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30" customHeight="1">
      <c r="A2" s="1" t="n"/>
      <c r="B2" s="52" t="inlineStr">
        <is>
          <t>Metas &amp; Dívidas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8" customHeight="1">
      <c r="A3" s="1" t="n"/>
      <c r="B3" s="4" t="inlineStr">
        <is>
          <t>Acompanhe objetivos de poupança e parcelamentos. Atualize o "Valor atual" e as "Parcelas pagas" quando fizer aportes/pagamentos.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>
      <c r="A4" s="8" t="n"/>
      <c r="B4" s="50" t="inlineStr">
        <is>
          <t>METAS</t>
        </is>
      </c>
      <c r="C4" s="8" t="n"/>
      <c r="D4" s="8" t="n"/>
      <c r="E4" s="8" t="n"/>
      <c r="F4" s="8" t="n"/>
      <c r="G4" s="8" t="n"/>
      <c r="H4" s="8" t="n"/>
      <c r="I4" s="50" t="inlineStr">
        <is>
          <t>DÍVIDAS E PARCELAMENTOS</t>
        </is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</row>
    <row r="5" ht="24" customHeight="1">
      <c r="A5" s="8" t="n"/>
      <c r="B5" s="55" t="inlineStr">
        <is>
          <t>Nome</t>
        </is>
      </c>
      <c r="C5" s="55" t="inlineStr">
        <is>
          <t>Valor alvo</t>
        </is>
      </c>
      <c r="D5" s="55" t="inlineStr">
        <is>
          <t>Valor atual</t>
        </is>
      </c>
      <c r="E5" s="55" t="inlineStr">
        <is>
          <t>% atingido</t>
        </is>
      </c>
      <c r="F5" s="55" t="inlineStr">
        <is>
          <t>Prazo</t>
        </is>
      </c>
      <c r="G5" s="55" t="inlineStr">
        <is>
          <t>Aporte mensal necessário</t>
        </is>
      </c>
      <c r="H5" s="8" t="n"/>
      <c r="I5" s="55" t="inlineStr">
        <is>
          <t>Descrição</t>
        </is>
      </c>
      <c r="J5" s="55" t="inlineStr">
        <is>
          <t>Valor da parcela</t>
        </is>
      </c>
      <c r="K5" s="55" t="inlineStr">
        <is>
          <t>Parcelas pagas</t>
        </is>
      </c>
      <c r="L5" s="55" t="inlineStr">
        <is>
          <t>Total de parcelas</t>
        </is>
      </c>
      <c r="M5" s="55" t="inlineStr">
        <is>
          <t>Saldo devedor</t>
        </is>
      </c>
      <c r="N5" s="55" t="inlineStr">
        <is>
          <t>Data de término</t>
        </is>
      </c>
      <c r="O5" s="8" t="n"/>
      <c r="P5" s="8" t="n"/>
      <c r="Q5" s="8" t="n"/>
      <c r="R5" s="8" t="n"/>
    </row>
    <row r="6" ht="20" customHeight="1">
      <c r="A6" s="8" t="n"/>
      <c r="B6" s="33" t="inlineStr">
        <is>
          <t>Reserva de emergência</t>
        </is>
      </c>
      <c r="C6" s="48" t="n">
        <v>36000</v>
      </c>
      <c r="D6" s="48" t="n">
        <v>14200</v>
      </c>
      <c r="E6" s="87">
        <f>IF(N(tbMetas[[#This Row],[Valor alvo]])&gt;0,MIN(1,N(tbMetas[[#This Row],[Valor atual]])/tbMetas[[#This Row],[Valor alvo]]),0)</f>
        <v/>
      </c>
      <c r="F6" s="119" t="n">
        <v>46752</v>
      </c>
      <c r="G6" s="48">
        <f>IFERROR(IF(N(tbMetas[[#This Row],[Valor atual]])&gt;=N(tbMetas[[#This Row],[Valor alvo]]),0,(tbMetas[[#This Row],[Valor alvo]]-N(tbMetas[[#This Row],[Valor atual]]))/MAX(1,(YEAR(tbMetas[[#This Row],[Prazo]])-YEAR(TODAY()))*12+MONTH(tbMetas[[#This Row],[Prazo]])-MONTH(TODAY()))),0)</f>
        <v/>
      </c>
      <c r="H6" s="8" t="n"/>
      <c r="I6" s="33" t="inlineStr">
        <is>
          <t>Financiamento do carro</t>
        </is>
      </c>
      <c r="J6" s="48" t="n">
        <v>1180</v>
      </c>
      <c r="K6" s="73" t="n">
        <v>22</v>
      </c>
      <c r="L6" s="73" t="n">
        <v>48</v>
      </c>
      <c r="M6" s="48">
        <f>N(tbDividas[[#This Row],[Valor da parcela]])*MAX(0,N(tbDividas[[#This Row],[Total de parcelas]])-N(tbDividas[[#This Row],[Parcelas pagas]]))</f>
        <v/>
      </c>
      <c r="N6" s="119" t="n">
        <v>47067</v>
      </c>
      <c r="O6" s="8" t="n"/>
      <c r="P6" s="8" t="n"/>
      <c r="Q6" s="8" t="n"/>
      <c r="R6" s="8" t="n"/>
    </row>
    <row r="7" ht="20" customHeight="1">
      <c r="A7" s="8" t="n"/>
      <c r="B7" s="33" t="inlineStr">
        <is>
          <t>Viagem de férias (família)</t>
        </is>
      </c>
      <c r="C7" s="48" t="n">
        <v>12000</v>
      </c>
      <c r="D7" s="48" t="n">
        <v>4300</v>
      </c>
      <c r="E7" s="87">
        <f>IF(N(tbMetas[[#This Row],[Valor alvo]])&gt;0,MIN(1,N(tbMetas[[#This Row],[Valor atual]])/tbMetas[[#This Row],[Valor alvo]]),0)</f>
        <v/>
      </c>
      <c r="F7" s="119" t="n">
        <v>46418</v>
      </c>
      <c r="G7" s="48">
        <f>IFERROR(IF(N(tbMetas[[#This Row],[Valor atual]])&gt;=N(tbMetas[[#This Row],[Valor alvo]]),0,(tbMetas[[#This Row],[Valor alvo]]-N(tbMetas[[#This Row],[Valor atual]]))/MAX(1,(YEAR(tbMetas[[#This Row],[Prazo]])-YEAR(TODAY()))*12+MONTH(tbMetas[[#This Row],[Prazo]])-MONTH(TODAY()))),0)</f>
        <v/>
      </c>
      <c r="H7" s="8" t="n"/>
      <c r="I7" s="33" t="inlineStr">
        <is>
          <t>Geladeira (cartão Itaú)</t>
        </is>
      </c>
      <c r="J7" s="48" t="n">
        <v>349.9</v>
      </c>
      <c r="K7" s="73" t="n">
        <v>7</v>
      </c>
      <c r="L7" s="73" t="n">
        <v>10</v>
      </c>
      <c r="M7" s="48">
        <f>N(tbDividas[[#This Row],[Valor da parcela]])*MAX(0,N(tbDividas[[#This Row],[Total de parcelas]])-N(tbDividas[[#This Row],[Parcelas pagas]]))</f>
        <v/>
      </c>
      <c r="N7" s="119" t="n">
        <v>46361</v>
      </c>
      <c r="O7" s="8" t="n"/>
      <c r="P7" s="8" t="n"/>
      <c r="Q7" s="8" t="n"/>
      <c r="R7" s="8" t="n"/>
    </row>
    <row r="8" ht="20" customHeight="1">
      <c r="A8" s="8" t="n"/>
      <c r="B8" s="33" t="inlineStr">
        <is>
          <t>Troca do carro</t>
        </is>
      </c>
      <c r="C8" s="48" t="n">
        <v>45000</v>
      </c>
      <c r="D8" s="48" t="n">
        <v>9800</v>
      </c>
      <c r="E8" s="87">
        <f>IF(N(tbMetas[[#This Row],[Valor alvo]])&gt;0,MIN(1,N(tbMetas[[#This Row],[Valor atual]])/tbMetas[[#This Row],[Valor alvo]]),0)</f>
        <v/>
      </c>
      <c r="F8" s="119" t="n">
        <v>47118</v>
      </c>
      <c r="G8" s="48">
        <f>IFERROR(IF(N(tbMetas[[#This Row],[Valor atual]])&gt;=N(tbMetas[[#This Row],[Valor alvo]]),0,(tbMetas[[#This Row],[Valor alvo]]-N(tbMetas[[#This Row],[Valor atual]]))/MAX(1,(YEAR(tbMetas[[#This Row],[Prazo]])-YEAR(TODAY()))*12+MONTH(tbMetas[[#This Row],[Prazo]])-MONTH(TODAY()))),0)</f>
        <v/>
      </c>
      <c r="H8" s="8" t="n"/>
      <c r="I8" s="33" t="inlineStr">
        <is>
          <t>Curso de inglês</t>
        </is>
      </c>
      <c r="J8" s="48" t="n">
        <v>420</v>
      </c>
      <c r="K8" s="73" t="n">
        <v>3</v>
      </c>
      <c r="L8" s="73" t="n">
        <v>12</v>
      </c>
      <c r="M8" s="48">
        <f>N(tbDividas[[#This Row],[Valor da parcela]])*MAX(0,N(tbDividas[[#This Row],[Total de parcelas]])-N(tbDividas[[#This Row],[Parcelas pagas]]))</f>
        <v/>
      </c>
      <c r="N8" s="119" t="n">
        <v>46548</v>
      </c>
      <c r="O8" s="8" t="n"/>
      <c r="P8" s="8" t="n"/>
      <c r="Q8" s="8" t="n"/>
      <c r="R8" s="8" t="n"/>
    </row>
    <row r="9" ht="20" customHeight="1">
      <c r="A9" s="8" t="n"/>
      <c r="B9" s="33" t="inlineStr">
        <is>
          <t>Notebook novo</t>
        </is>
      </c>
      <c r="C9" s="48" t="n">
        <v>6500</v>
      </c>
      <c r="D9" s="48" t="n">
        <v>5200</v>
      </c>
      <c r="E9" s="87">
        <f>IF(N(tbMetas[[#This Row],[Valor alvo]])&gt;0,MIN(1,N(tbMetas[[#This Row],[Valor atual]])/tbMetas[[#This Row],[Valor alvo]]),0)</f>
        <v/>
      </c>
      <c r="F9" s="119" t="n">
        <v>46371</v>
      </c>
      <c r="G9" s="48">
        <f>IFERROR(IF(N(tbMetas[[#This Row],[Valor atual]])&gt;=N(tbMetas[[#This Row],[Valor alvo]]),0,(tbMetas[[#This Row],[Valor alvo]]-N(tbMetas[[#This Row],[Valor atual]]))/MAX(1,(YEAR(tbMetas[[#This Row],[Prazo]])-YEAR(TODAY()))*12+MONTH(tbMetas[[#This Row],[Prazo]])-MONTH(TODAY()))),0)</f>
        <v/>
      </c>
      <c r="H9" s="8" t="n"/>
      <c r="I9" s="92" t="inlineStr">
        <is>
          <t>Total</t>
        </is>
      </c>
      <c r="J9" s="93">
        <f>SUBTOTAL(109,tbDividas[Valor da parcela])</f>
        <v/>
      </c>
      <c r="K9" s="120" t="n"/>
      <c r="L9" s="120" t="n"/>
      <c r="M9" s="93">
        <f>SUBTOTAL(109,tbDividas[Saldo devedor])</f>
        <v/>
      </c>
      <c r="N9" s="121" t="n"/>
      <c r="O9" s="8" t="n"/>
      <c r="P9" s="8" t="n"/>
      <c r="Q9" s="8" t="n"/>
      <c r="R9" s="8" t="n"/>
    </row>
    <row r="10" ht="20" customHeight="1">
      <c r="A10" s="8" t="n"/>
      <c r="B10" s="92" t="inlineStr">
        <is>
          <t>Total</t>
        </is>
      </c>
      <c r="C10" s="93">
        <f>SUBTOTAL(109,tbMetas[Valor alvo])</f>
        <v/>
      </c>
      <c r="D10" s="93">
        <f>SUBTOTAL(109,tbMetas[Valor atual])</f>
        <v/>
      </c>
      <c r="E10" s="94">
        <f>IF(SUM(tbMetas[Valor alvo])&gt;0,SUM(tbMetas[Valor atual])/SUM(tbMetas[Valor alvo]),0)</f>
        <v/>
      </c>
      <c r="F10" s="121" t="n"/>
      <c r="G10" s="93">
        <f>SUBTOTAL(109,tbMetas[Aporte mensal necessário])</f>
        <v/>
      </c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122" t="inlineStr">
        <is>
          <t>As parcelas continuam sendo lançadas na aba Lançamentos quando forem pagas.</t>
        </is>
      </c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</row>
    <row r="12">
      <c r="A12" s="8" t="n"/>
      <c r="B12" s="122" t="inlineStr">
        <is>
          <t>Aporte mensal necessário = (valor alvo − valor atual) ÷ meses restantes até o prazo.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</row>
  </sheetData>
  <conditionalFormatting sqref="E6:E10">
    <cfRule type="dataBar" priority="1">
      <dataBar showValue="1">
        <cfvo type="num" val="0"/>
        <cfvo type="num" val="1"/>
        <color rgb="FF278050"/>
      </dataBar>
      <extLst>
        <ext xmlns:x14="http://schemas.microsoft.com/office/spreadsheetml/2009/9/main" uri="{B025F937-C7B1-47D3-B67F-A62EFF666E3E}">
          <x14:id>{DA7ABA03-0000-4000-8000-000000000003}</x14:id>
        </ext>
      </extLst>
    </cfRule>
  </conditionalFormatting>
  <pageMargins left="0.3" right="0.3" top="1" bottom="1" header="0.5" footer="0.5"/>
  <pageSetup orientation="landscape" paperSize="9" fitToHeight="0" fitToWidth="1"/>
  <tableParts count="2">
    <tablePart xmlns:r="http://schemas.openxmlformats.org/officeDocument/2006/relationships" r:id="rId1"/>
    <tablePart xmlns:r="http://schemas.openxmlformats.org/officeDocument/2006/relationships"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03-0000-4000-8000-000000000003}">
            <x14:dataBar minLength="0" maxLength="100" border="0" gradient="0">
              <x14:cfvo type="num">
                <xm:f>0</xm:f>
              </x14:cfvo>
              <x14:cfvo type="num">
                <xm:f>1</xm:f>
              </x14:cfvo>
              <x14:negativeFillColor rgb="FFFF5C5C"/>
              <x14:axisColor rgb="FF9AA0A6"/>
            </x14:dataBar>
          </x14:cfRule>
          <xm:sqref>E6:E10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>
  <sheetPr>
    <tabColor rgb="009B7BFF"/>
    <outlinePr summaryBelow="1" summaryRight="1"/>
    <pageSetUpPr fitToPage="1"/>
  </sheetPr>
  <dimension ref="A1:O514"/>
  <sheetViews>
    <sheetView showGridLines="0" tabSelected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style="1" min="1" max="1"/>
    <col width="30" customWidth="1" style="1" min="2" max="2"/>
    <col width="13" customWidth="1" style="1" min="3" max="3"/>
    <col width="24" customWidth="1" style="1" min="4" max="4"/>
    <col width="13" customWidth="1" style="1" min="5" max="5"/>
    <col width="11" customWidth="1" style="1" min="6" max="6"/>
    <col width="18" customWidth="1" style="1" min="7" max="7"/>
    <col width="18" customWidth="1" style="1" min="8" max="8"/>
    <col width="14" customWidth="1" style="1" min="9" max="9"/>
    <col width="12" customWidth="1" style="1" min="10" max="10"/>
    <col width="12" customWidth="1" style="1" min="11" max="11"/>
    <col width="8" customWidth="1" style="1" min="12" max="12"/>
    <col width="14" customWidth="1" style="1" min="13" max="13"/>
    <col width="13" customWidth="1" style="1" min="14" max="14"/>
    <col width="13" customWidth="1" style="1" min="15" max="15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0" customHeight="1">
      <c r="A2" s="1" t="n"/>
      <c r="B2" s="52" t="inlineStr">
        <is>
          <t>Favoritos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18" customHeight="1">
      <c r="A3" s="1" t="n"/>
      <c r="B3" s="4" t="inlineStr">
        <is>
          <t>Descrições que você usa sempre. Ao escolher uma delas em Lançamentos, as colunas roxas se preenchem sozinhas. Recorrente? = sim entra no checklist Contas do mês. Adicione na linha vazia abaixo da tabela.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</row>
    <row r="5" ht="30" customHeight="1">
      <c r="A5" s="8" t="n"/>
      <c r="B5" s="55" t="inlineStr">
        <is>
          <t>Descrição</t>
        </is>
      </c>
      <c r="C5" s="55" t="inlineStr">
        <is>
          <t>Tipo</t>
        </is>
      </c>
      <c r="D5" s="55" t="inlineStr">
        <is>
          <t>Categoria</t>
        </is>
      </c>
      <c r="E5" s="55" t="inlineStr">
        <is>
          <t>Pote</t>
        </is>
      </c>
      <c r="F5" s="55" t="inlineStr">
        <is>
          <t>Quem</t>
        </is>
      </c>
      <c r="G5" s="55" t="inlineStr">
        <is>
          <t>Conta</t>
        </is>
      </c>
      <c r="H5" s="55" t="inlineStr">
        <is>
          <t>Forma de pagamento</t>
        </is>
      </c>
      <c r="I5" s="55" t="inlineStr">
        <is>
          <t>Valor padrão</t>
        </is>
      </c>
      <c r="J5" s="55" t="inlineStr">
        <is>
          <t>Recorrente?</t>
        </is>
      </c>
      <c r="K5" s="55" t="inlineStr">
        <is>
          <t>Dia do vencimento</t>
        </is>
      </c>
      <c r="L5" s="55" t="inlineStr">
        <is>
          <t>Usos</t>
        </is>
      </c>
      <c r="M5" s="55" t="inlineStr">
        <is>
          <t>Último valor</t>
        </is>
      </c>
      <c r="N5" s="8" t="n"/>
      <c r="O5" s="8" t="n"/>
    </row>
    <row r="6" ht="20" customHeight="1">
      <c r="A6" s="8" t="n"/>
      <c r="B6" s="33" t="inlineStr">
        <is>
          <t>Aluguel do apartamento</t>
        </is>
      </c>
      <c r="C6" s="33" t="inlineStr">
        <is>
          <t>Despesa</t>
        </is>
      </c>
      <c r="D6" s="33" t="inlineStr">
        <is>
          <t>Moradia</t>
        </is>
      </c>
      <c r="E6" s="33" t="inlineStr">
        <is>
          <t>Essenciais</t>
        </is>
      </c>
      <c r="F6" s="33" t="n"/>
      <c r="G6" s="33" t="inlineStr">
        <is>
          <t>Conta corrente Itaú</t>
        </is>
      </c>
      <c r="H6" s="33" t="inlineStr">
        <is>
          <t>Boleto</t>
        </is>
      </c>
      <c r="I6" s="48" t="n">
        <v>2350</v>
      </c>
      <c r="J6" s="73" t="inlineStr">
        <is>
          <t>sim</t>
        </is>
      </c>
      <c r="K6" s="73" t="n"/>
      <c r="L6" s="58">
        <f>COUNTIF(tbLancamentos[Descrição],tbAtalhos[[#This Row],[Descrição]])</f>
        <v/>
      </c>
      <c r="M6" s="47">
        <f>IFERROR(LOOKUP(2,1/(tbLancamentos[Descrição]=tbAtalhos[[#This Row],[Descrição]]),tbLancamentos[Valor]),"")</f>
        <v/>
      </c>
      <c r="N6" s="8" t="n"/>
      <c r="O6" s="8" t="n"/>
    </row>
    <row r="7" ht="20" customHeight="1">
      <c r="A7" s="8" t="n"/>
      <c r="B7" s="33" t="inlineStr">
        <is>
          <t>Cinema / passeio</t>
        </is>
      </c>
      <c r="C7" s="33" t="inlineStr">
        <is>
          <t>Despesa</t>
        </is>
      </c>
      <c r="D7" s="33" t="inlineStr">
        <is>
          <t>Lazer</t>
        </is>
      </c>
      <c r="E7" s="33" t="inlineStr">
        <is>
          <t>Lazer</t>
        </is>
      </c>
      <c r="F7" s="33" t="n"/>
      <c r="G7" s="33" t="inlineStr">
        <is>
          <t>Conta Nubank</t>
        </is>
      </c>
      <c r="H7" s="33" t="inlineStr">
        <is>
          <t>PIX</t>
        </is>
      </c>
      <c r="I7" s="48" t="n"/>
      <c r="J7" s="73" t="inlineStr">
        <is>
          <t>sim</t>
        </is>
      </c>
      <c r="K7" s="73" t="n"/>
      <c r="L7" s="58">
        <f>COUNTIF(tbLancamentos[Descrição],tbAtalhos[[#This Row],[Descrição]])</f>
        <v/>
      </c>
      <c r="M7" s="47">
        <f>IFERROR(LOOKUP(2,1/(tbLancamentos[Descrição]=tbAtalhos[[#This Row],[Descrição]]),tbLancamentos[Valor]),"")</f>
        <v/>
      </c>
      <c r="N7" s="8" t="n"/>
      <c r="O7" s="8" t="n"/>
    </row>
    <row r="8" ht="20" customHeight="1">
      <c r="A8" s="8" t="n"/>
      <c r="B8" s="33" t="inlineStr">
        <is>
          <t>Combustível</t>
        </is>
      </c>
      <c r="C8" s="33" t="inlineStr">
        <is>
          <t>Despesa</t>
        </is>
      </c>
      <c r="D8" s="33" t="inlineStr">
        <is>
          <t>Transporte</t>
        </is>
      </c>
      <c r="E8" s="33" t="inlineStr">
        <is>
          <t>Essenciais</t>
        </is>
      </c>
      <c r="F8" s="33" t="n"/>
      <c r="G8" s="33" t="inlineStr">
        <is>
          <t>Cartão Itaú</t>
        </is>
      </c>
      <c r="H8" s="33" t="inlineStr">
        <is>
          <t>Cartão de crédito</t>
        </is>
      </c>
      <c r="I8" s="48" t="n"/>
      <c r="J8" s="73" t="inlineStr">
        <is>
          <t>sim</t>
        </is>
      </c>
      <c r="K8" s="73" t="n"/>
      <c r="L8" s="58">
        <f>COUNTIF(tbLancamentos[Descrição],tbAtalhos[[#This Row],[Descrição]])</f>
        <v/>
      </c>
      <c r="M8" s="47">
        <f>IFERROR(LOOKUP(2,1/(tbLancamentos[Descrição]=tbAtalhos[[#This Row],[Descrição]]),tbLancamentos[Valor]),"")</f>
        <v/>
      </c>
      <c r="N8" s="8" t="n"/>
      <c r="O8" s="8" t="n"/>
    </row>
    <row r="9" ht="20" customHeight="1">
      <c r="A9" s="8" t="n"/>
      <c r="B9" s="33" t="inlineStr">
        <is>
          <t>Conta de energia</t>
        </is>
      </c>
      <c r="C9" s="33" t="inlineStr">
        <is>
          <t>Despesa</t>
        </is>
      </c>
      <c r="D9" s="33" t="inlineStr">
        <is>
          <t>Contas da casa</t>
        </is>
      </c>
      <c r="E9" s="33" t="inlineStr">
        <is>
          <t>Essenciais</t>
        </is>
      </c>
      <c r="F9" s="33" t="n"/>
      <c r="G9" s="33" t="inlineStr">
        <is>
          <t>Conta corrente Itaú</t>
        </is>
      </c>
      <c r="H9" s="33" t="inlineStr">
        <is>
          <t>Débito automático</t>
        </is>
      </c>
      <c r="I9" s="48" t="n"/>
      <c r="J9" s="73" t="inlineStr">
        <is>
          <t>sim</t>
        </is>
      </c>
      <c r="K9" s="73" t="n"/>
      <c r="L9" s="58">
        <f>COUNTIF(tbLancamentos[Descrição],tbAtalhos[[#This Row],[Descrição]])</f>
        <v/>
      </c>
      <c r="M9" s="47">
        <f>IFERROR(LOOKUP(2,1/(tbLancamentos[Descrição]=tbAtalhos[[#This Row],[Descrição]]),tbLancamentos[Valor]),"")</f>
        <v/>
      </c>
      <c r="N9" s="8" t="n"/>
      <c r="O9" s="8" t="n"/>
    </row>
    <row r="10" ht="20" customHeight="1">
      <c r="A10" s="8" t="n"/>
      <c r="B10" s="33" t="inlineStr">
        <is>
          <t>Mensalidade escolar</t>
        </is>
      </c>
      <c r="C10" s="33" t="inlineStr">
        <is>
          <t>Despesa</t>
        </is>
      </c>
      <c r="D10" s="33" t="inlineStr">
        <is>
          <t>Educação</t>
        </is>
      </c>
      <c r="E10" s="33" t="inlineStr">
        <is>
          <t>Essenciais</t>
        </is>
      </c>
      <c r="F10" s="33" t="n"/>
      <c r="G10" s="33" t="inlineStr">
        <is>
          <t>Conta corrente Itaú</t>
        </is>
      </c>
      <c r="H10" s="33" t="inlineStr">
        <is>
          <t>Boleto</t>
        </is>
      </c>
      <c r="I10" s="48" t="n">
        <v>1450</v>
      </c>
      <c r="J10" s="73" t="inlineStr">
        <is>
          <t>sim</t>
        </is>
      </c>
      <c r="K10" s="73" t="n"/>
      <c r="L10" s="58">
        <f>COUNTIF(tbLancamentos[Descrição],tbAtalhos[[#This Row],[Descrição]])</f>
        <v/>
      </c>
      <c r="M10" s="47">
        <f>IFERROR(LOOKUP(2,1/(tbLancamentos[Descrição]=tbAtalhos[[#This Row],[Descrição]]),tbLancamentos[Valor]),"")</f>
        <v/>
      </c>
      <c r="N10" s="8" t="n"/>
      <c r="O10" s="8" t="n"/>
    </row>
    <row r="11" ht="20" customHeight="1">
      <c r="A11" s="8" t="n"/>
      <c r="B11" s="33" t="inlineStr">
        <is>
          <t>Mercado do mês</t>
        </is>
      </c>
      <c r="C11" s="33" t="inlineStr">
        <is>
          <t>Despesa</t>
        </is>
      </c>
      <c r="D11" s="33" t="inlineStr">
        <is>
          <t>Alimentação</t>
        </is>
      </c>
      <c r="E11" s="33" t="inlineStr">
        <is>
          <t>Essenciais</t>
        </is>
      </c>
      <c r="F11" s="33" t="n"/>
      <c r="G11" s="33" t="inlineStr">
        <is>
          <t>Cartão Nubank</t>
        </is>
      </c>
      <c r="H11" s="33" t="inlineStr">
        <is>
          <t>Cartão de crédito</t>
        </is>
      </c>
      <c r="I11" s="48" t="n"/>
      <c r="J11" s="73" t="inlineStr">
        <is>
          <t>sim</t>
        </is>
      </c>
      <c r="K11" s="73" t="n"/>
      <c r="L11" s="58">
        <f>COUNTIF(tbLancamentos[Descrição],tbAtalhos[[#This Row],[Descrição]])</f>
        <v/>
      </c>
      <c r="M11" s="47">
        <f>IFERROR(LOOKUP(2,1/(tbLancamentos[Descrição]=tbAtalhos[[#This Row],[Descrição]]),tbLancamentos[Valor]),"")</f>
        <v/>
      </c>
      <c r="N11" s="8" t="n"/>
      <c r="O11" s="8" t="n"/>
    </row>
    <row r="12" ht="20" customHeight="1">
      <c r="A12" s="8" t="n"/>
      <c r="B12" s="33" t="inlineStr">
        <is>
          <t>Plano de saúde familiar</t>
        </is>
      </c>
      <c r="C12" s="33" t="inlineStr">
        <is>
          <t>Despesa</t>
        </is>
      </c>
      <c r="D12" s="33" t="inlineStr">
        <is>
          <t>Saúde</t>
        </is>
      </c>
      <c r="E12" s="33" t="inlineStr">
        <is>
          <t>Essenciais</t>
        </is>
      </c>
      <c r="F12" s="33" t="n"/>
      <c r="G12" s="33" t="inlineStr">
        <is>
          <t>Conta corrente Itaú</t>
        </is>
      </c>
      <c r="H12" s="33" t="inlineStr">
        <is>
          <t>Débito automático</t>
        </is>
      </c>
      <c r="I12" s="48" t="n">
        <v>890</v>
      </c>
      <c r="J12" s="73" t="inlineStr">
        <is>
          <t>sim</t>
        </is>
      </c>
      <c r="K12" s="73" t="n"/>
      <c r="L12" s="58">
        <f>COUNTIF(tbLancamentos[Descrição],tbAtalhos[[#This Row],[Descrição]])</f>
        <v/>
      </c>
      <c r="M12" s="47">
        <f>IFERROR(LOOKUP(2,1/(tbLancamentos[Descrição]=tbAtalhos[[#This Row],[Descrição]]),tbLancamentos[Valor]),"")</f>
        <v/>
      </c>
      <c r="N12" s="8" t="n"/>
      <c r="O12" s="8" t="n"/>
    </row>
    <row r="13" ht="20" customHeight="1">
      <c r="A13" s="8" t="n"/>
      <c r="B13" s="33" t="inlineStr">
        <is>
          <t>Salário — cônjuge</t>
        </is>
      </c>
      <c r="C13" s="33" t="inlineStr">
        <is>
          <t>Receita</t>
        </is>
      </c>
      <c r="D13" s="33" t="inlineStr">
        <is>
          <t>Salário</t>
        </is>
      </c>
      <c r="E13" s="33" t="n"/>
      <c r="F13" s="33" t="n"/>
      <c r="G13" s="33" t="inlineStr">
        <is>
          <t>Conta Nubank</t>
        </is>
      </c>
      <c r="H13" s="33" t="inlineStr">
        <is>
          <t>Transferência</t>
        </is>
      </c>
      <c r="I13" s="48" t="n">
        <v>5200</v>
      </c>
      <c r="J13" s="73" t="inlineStr">
        <is>
          <t>sim</t>
        </is>
      </c>
      <c r="K13" s="73" t="n"/>
      <c r="L13" s="58">
        <f>COUNTIF(tbLancamentos[Descrição],tbAtalhos[[#This Row],[Descrição]])</f>
        <v/>
      </c>
      <c r="M13" s="47">
        <f>IFERROR(LOOKUP(2,1/(tbLancamentos[Descrição]=tbAtalhos[[#This Row],[Descrição]]),tbLancamentos[Valor]),"")</f>
        <v/>
      </c>
      <c r="N13" s="8" t="n"/>
      <c r="O13" s="8" t="n"/>
    </row>
    <row r="14" ht="20" customHeight="1">
      <c r="A14" s="8" t="n"/>
      <c r="B14" s="33" t="inlineStr">
        <is>
          <t>Salário — titular</t>
        </is>
      </c>
      <c r="C14" s="33" t="inlineStr">
        <is>
          <t>Receita</t>
        </is>
      </c>
      <c r="D14" s="33" t="inlineStr">
        <is>
          <t>Salário</t>
        </is>
      </c>
      <c r="E14" s="33" t="n"/>
      <c r="F14" s="33" t="n"/>
      <c r="G14" s="33" t="inlineStr">
        <is>
          <t>Conta corrente Itaú</t>
        </is>
      </c>
      <c r="H14" s="33" t="inlineStr">
        <is>
          <t>Transferência</t>
        </is>
      </c>
      <c r="I14" s="48" t="n">
        <v>7800</v>
      </c>
      <c r="J14" s="73" t="inlineStr">
        <is>
          <t>sim</t>
        </is>
      </c>
      <c r="K14" s="73" t="n"/>
      <c r="L14" s="58">
        <f>COUNTIF(tbLancamentos[Descrição],tbAtalhos[[#This Row],[Descrição]])</f>
        <v/>
      </c>
      <c r="M14" s="47">
        <f>IFERROR(LOOKUP(2,1/(tbLancamentos[Descrição]=tbAtalhos[[#This Row],[Descrição]]),tbLancamentos[Valor]),"")</f>
        <v/>
      </c>
      <c r="N14" s="8" t="n"/>
      <c r="O14" s="8" t="n"/>
    </row>
    <row r="15" ht="20" customHeight="1">
      <c r="A15" s="8" t="n"/>
      <c r="B15" s="33" t="inlineStr">
        <is>
          <t>Streaming + academia</t>
        </is>
      </c>
      <c r="C15" s="33" t="inlineStr">
        <is>
          <t>Despesa</t>
        </is>
      </c>
      <c r="D15" s="33" t="inlineStr">
        <is>
          <t>Assinaturas</t>
        </is>
      </c>
      <c r="E15" s="33" t="inlineStr">
        <is>
          <t>Essenciais</t>
        </is>
      </c>
      <c r="F15" s="33" t="n"/>
      <c r="G15" s="33" t="inlineStr">
        <is>
          <t>Cartão Nubank</t>
        </is>
      </c>
      <c r="H15" s="33" t="inlineStr">
        <is>
          <t>Cartão de crédito</t>
        </is>
      </c>
      <c r="I15" s="48" t="n">
        <v>174.8</v>
      </c>
      <c r="J15" s="73" t="inlineStr">
        <is>
          <t>sim</t>
        </is>
      </c>
      <c r="K15" s="73" t="n"/>
      <c r="L15" s="58">
        <f>COUNTIF(tbLancamentos[Descrição],tbAtalhos[[#This Row],[Descrição]])</f>
        <v/>
      </c>
      <c r="M15" s="47">
        <f>IFERROR(LOOKUP(2,1/(tbLancamentos[Descrição]=tbAtalhos[[#This Row],[Descrição]]),tbLancamentos[Valor]),"")</f>
        <v/>
      </c>
      <c r="N15" s="8" t="n"/>
      <c r="O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123" t="n"/>
      <c r="J16" s="8" t="n"/>
      <c r="K16" s="8" t="n"/>
      <c r="L16" s="8" t="n"/>
      <c r="M16" s="8" t="n"/>
      <c r="N16" s="8" t="n"/>
      <c r="O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123" t="n"/>
      <c r="J17" s="8" t="n"/>
      <c r="K17" s="8" t="n"/>
      <c r="L17" s="8" t="n"/>
      <c r="M17" s="8" t="n"/>
      <c r="N17" s="8" t="n"/>
      <c r="O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123" t="n"/>
      <c r="J18" s="8" t="n"/>
      <c r="K18" s="8" t="n"/>
      <c r="L18" s="8" t="n"/>
      <c r="M18" s="8" t="n"/>
      <c r="N18" s="8" t="n"/>
      <c r="O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123" t="n"/>
      <c r="J19" s="8" t="n"/>
      <c r="K19" s="8" t="n"/>
      <c r="L19" s="8" t="n"/>
      <c r="M19" s="8" t="n"/>
      <c r="N19" s="8" t="n"/>
      <c r="O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123" t="n"/>
      <c r="J20" s="8" t="n"/>
      <c r="K20" s="8" t="n"/>
      <c r="L20" s="8" t="n"/>
      <c r="M20" s="8" t="n"/>
      <c r="N20" s="8" t="n"/>
      <c r="O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123" t="n"/>
      <c r="J21" s="8" t="n"/>
      <c r="K21" s="8" t="n"/>
      <c r="L21" s="8" t="n"/>
      <c r="M21" s="8" t="n"/>
      <c r="N21" s="8" t="n"/>
      <c r="O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123" t="n"/>
      <c r="J22" s="8" t="n"/>
      <c r="K22" s="8" t="n"/>
      <c r="L22" s="8" t="n"/>
      <c r="M22" s="8" t="n"/>
      <c r="N22" s="8" t="n"/>
      <c r="O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123" t="n"/>
      <c r="J23" s="8" t="n"/>
      <c r="K23" s="8" t="n"/>
      <c r="L23" s="8" t="n"/>
      <c r="M23" s="8" t="n"/>
      <c r="N23" s="8" t="n"/>
      <c r="O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123" t="n"/>
      <c r="J24" s="8" t="n"/>
      <c r="K24" s="8" t="n"/>
      <c r="L24" s="8" t="n"/>
      <c r="M24" s="8" t="n"/>
      <c r="N24" s="8" t="n"/>
      <c r="O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123" t="n"/>
      <c r="J25" s="8" t="n"/>
      <c r="K25" s="8" t="n"/>
      <c r="L25" s="8" t="n"/>
      <c r="M25" s="8" t="n"/>
      <c r="N25" s="8" t="n"/>
      <c r="O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123" t="n"/>
      <c r="J26" s="8" t="n"/>
      <c r="K26" s="8" t="n"/>
      <c r="L26" s="8" t="n"/>
      <c r="M26" s="8" t="n"/>
      <c r="N26" s="8" t="n"/>
      <c r="O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123" t="n"/>
      <c r="J27" s="8" t="n"/>
      <c r="K27" s="8" t="n"/>
      <c r="L27" s="8" t="n"/>
      <c r="M27" s="8" t="n"/>
      <c r="N27" s="8" t="n"/>
      <c r="O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123" t="n"/>
      <c r="J28" s="8" t="n"/>
      <c r="K28" s="8" t="n"/>
      <c r="L28" s="8" t="n"/>
      <c r="M28" s="8" t="n"/>
      <c r="N28" s="8" t="n"/>
      <c r="O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123" t="n"/>
      <c r="J29" s="8" t="n"/>
      <c r="K29" s="8" t="n"/>
      <c r="L29" s="8" t="n"/>
      <c r="M29" s="8" t="n"/>
      <c r="N29" s="8" t="n"/>
      <c r="O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123" t="n"/>
      <c r="J30" s="8" t="n"/>
      <c r="K30" s="8" t="n"/>
      <c r="L30" s="8" t="n"/>
      <c r="M30" s="8" t="n"/>
      <c r="N30" s="8" t="n"/>
      <c r="O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123" t="n"/>
      <c r="J31" s="8" t="n"/>
      <c r="K31" s="8" t="n"/>
      <c r="L31" s="8" t="n"/>
      <c r="M31" s="8" t="n"/>
      <c r="N31" s="8" t="n"/>
      <c r="O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123" t="n"/>
      <c r="J32" s="8" t="n"/>
      <c r="K32" s="8" t="n"/>
      <c r="L32" s="8" t="n"/>
      <c r="M32" s="8" t="n"/>
      <c r="N32" s="8" t="n"/>
      <c r="O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123" t="n"/>
      <c r="J33" s="8" t="n"/>
      <c r="K33" s="8" t="n"/>
      <c r="L33" s="8" t="n"/>
      <c r="M33" s="8" t="n"/>
      <c r="N33" s="8" t="n"/>
      <c r="O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123" t="n"/>
      <c r="J34" s="8" t="n"/>
      <c r="K34" s="8" t="n"/>
      <c r="L34" s="8" t="n"/>
      <c r="M34" s="8" t="n"/>
      <c r="N34" s="8" t="n"/>
      <c r="O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123" t="n"/>
      <c r="J35" s="8" t="n"/>
      <c r="K35" s="8" t="n"/>
      <c r="L35" s="8" t="n"/>
      <c r="M35" s="8" t="n"/>
      <c r="N35" s="8" t="n"/>
      <c r="O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123" t="n"/>
      <c r="J36" s="8" t="n"/>
      <c r="K36" s="8" t="n"/>
      <c r="L36" s="8" t="n"/>
      <c r="M36" s="8" t="n"/>
      <c r="N36" s="8" t="n"/>
      <c r="O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123" t="n"/>
      <c r="J37" s="8" t="n"/>
      <c r="K37" s="8" t="n"/>
      <c r="L37" s="8" t="n"/>
      <c r="M37" s="8" t="n"/>
      <c r="N37" s="8" t="n"/>
      <c r="O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123" t="n"/>
      <c r="J38" s="8" t="n"/>
      <c r="K38" s="8" t="n"/>
      <c r="L38" s="8" t="n"/>
      <c r="M38" s="8" t="n"/>
      <c r="N38" s="8" t="n"/>
      <c r="O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123" t="n"/>
      <c r="J39" s="8" t="n"/>
      <c r="K39" s="8" t="n"/>
      <c r="L39" s="8" t="n"/>
      <c r="M39" s="8" t="n"/>
      <c r="N39" s="8" t="n"/>
      <c r="O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123" t="n"/>
      <c r="J40" s="8" t="n"/>
      <c r="K40" s="8" t="n"/>
      <c r="L40" s="8" t="n"/>
      <c r="M40" s="8" t="n"/>
      <c r="N40" s="8" t="n"/>
      <c r="O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123" t="n"/>
      <c r="J41" s="8" t="n"/>
      <c r="K41" s="8" t="n"/>
      <c r="L41" s="8" t="n"/>
      <c r="M41" s="8" t="n"/>
      <c r="N41" s="8" t="n"/>
      <c r="O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123" t="n"/>
      <c r="J42" s="8" t="n"/>
      <c r="K42" s="8" t="n"/>
      <c r="L42" s="8" t="n"/>
      <c r="M42" s="8" t="n"/>
      <c r="N42" s="8" t="n"/>
      <c r="O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123" t="n"/>
      <c r="J43" s="8" t="n"/>
      <c r="K43" s="8" t="n"/>
      <c r="L43" s="8" t="n"/>
      <c r="M43" s="8" t="n"/>
      <c r="N43" s="8" t="n"/>
      <c r="O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123" t="n"/>
      <c r="J44" s="8" t="n"/>
      <c r="K44" s="8" t="n"/>
      <c r="L44" s="8" t="n"/>
      <c r="M44" s="8" t="n"/>
      <c r="N44" s="8" t="n"/>
      <c r="O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123" t="n"/>
      <c r="J45" s="8" t="n"/>
      <c r="K45" s="8" t="n"/>
      <c r="L45" s="8" t="n"/>
      <c r="M45" s="8" t="n"/>
      <c r="N45" s="8" t="n"/>
      <c r="O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123" t="n"/>
      <c r="J46" s="8" t="n"/>
      <c r="K46" s="8" t="n"/>
      <c r="L46" s="8" t="n"/>
      <c r="M46" s="8" t="n"/>
      <c r="N46" s="8" t="n"/>
      <c r="O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123" t="n"/>
      <c r="J47" s="8" t="n"/>
      <c r="K47" s="8" t="n"/>
      <c r="L47" s="8" t="n"/>
      <c r="M47" s="8" t="n"/>
      <c r="N47" s="8" t="n"/>
      <c r="O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123" t="n"/>
      <c r="J48" s="8" t="n"/>
      <c r="K48" s="8" t="n"/>
      <c r="L48" s="8" t="n"/>
      <c r="M48" s="8" t="n"/>
      <c r="N48" s="8" t="n"/>
      <c r="O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123" t="n"/>
      <c r="J49" s="8" t="n"/>
      <c r="K49" s="8" t="n"/>
      <c r="L49" s="8" t="n"/>
      <c r="M49" s="8" t="n"/>
      <c r="N49" s="8" t="n"/>
      <c r="O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123" t="n"/>
      <c r="J50" s="8" t="n"/>
      <c r="K50" s="8" t="n"/>
      <c r="L50" s="8" t="n"/>
      <c r="M50" s="8" t="n"/>
      <c r="N50" s="8" t="n"/>
      <c r="O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123" t="n"/>
      <c r="J51" s="8" t="n"/>
      <c r="K51" s="8" t="n"/>
      <c r="L51" s="8" t="n"/>
      <c r="M51" s="8" t="n"/>
      <c r="N51" s="8" t="n"/>
      <c r="O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123" t="n"/>
      <c r="J52" s="8" t="n"/>
      <c r="K52" s="8" t="n"/>
      <c r="L52" s="8" t="n"/>
      <c r="M52" s="8" t="n"/>
      <c r="N52" s="8" t="n"/>
      <c r="O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123" t="n"/>
      <c r="J53" s="8" t="n"/>
      <c r="K53" s="8" t="n"/>
      <c r="L53" s="8" t="n"/>
      <c r="M53" s="8" t="n"/>
      <c r="N53" s="8" t="n"/>
      <c r="O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123" t="n"/>
      <c r="J54" s="8" t="n"/>
      <c r="K54" s="8" t="n"/>
      <c r="L54" s="8" t="n"/>
      <c r="M54" s="8" t="n"/>
      <c r="N54" s="8" t="n"/>
      <c r="O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123" t="n"/>
      <c r="J55" s="8" t="n"/>
      <c r="K55" s="8" t="n"/>
      <c r="L55" s="8" t="n"/>
      <c r="M55" s="8" t="n"/>
      <c r="N55" s="8" t="n"/>
      <c r="O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123" t="n"/>
      <c r="J56" s="8" t="n"/>
      <c r="K56" s="8" t="n"/>
      <c r="L56" s="8" t="n"/>
      <c r="M56" s="8" t="n"/>
      <c r="N56" s="8" t="n"/>
      <c r="O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123" t="n"/>
      <c r="J57" s="8" t="n"/>
      <c r="K57" s="8" t="n"/>
      <c r="L57" s="8" t="n"/>
      <c r="M57" s="8" t="n"/>
      <c r="N57" s="8" t="n"/>
      <c r="O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123" t="n"/>
      <c r="J58" s="8" t="n"/>
      <c r="K58" s="8" t="n"/>
      <c r="L58" s="8" t="n"/>
      <c r="M58" s="8" t="n"/>
      <c r="N58" s="8" t="n"/>
      <c r="O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123" t="n"/>
      <c r="J59" s="8" t="n"/>
      <c r="K59" s="8" t="n"/>
      <c r="L59" s="8" t="n"/>
      <c r="M59" s="8" t="n"/>
      <c r="N59" s="8" t="n"/>
      <c r="O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123" t="n"/>
      <c r="J60" s="8" t="n"/>
      <c r="K60" s="8" t="n"/>
      <c r="L60" s="8" t="n"/>
      <c r="M60" s="8" t="n"/>
      <c r="N60" s="8" t="n"/>
      <c r="O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123" t="n"/>
      <c r="J61" s="8" t="n"/>
      <c r="K61" s="8" t="n"/>
      <c r="L61" s="8" t="n"/>
      <c r="M61" s="8" t="n"/>
      <c r="N61" s="8" t="n"/>
      <c r="O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123" t="n"/>
      <c r="J62" s="8" t="n"/>
      <c r="K62" s="8" t="n"/>
      <c r="L62" s="8" t="n"/>
      <c r="M62" s="8" t="n"/>
      <c r="N62" s="8" t="n"/>
      <c r="O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123" t="n"/>
      <c r="J63" s="8" t="n"/>
      <c r="K63" s="8" t="n"/>
      <c r="L63" s="8" t="n"/>
      <c r="M63" s="8" t="n"/>
      <c r="N63" s="8" t="n"/>
      <c r="O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123" t="n"/>
      <c r="J64" s="8" t="n"/>
      <c r="K64" s="8" t="n"/>
      <c r="L64" s="8" t="n"/>
      <c r="M64" s="8" t="n"/>
      <c r="N64" s="8" t="n"/>
      <c r="O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123" t="n"/>
      <c r="J65" s="8" t="n"/>
      <c r="K65" s="8" t="n"/>
      <c r="L65" s="8" t="n"/>
      <c r="M65" s="8" t="n"/>
      <c r="N65" s="8" t="n"/>
      <c r="O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123" t="n"/>
      <c r="J66" s="8" t="n"/>
      <c r="K66" s="8" t="n"/>
      <c r="L66" s="8" t="n"/>
      <c r="M66" s="8" t="n"/>
      <c r="N66" s="8" t="n"/>
      <c r="O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123" t="n"/>
      <c r="J67" s="8" t="n"/>
      <c r="K67" s="8" t="n"/>
      <c r="L67" s="8" t="n"/>
      <c r="M67" s="8" t="n"/>
      <c r="N67" s="8" t="n"/>
      <c r="O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123" t="n"/>
      <c r="J68" s="8" t="n"/>
      <c r="K68" s="8" t="n"/>
      <c r="L68" s="8" t="n"/>
      <c r="M68" s="8" t="n"/>
      <c r="N68" s="8" t="n"/>
      <c r="O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123" t="n"/>
      <c r="J69" s="8" t="n"/>
      <c r="K69" s="8" t="n"/>
      <c r="L69" s="8" t="n"/>
      <c r="M69" s="8" t="n"/>
      <c r="N69" s="8" t="n"/>
      <c r="O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123" t="n"/>
      <c r="J70" s="8" t="n"/>
      <c r="K70" s="8" t="n"/>
      <c r="L70" s="8" t="n"/>
      <c r="M70" s="8" t="n"/>
      <c r="N70" s="8" t="n"/>
      <c r="O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123" t="n"/>
      <c r="J71" s="8" t="n"/>
      <c r="K71" s="8" t="n"/>
      <c r="L71" s="8" t="n"/>
      <c r="M71" s="8" t="n"/>
      <c r="N71" s="8" t="n"/>
      <c r="O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123" t="n"/>
      <c r="J72" s="8" t="n"/>
      <c r="K72" s="8" t="n"/>
      <c r="L72" s="8" t="n"/>
      <c r="M72" s="8" t="n"/>
      <c r="N72" s="8" t="n"/>
      <c r="O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123" t="n"/>
      <c r="J73" s="8" t="n"/>
      <c r="K73" s="8" t="n"/>
      <c r="L73" s="8" t="n"/>
      <c r="M73" s="8" t="n"/>
      <c r="N73" s="8" t="n"/>
      <c r="O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123" t="n"/>
      <c r="J74" s="8" t="n"/>
      <c r="K74" s="8" t="n"/>
      <c r="L74" s="8" t="n"/>
      <c r="M74" s="8" t="n"/>
      <c r="N74" s="8" t="n"/>
      <c r="O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123" t="n"/>
      <c r="J75" s="8" t="n"/>
      <c r="K75" s="8" t="n"/>
      <c r="L75" s="8" t="n"/>
      <c r="M75" s="8" t="n"/>
      <c r="N75" s="8" t="n"/>
      <c r="O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123" t="n"/>
      <c r="J76" s="8" t="n"/>
      <c r="K76" s="8" t="n"/>
      <c r="L76" s="8" t="n"/>
      <c r="M76" s="8" t="n"/>
      <c r="N76" s="8" t="n"/>
      <c r="O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123" t="n"/>
      <c r="J77" s="8" t="n"/>
      <c r="K77" s="8" t="n"/>
      <c r="L77" s="8" t="n"/>
      <c r="M77" s="8" t="n"/>
      <c r="N77" s="8" t="n"/>
      <c r="O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123" t="n"/>
      <c r="J78" s="8" t="n"/>
      <c r="K78" s="8" t="n"/>
      <c r="L78" s="8" t="n"/>
      <c r="M78" s="8" t="n"/>
      <c r="N78" s="8" t="n"/>
      <c r="O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123" t="n"/>
      <c r="J79" s="8" t="n"/>
      <c r="K79" s="8" t="n"/>
      <c r="L79" s="8" t="n"/>
      <c r="M79" s="8" t="n"/>
      <c r="N79" s="8" t="n"/>
      <c r="O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123" t="n"/>
      <c r="J80" s="8" t="n"/>
      <c r="K80" s="8" t="n"/>
      <c r="L80" s="8" t="n"/>
      <c r="M80" s="8" t="n"/>
      <c r="N80" s="8" t="n"/>
      <c r="O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123" t="n"/>
      <c r="J81" s="8" t="n"/>
      <c r="K81" s="8" t="n"/>
      <c r="L81" s="8" t="n"/>
      <c r="M81" s="8" t="n"/>
      <c r="N81" s="8" t="n"/>
      <c r="O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123" t="n"/>
      <c r="J82" s="8" t="n"/>
      <c r="K82" s="8" t="n"/>
      <c r="L82" s="8" t="n"/>
      <c r="M82" s="8" t="n"/>
      <c r="N82" s="8" t="n"/>
      <c r="O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123" t="n"/>
      <c r="J83" s="8" t="n"/>
      <c r="K83" s="8" t="n"/>
      <c r="L83" s="8" t="n"/>
      <c r="M83" s="8" t="n"/>
      <c r="N83" s="8" t="n"/>
      <c r="O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123" t="n"/>
      <c r="J84" s="8" t="n"/>
      <c r="K84" s="8" t="n"/>
      <c r="L84" s="8" t="n"/>
      <c r="M84" s="8" t="n"/>
      <c r="N84" s="8" t="n"/>
      <c r="O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123" t="n"/>
      <c r="J85" s="8" t="n"/>
      <c r="K85" s="8" t="n"/>
      <c r="L85" s="8" t="n"/>
      <c r="M85" s="8" t="n"/>
      <c r="N85" s="8" t="n"/>
      <c r="O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123" t="n"/>
      <c r="J86" s="8" t="n"/>
      <c r="K86" s="8" t="n"/>
      <c r="L86" s="8" t="n"/>
      <c r="M86" s="8" t="n"/>
      <c r="N86" s="8" t="n"/>
      <c r="O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123" t="n"/>
      <c r="J87" s="8" t="n"/>
      <c r="K87" s="8" t="n"/>
      <c r="L87" s="8" t="n"/>
      <c r="M87" s="8" t="n"/>
      <c r="N87" s="8" t="n"/>
      <c r="O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123" t="n"/>
      <c r="J88" s="8" t="n"/>
      <c r="K88" s="8" t="n"/>
      <c r="L88" s="8" t="n"/>
      <c r="M88" s="8" t="n"/>
      <c r="N88" s="8" t="n"/>
      <c r="O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123" t="n"/>
      <c r="J89" s="8" t="n"/>
      <c r="K89" s="8" t="n"/>
      <c r="L89" s="8" t="n"/>
      <c r="M89" s="8" t="n"/>
      <c r="N89" s="8" t="n"/>
      <c r="O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123" t="n"/>
      <c r="J90" s="8" t="n"/>
      <c r="K90" s="8" t="n"/>
      <c r="L90" s="8" t="n"/>
      <c r="M90" s="8" t="n"/>
      <c r="N90" s="8" t="n"/>
      <c r="O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123" t="n"/>
      <c r="J91" s="8" t="n"/>
      <c r="K91" s="8" t="n"/>
      <c r="L91" s="8" t="n"/>
      <c r="M91" s="8" t="n"/>
      <c r="N91" s="8" t="n"/>
      <c r="O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123" t="n"/>
      <c r="J92" s="8" t="n"/>
      <c r="K92" s="8" t="n"/>
      <c r="L92" s="8" t="n"/>
      <c r="M92" s="8" t="n"/>
      <c r="N92" s="8" t="n"/>
      <c r="O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123" t="n"/>
      <c r="J93" s="8" t="n"/>
      <c r="K93" s="8" t="n"/>
      <c r="L93" s="8" t="n"/>
      <c r="M93" s="8" t="n"/>
      <c r="N93" s="8" t="n"/>
      <c r="O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123" t="n"/>
      <c r="J94" s="8" t="n"/>
      <c r="K94" s="8" t="n"/>
      <c r="L94" s="8" t="n"/>
      <c r="M94" s="8" t="n"/>
      <c r="N94" s="8" t="n"/>
      <c r="O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123" t="n"/>
      <c r="J95" s="8" t="n"/>
      <c r="K95" s="8" t="n"/>
      <c r="L95" s="8" t="n"/>
      <c r="M95" s="8" t="n"/>
      <c r="N95" s="8" t="n"/>
      <c r="O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123" t="n"/>
      <c r="J96" s="8" t="n"/>
      <c r="K96" s="8" t="n"/>
      <c r="L96" s="8" t="n"/>
      <c r="M96" s="8" t="n"/>
      <c r="N96" s="8" t="n"/>
      <c r="O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123" t="n"/>
      <c r="J97" s="8" t="n"/>
      <c r="K97" s="8" t="n"/>
      <c r="L97" s="8" t="n"/>
      <c r="M97" s="8" t="n"/>
      <c r="N97" s="8" t="n"/>
      <c r="O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123" t="n"/>
      <c r="J98" s="8" t="n"/>
      <c r="K98" s="8" t="n"/>
      <c r="L98" s="8" t="n"/>
      <c r="M98" s="8" t="n"/>
      <c r="N98" s="8" t="n"/>
      <c r="O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123" t="n"/>
      <c r="J99" s="8" t="n"/>
      <c r="K99" s="8" t="n"/>
      <c r="L99" s="8" t="n"/>
      <c r="M99" s="8" t="n"/>
      <c r="N99" s="8" t="n"/>
      <c r="O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123" t="n"/>
      <c r="J100" s="8" t="n"/>
      <c r="K100" s="8" t="n"/>
      <c r="L100" s="8" t="n"/>
      <c r="M100" s="8" t="n"/>
      <c r="N100" s="8" t="n"/>
      <c r="O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123" t="n"/>
      <c r="J101" s="8" t="n"/>
      <c r="K101" s="8" t="n"/>
      <c r="L101" s="8" t="n"/>
      <c r="M101" s="8" t="n"/>
      <c r="N101" s="8" t="n"/>
      <c r="O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123" t="n"/>
      <c r="J102" s="8" t="n"/>
      <c r="K102" s="8" t="n"/>
      <c r="L102" s="8" t="n"/>
      <c r="M102" s="8" t="n"/>
      <c r="N102" s="8" t="n"/>
      <c r="O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123" t="n"/>
      <c r="J103" s="8" t="n"/>
      <c r="K103" s="8" t="n"/>
      <c r="L103" s="8" t="n"/>
      <c r="M103" s="8" t="n"/>
      <c r="N103" s="8" t="n"/>
      <c r="O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123" t="n"/>
      <c r="J104" s="8" t="n"/>
      <c r="K104" s="8" t="n"/>
      <c r="L104" s="8" t="n"/>
      <c r="M104" s="8" t="n"/>
      <c r="N104" s="8" t="n"/>
      <c r="O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123" t="n"/>
      <c r="J105" s="8" t="n"/>
      <c r="K105" s="8" t="n"/>
      <c r="L105" s="8" t="n"/>
      <c r="M105" s="8" t="n"/>
      <c r="N105" s="8" t="n"/>
      <c r="O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123" t="n"/>
      <c r="J106" s="8" t="n"/>
      <c r="K106" s="8" t="n"/>
      <c r="L106" s="8" t="n"/>
      <c r="M106" s="8" t="n"/>
      <c r="N106" s="8" t="n"/>
      <c r="O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123" t="n"/>
      <c r="J107" s="8" t="n"/>
      <c r="K107" s="8" t="n"/>
      <c r="L107" s="8" t="n"/>
      <c r="M107" s="8" t="n"/>
      <c r="N107" s="8" t="n"/>
      <c r="O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123" t="n"/>
      <c r="J108" s="8" t="n"/>
      <c r="K108" s="8" t="n"/>
      <c r="L108" s="8" t="n"/>
      <c r="M108" s="8" t="n"/>
      <c r="N108" s="8" t="n"/>
      <c r="O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123" t="n"/>
      <c r="J109" s="8" t="n"/>
      <c r="K109" s="8" t="n"/>
      <c r="L109" s="8" t="n"/>
      <c r="M109" s="8" t="n"/>
      <c r="N109" s="8" t="n"/>
      <c r="O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123" t="n"/>
      <c r="J110" s="8" t="n"/>
      <c r="K110" s="8" t="n"/>
      <c r="L110" s="8" t="n"/>
      <c r="M110" s="8" t="n"/>
      <c r="N110" s="8" t="n"/>
      <c r="O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123" t="n"/>
      <c r="J111" s="8" t="n"/>
      <c r="K111" s="8" t="n"/>
      <c r="L111" s="8" t="n"/>
      <c r="M111" s="8" t="n"/>
      <c r="N111" s="8" t="n"/>
      <c r="O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123" t="n"/>
      <c r="J112" s="8" t="n"/>
      <c r="K112" s="8" t="n"/>
      <c r="L112" s="8" t="n"/>
      <c r="M112" s="8" t="n"/>
      <c r="N112" s="8" t="n"/>
      <c r="O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123" t="n"/>
      <c r="J113" s="8" t="n"/>
      <c r="K113" s="8" t="n"/>
      <c r="L113" s="8" t="n"/>
      <c r="M113" s="8" t="n"/>
      <c r="N113" s="8" t="n"/>
      <c r="O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123" t="n"/>
      <c r="J114" s="8" t="n"/>
      <c r="K114" s="8" t="n"/>
      <c r="L114" s="8" t="n"/>
      <c r="M114" s="8" t="n"/>
      <c r="N114" s="8" t="n"/>
      <c r="O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123" t="n"/>
      <c r="J115" s="8" t="n"/>
      <c r="K115" s="8" t="n"/>
      <c r="L115" s="8" t="n"/>
      <c r="M115" s="8" t="n"/>
      <c r="N115" s="8" t="n"/>
      <c r="O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123" t="n"/>
      <c r="J116" s="8" t="n"/>
      <c r="K116" s="8" t="n"/>
      <c r="L116" s="8" t="n"/>
      <c r="M116" s="8" t="n"/>
      <c r="N116" s="8" t="n"/>
      <c r="O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123" t="n"/>
      <c r="J117" s="8" t="n"/>
      <c r="K117" s="8" t="n"/>
      <c r="L117" s="8" t="n"/>
      <c r="M117" s="8" t="n"/>
      <c r="N117" s="8" t="n"/>
      <c r="O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123" t="n"/>
      <c r="J118" s="8" t="n"/>
      <c r="K118" s="8" t="n"/>
      <c r="L118" s="8" t="n"/>
      <c r="M118" s="8" t="n"/>
      <c r="N118" s="8" t="n"/>
      <c r="O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123" t="n"/>
      <c r="J119" s="8" t="n"/>
      <c r="K119" s="8" t="n"/>
      <c r="L119" s="8" t="n"/>
      <c r="M119" s="8" t="n"/>
      <c r="N119" s="8" t="n"/>
      <c r="O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123" t="n"/>
      <c r="J120" s="8" t="n"/>
      <c r="K120" s="8" t="n"/>
      <c r="L120" s="8" t="n"/>
      <c r="M120" s="8" t="n"/>
      <c r="N120" s="8" t="n"/>
      <c r="O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123" t="n"/>
      <c r="J121" s="8" t="n"/>
      <c r="K121" s="8" t="n"/>
      <c r="L121" s="8" t="n"/>
      <c r="M121" s="8" t="n"/>
      <c r="N121" s="8" t="n"/>
      <c r="O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123" t="n"/>
      <c r="J122" s="8" t="n"/>
      <c r="K122" s="8" t="n"/>
      <c r="L122" s="8" t="n"/>
      <c r="M122" s="8" t="n"/>
      <c r="N122" s="8" t="n"/>
      <c r="O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123" t="n"/>
      <c r="J123" s="8" t="n"/>
      <c r="K123" s="8" t="n"/>
      <c r="L123" s="8" t="n"/>
      <c r="M123" s="8" t="n"/>
      <c r="N123" s="8" t="n"/>
      <c r="O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123" t="n"/>
      <c r="J124" s="8" t="n"/>
      <c r="K124" s="8" t="n"/>
      <c r="L124" s="8" t="n"/>
      <c r="M124" s="8" t="n"/>
      <c r="N124" s="8" t="n"/>
      <c r="O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123" t="n"/>
      <c r="J125" s="8" t="n"/>
      <c r="K125" s="8" t="n"/>
      <c r="L125" s="8" t="n"/>
      <c r="M125" s="8" t="n"/>
      <c r="N125" s="8" t="n"/>
      <c r="O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123" t="n"/>
      <c r="J126" s="8" t="n"/>
      <c r="K126" s="8" t="n"/>
      <c r="L126" s="8" t="n"/>
      <c r="M126" s="8" t="n"/>
      <c r="N126" s="8" t="n"/>
      <c r="O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123" t="n"/>
      <c r="J127" s="8" t="n"/>
      <c r="K127" s="8" t="n"/>
      <c r="L127" s="8" t="n"/>
      <c r="M127" s="8" t="n"/>
      <c r="N127" s="8" t="n"/>
      <c r="O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123" t="n"/>
      <c r="J128" s="8" t="n"/>
      <c r="K128" s="8" t="n"/>
      <c r="L128" s="8" t="n"/>
      <c r="M128" s="8" t="n"/>
      <c r="N128" s="8" t="n"/>
      <c r="O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123" t="n"/>
      <c r="J129" s="8" t="n"/>
      <c r="K129" s="8" t="n"/>
      <c r="L129" s="8" t="n"/>
      <c r="M129" s="8" t="n"/>
      <c r="N129" s="8" t="n"/>
      <c r="O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123" t="n"/>
      <c r="J130" s="8" t="n"/>
      <c r="K130" s="8" t="n"/>
      <c r="L130" s="8" t="n"/>
      <c r="M130" s="8" t="n"/>
      <c r="N130" s="8" t="n"/>
      <c r="O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123" t="n"/>
      <c r="J131" s="8" t="n"/>
      <c r="K131" s="8" t="n"/>
      <c r="L131" s="8" t="n"/>
      <c r="M131" s="8" t="n"/>
      <c r="N131" s="8" t="n"/>
      <c r="O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123" t="n"/>
      <c r="J132" s="8" t="n"/>
      <c r="K132" s="8" t="n"/>
      <c r="L132" s="8" t="n"/>
      <c r="M132" s="8" t="n"/>
      <c r="N132" s="8" t="n"/>
      <c r="O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123" t="n"/>
      <c r="J133" s="8" t="n"/>
      <c r="K133" s="8" t="n"/>
      <c r="L133" s="8" t="n"/>
      <c r="M133" s="8" t="n"/>
      <c r="N133" s="8" t="n"/>
      <c r="O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123" t="n"/>
      <c r="J134" s="8" t="n"/>
      <c r="K134" s="8" t="n"/>
      <c r="L134" s="8" t="n"/>
      <c r="M134" s="8" t="n"/>
      <c r="N134" s="8" t="n"/>
      <c r="O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123" t="n"/>
      <c r="J135" s="8" t="n"/>
      <c r="K135" s="8" t="n"/>
      <c r="L135" s="8" t="n"/>
      <c r="M135" s="8" t="n"/>
      <c r="N135" s="8" t="n"/>
      <c r="O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123" t="n"/>
      <c r="J136" s="8" t="n"/>
      <c r="K136" s="8" t="n"/>
      <c r="L136" s="8" t="n"/>
      <c r="M136" s="8" t="n"/>
      <c r="N136" s="8" t="n"/>
      <c r="O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123" t="n"/>
      <c r="J137" s="8" t="n"/>
      <c r="K137" s="8" t="n"/>
      <c r="L137" s="8" t="n"/>
      <c r="M137" s="8" t="n"/>
      <c r="N137" s="8" t="n"/>
      <c r="O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123" t="n"/>
      <c r="J138" s="8" t="n"/>
      <c r="K138" s="8" t="n"/>
      <c r="L138" s="8" t="n"/>
      <c r="M138" s="8" t="n"/>
      <c r="N138" s="8" t="n"/>
      <c r="O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123" t="n"/>
      <c r="J139" s="8" t="n"/>
      <c r="K139" s="8" t="n"/>
      <c r="L139" s="8" t="n"/>
      <c r="M139" s="8" t="n"/>
      <c r="N139" s="8" t="n"/>
      <c r="O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123" t="n"/>
      <c r="J140" s="8" t="n"/>
      <c r="K140" s="8" t="n"/>
      <c r="L140" s="8" t="n"/>
      <c r="M140" s="8" t="n"/>
      <c r="N140" s="8" t="n"/>
      <c r="O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123" t="n"/>
      <c r="J141" s="8" t="n"/>
      <c r="K141" s="8" t="n"/>
      <c r="L141" s="8" t="n"/>
      <c r="M141" s="8" t="n"/>
      <c r="N141" s="8" t="n"/>
      <c r="O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123" t="n"/>
      <c r="J142" s="8" t="n"/>
      <c r="K142" s="8" t="n"/>
      <c r="L142" s="8" t="n"/>
      <c r="M142" s="8" t="n"/>
      <c r="N142" s="8" t="n"/>
      <c r="O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123" t="n"/>
      <c r="J143" s="8" t="n"/>
      <c r="K143" s="8" t="n"/>
      <c r="L143" s="8" t="n"/>
      <c r="M143" s="8" t="n"/>
      <c r="N143" s="8" t="n"/>
      <c r="O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123" t="n"/>
      <c r="J144" s="8" t="n"/>
      <c r="K144" s="8" t="n"/>
      <c r="L144" s="8" t="n"/>
      <c r="M144" s="8" t="n"/>
      <c r="N144" s="8" t="n"/>
      <c r="O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123" t="n"/>
      <c r="J145" s="8" t="n"/>
      <c r="K145" s="8" t="n"/>
      <c r="L145" s="8" t="n"/>
      <c r="M145" s="8" t="n"/>
      <c r="N145" s="8" t="n"/>
      <c r="O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123" t="n"/>
      <c r="J146" s="8" t="n"/>
      <c r="K146" s="8" t="n"/>
      <c r="L146" s="8" t="n"/>
      <c r="M146" s="8" t="n"/>
      <c r="N146" s="8" t="n"/>
      <c r="O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123" t="n"/>
      <c r="J147" s="8" t="n"/>
      <c r="K147" s="8" t="n"/>
      <c r="L147" s="8" t="n"/>
      <c r="M147" s="8" t="n"/>
      <c r="N147" s="8" t="n"/>
      <c r="O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123" t="n"/>
      <c r="J148" s="8" t="n"/>
      <c r="K148" s="8" t="n"/>
      <c r="L148" s="8" t="n"/>
      <c r="M148" s="8" t="n"/>
      <c r="N148" s="8" t="n"/>
      <c r="O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123" t="n"/>
      <c r="J149" s="8" t="n"/>
      <c r="K149" s="8" t="n"/>
      <c r="L149" s="8" t="n"/>
      <c r="M149" s="8" t="n"/>
      <c r="N149" s="8" t="n"/>
      <c r="O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123" t="n"/>
      <c r="J150" s="8" t="n"/>
      <c r="K150" s="8" t="n"/>
      <c r="L150" s="8" t="n"/>
      <c r="M150" s="8" t="n"/>
      <c r="N150" s="8" t="n"/>
      <c r="O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123" t="n"/>
      <c r="J151" s="8" t="n"/>
      <c r="K151" s="8" t="n"/>
      <c r="L151" s="8" t="n"/>
      <c r="M151" s="8" t="n"/>
      <c r="N151" s="8" t="n"/>
      <c r="O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123" t="n"/>
      <c r="J152" s="8" t="n"/>
      <c r="K152" s="8" t="n"/>
      <c r="L152" s="8" t="n"/>
      <c r="M152" s="8" t="n"/>
      <c r="N152" s="8" t="n"/>
      <c r="O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123" t="n"/>
      <c r="J153" s="8" t="n"/>
      <c r="K153" s="8" t="n"/>
      <c r="L153" s="8" t="n"/>
      <c r="M153" s="8" t="n"/>
      <c r="N153" s="8" t="n"/>
      <c r="O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123" t="n"/>
      <c r="J154" s="8" t="n"/>
      <c r="K154" s="8" t="n"/>
      <c r="L154" s="8" t="n"/>
      <c r="M154" s="8" t="n"/>
      <c r="N154" s="8" t="n"/>
      <c r="O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123" t="n"/>
      <c r="J155" s="8" t="n"/>
      <c r="K155" s="8" t="n"/>
      <c r="L155" s="8" t="n"/>
      <c r="M155" s="8" t="n"/>
      <c r="N155" s="8" t="n"/>
      <c r="O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123" t="n"/>
      <c r="J156" s="8" t="n"/>
      <c r="K156" s="8" t="n"/>
      <c r="L156" s="8" t="n"/>
      <c r="M156" s="8" t="n"/>
      <c r="N156" s="8" t="n"/>
      <c r="O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123" t="n"/>
      <c r="J157" s="8" t="n"/>
      <c r="K157" s="8" t="n"/>
      <c r="L157" s="8" t="n"/>
      <c r="M157" s="8" t="n"/>
      <c r="N157" s="8" t="n"/>
      <c r="O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123" t="n"/>
      <c r="J158" s="8" t="n"/>
      <c r="K158" s="8" t="n"/>
      <c r="L158" s="8" t="n"/>
      <c r="M158" s="8" t="n"/>
      <c r="N158" s="8" t="n"/>
      <c r="O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123" t="n"/>
      <c r="J159" s="8" t="n"/>
      <c r="K159" s="8" t="n"/>
      <c r="L159" s="8" t="n"/>
      <c r="M159" s="8" t="n"/>
      <c r="N159" s="8" t="n"/>
      <c r="O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123" t="n"/>
      <c r="J160" s="8" t="n"/>
      <c r="K160" s="8" t="n"/>
      <c r="L160" s="8" t="n"/>
      <c r="M160" s="8" t="n"/>
      <c r="N160" s="8" t="n"/>
      <c r="O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123" t="n"/>
      <c r="J161" s="8" t="n"/>
      <c r="K161" s="8" t="n"/>
      <c r="L161" s="8" t="n"/>
      <c r="M161" s="8" t="n"/>
      <c r="N161" s="8" t="n"/>
      <c r="O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123" t="n"/>
      <c r="J162" s="8" t="n"/>
      <c r="K162" s="8" t="n"/>
      <c r="L162" s="8" t="n"/>
      <c r="M162" s="8" t="n"/>
      <c r="N162" s="8" t="n"/>
      <c r="O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123" t="n"/>
      <c r="J163" s="8" t="n"/>
      <c r="K163" s="8" t="n"/>
      <c r="L163" s="8" t="n"/>
      <c r="M163" s="8" t="n"/>
      <c r="N163" s="8" t="n"/>
      <c r="O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123" t="n"/>
      <c r="J164" s="8" t="n"/>
      <c r="K164" s="8" t="n"/>
      <c r="L164" s="8" t="n"/>
      <c r="M164" s="8" t="n"/>
      <c r="N164" s="8" t="n"/>
      <c r="O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123" t="n"/>
      <c r="J165" s="8" t="n"/>
      <c r="K165" s="8" t="n"/>
      <c r="L165" s="8" t="n"/>
      <c r="M165" s="8" t="n"/>
      <c r="N165" s="8" t="n"/>
      <c r="O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123" t="n"/>
      <c r="J166" s="8" t="n"/>
      <c r="K166" s="8" t="n"/>
      <c r="L166" s="8" t="n"/>
      <c r="M166" s="8" t="n"/>
      <c r="N166" s="8" t="n"/>
      <c r="O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123" t="n"/>
      <c r="J167" s="8" t="n"/>
      <c r="K167" s="8" t="n"/>
      <c r="L167" s="8" t="n"/>
      <c r="M167" s="8" t="n"/>
      <c r="N167" s="8" t="n"/>
      <c r="O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123" t="n"/>
      <c r="J168" s="8" t="n"/>
      <c r="K168" s="8" t="n"/>
      <c r="L168" s="8" t="n"/>
      <c r="M168" s="8" t="n"/>
      <c r="N168" s="8" t="n"/>
      <c r="O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123" t="n"/>
      <c r="J169" s="8" t="n"/>
      <c r="K169" s="8" t="n"/>
      <c r="L169" s="8" t="n"/>
      <c r="M169" s="8" t="n"/>
      <c r="N169" s="8" t="n"/>
      <c r="O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123" t="n"/>
      <c r="J170" s="8" t="n"/>
      <c r="K170" s="8" t="n"/>
      <c r="L170" s="8" t="n"/>
      <c r="M170" s="8" t="n"/>
      <c r="N170" s="8" t="n"/>
      <c r="O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123" t="n"/>
      <c r="J171" s="8" t="n"/>
      <c r="K171" s="8" t="n"/>
      <c r="L171" s="8" t="n"/>
      <c r="M171" s="8" t="n"/>
      <c r="N171" s="8" t="n"/>
      <c r="O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123" t="n"/>
      <c r="J172" s="8" t="n"/>
      <c r="K172" s="8" t="n"/>
      <c r="L172" s="8" t="n"/>
      <c r="M172" s="8" t="n"/>
      <c r="N172" s="8" t="n"/>
      <c r="O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123" t="n"/>
      <c r="J173" s="8" t="n"/>
      <c r="K173" s="8" t="n"/>
      <c r="L173" s="8" t="n"/>
      <c r="M173" s="8" t="n"/>
      <c r="N173" s="8" t="n"/>
      <c r="O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123" t="n"/>
      <c r="J174" s="8" t="n"/>
      <c r="K174" s="8" t="n"/>
      <c r="L174" s="8" t="n"/>
      <c r="M174" s="8" t="n"/>
      <c r="N174" s="8" t="n"/>
      <c r="O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123" t="n"/>
      <c r="J175" s="8" t="n"/>
      <c r="K175" s="8" t="n"/>
      <c r="L175" s="8" t="n"/>
      <c r="M175" s="8" t="n"/>
      <c r="N175" s="8" t="n"/>
      <c r="O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123" t="n"/>
      <c r="J176" s="8" t="n"/>
      <c r="K176" s="8" t="n"/>
      <c r="L176" s="8" t="n"/>
      <c r="M176" s="8" t="n"/>
      <c r="N176" s="8" t="n"/>
      <c r="O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123" t="n"/>
      <c r="J177" s="8" t="n"/>
      <c r="K177" s="8" t="n"/>
      <c r="L177" s="8" t="n"/>
      <c r="M177" s="8" t="n"/>
      <c r="N177" s="8" t="n"/>
      <c r="O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123" t="n"/>
      <c r="J178" s="8" t="n"/>
      <c r="K178" s="8" t="n"/>
      <c r="L178" s="8" t="n"/>
      <c r="M178" s="8" t="n"/>
      <c r="N178" s="8" t="n"/>
      <c r="O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123" t="n"/>
      <c r="J179" s="8" t="n"/>
      <c r="K179" s="8" t="n"/>
      <c r="L179" s="8" t="n"/>
      <c r="M179" s="8" t="n"/>
      <c r="N179" s="8" t="n"/>
      <c r="O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123" t="n"/>
      <c r="J180" s="8" t="n"/>
      <c r="K180" s="8" t="n"/>
      <c r="L180" s="8" t="n"/>
      <c r="M180" s="8" t="n"/>
      <c r="N180" s="8" t="n"/>
      <c r="O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123" t="n"/>
      <c r="J181" s="8" t="n"/>
      <c r="K181" s="8" t="n"/>
      <c r="L181" s="8" t="n"/>
      <c r="M181" s="8" t="n"/>
      <c r="N181" s="8" t="n"/>
      <c r="O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123" t="n"/>
      <c r="J182" s="8" t="n"/>
      <c r="K182" s="8" t="n"/>
      <c r="L182" s="8" t="n"/>
      <c r="M182" s="8" t="n"/>
      <c r="N182" s="8" t="n"/>
      <c r="O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123" t="n"/>
      <c r="J183" s="8" t="n"/>
      <c r="K183" s="8" t="n"/>
      <c r="L183" s="8" t="n"/>
      <c r="M183" s="8" t="n"/>
      <c r="N183" s="8" t="n"/>
      <c r="O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123" t="n"/>
      <c r="J184" s="8" t="n"/>
      <c r="K184" s="8" t="n"/>
      <c r="L184" s="8" t="n"/>
      <c r="M184" s="8" t="n"/>
      <c r="N184" s="8" t="n"/>
      <c r="O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123" t="n"/>
      <c r="J185" s="8" t="n"/>
      <c r="K185" s="8" t="n"/>
      <c r="L185" s="8" t="n"/>
      <c r="M185" s="8" t="n"/>
      <c r="N185" s="8" t="n"/>
      <c r="O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123" t="n"/>
      <c r="J186" s="8" t="n"/>
      <c r="K186" s="8" t="n"/>
      <c r="L186" s="8" t="n"/>
      <c r="M186" s="8" t="n"/>
      <c r="N186" s="8" t="n"/>
      <c r="O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123" t="n"/>
      <c r="J187" s="8" t="n"/>
      <c r="K187" s="8" t="n"/>
      <c r="L187" s="8" t="n"/>
      <c r="M187" s="8" t="n"/>
      <c r="N187" s="8" t="n"/>
      <c r="O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123" t="n"/>
      <c r="J188" s="8" t="n"/>
      <c r="K188" s="8" t="n"/>
      <c r="L188" s="8" t="n"/>
      <c r="M188" s="8" t="n"/>
      <c r="N188" s="8" t="n"/>
      <c r="O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123" t="n"/>
      <c r="J189" s="8" t="n"/>
      <c r="K189" s="8" t="n"/>
      <c r="L189" s="8" t="n"/>
      <c r="M189" s="8" t="n"/>
      <c r="N189" s="8" t="n"/>
      <c r="O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123" t="n"/>
      <c r="J190" s="8" t="n"/>
      <c r="K190" s="8" t="n"/>
      <c r="L190" s="8" t="n"/>
      <c r="M190" s="8" t="n"/>
      <c r="N190" s="8" t="n"/>
      <c r="O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123" t="n"/>
      <c r="J191" s="8" t="n"/>
      <c r="K191" s="8" t="n"/>
      <c r="L191" s="8" t="n"/>
      <c r="M191" s="8" t="n"/>
      <c r="N191" s="8" t="n"/>
      <c r="O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123" t="n"/>
      <c r="J192" s="8" t="n"/>
      <c r="K192" s="8" t="n"/>
      <c r="L192" s="8" t="n"/>
      <c r="M192" s="8" t="n"/>
      <c r="N192" s="8" t="n"/>
      <c r="O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123" t="n"/>
      <c r="J193" s="8" t="n"/>
      <c r="K193" s="8" t="n"/>
      <c r="L193" s="8" t="n"/>
      <c r="M193" s="8" t="n"/>
      <c r="N193" s="8" t="n"/>
      <c r="O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123" t="n"/>
      <c r="J194" s="8" t="n"/>
      <c r="K194" s="8" t="n"/>
      <c r="L194" s="8" t="n"/>
      <c r="M194" s="8" t="n"/>
      <c r="N194" s="8" t="n"/>
      <c r="O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123" t="n"/>
      <c r="J195" s="8" t="n"/>
      <c r="K195" s="8" t="n"/>
      <c r="L195" s="8" t="n"/>
      <c r="M195" s="8" t="n"/>
      <c r="N195" s="8" t="n"/>
      <c r="O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123" t="n"/>
      <c r="J196" s="8" t="n"/>
      <c r="K196" s="8" t="n"/>
      <c r="L196" s="8" t="n"/>
      <c r="M196" s="8" t="n"/>
      <c r="N196" s="8" t="n"/>
      <c r="O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123" t="n"/>
      <c r="J197" s="8" t="n"/>
      <c r="K197" s="8" t="n"/>
      <c r="L197" s="8" t="n"/>
      <c r="M197" s="8" t="n"/>
      <c r="N197" s="8" t="n"/>
      <c r="O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123" t="n"/>
      <c r="J198" s="8" t="n"/>
      <c r="K198" s="8" t="n"/>
      <c r="L198" s="8" t="n"/>
      <c r="M198" s="8" t="n"/>
      <c r="N198" s="8" t="n"/>
      <c r="O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123" t="n"/>
      <c r="J199" s="8" t="n"/>
      <c r="K199" s="8" t="n"/>
      <c r="L199" s="8" t="n"/>
      <c r="M199" s="8" t="n"/>
      <c r="N199" s="8" t="n"/>
      <c r="O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123" t="n"/>
      <c r="J200" s="8" t="n"/>
      <c r="K200" s="8" t="n"/>
      <c r="L200" s="8" t="n"/>
      <c r="M200" s="8" t="n"/>
      <c r="N200" s="8" t="n"/>
      <c r="O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123" t="n"/>
      <c r="J201" s="8" t="n"/>
      <c r="K201" s="8" t="n"/>
      <c r="L201" s="8" t="n"/>
      <c r="M201" s="8" t="n"/>
      <c r="N201" s="8" t="n"/>
      <c r="O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123" t="n"/>
      <c r="J202" s="8" t="n"/>
      <c r="K202" s="8" t="n"/>
      <c r="L202" s="8" t="n"/>
      <c r="M202" s="8" t="n"/>
      <c r="N202" s="8" t="n"/>
      <c r="O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123" t="n"/>
      <c r="J203" s="8" t="n"/>
      <c r="K203" s="8" t="n"/>
      <c r="L203" s="8" t="n"/>
      <c r="M203" s="8" t="n"/>
      <c r="N203" s="8" t="n"/>
      <c r="O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123" t="n"/>
      <c r="J204" s="8" t="n"/>
      <c r="K204" s="8" t="n"/>
      <c r="L204" s="8" t="n"/>
      <c r="M204" s="8" t="n"/>
      <c r="N204" s="8" t="n"/>
      <c r="O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123" t="n"/>
      <c r="J205" s="8" t="n"/>
      <c r="K205" s="8" t="n"/>
      <c r="L205" s="8" t="n"/>
      <c r="M205" s="8" t="n"/>
      <c r="N205" s="8" t="n"/>
      <c r="O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123" t="n"/>
      <c r="J206" s="8" t="n"/>
      <c r="K206" s="8" t="n"/>
      <c r="L206" s="8" t="n"/>
      <c r="M206" s="8" t="n"/>
      <c r="N206" s="8" t="n"/>
      <c r="O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123" t="n"/>
      <c r="J207" s="8" t="n"/>
      <c r="K207" s="8" t="n"/>
      <c r="L207" s="8" t="n"/>
      <c r="M207" s="8" t="n"/>
      <c r="N207" s="8" t="n"/>
      <c r="O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123" t="n"/>
      <c r="J208" s="8" t="n"/>
      <c r="K208" s="8" t="n"/>
      <c r="L208" s="8" t="n"/>
      <c r="M208" s="8" t="n"/>
      <c r="N208" s="8" t="n"/>
      <c r="O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123" t="n"/>
      <c r="J209" s="8" t="n"/>
      <c r="K209" s="8" t="n"/>
      <c r="L209" s="8" t="n"/>
      <c r="M209" s="8" t="n"/>
      <c r="N209" s="8" t="n"/>
      <c r="O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123" t="n"/>
      <c r="J210" s="8" t="n"/>
      <c r="K210" s="8" t="n"/>
      <c r="L210" s="8" t="n"/>
      <c r="M210" s="8" t="n"/>
      <c r="N210" s="8" t="n"/>
      <c r="O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123" t="n"/>
      <c r="J211" s="8" t="n"/>
      <c r="K211" s="8" t="n"/>
      <c r="L211" s="8" t="n"/>
      <c r="M211" s="8" t="n"/>
      <c r="N211" s="8" t="n"/>
      <c r="O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123" t="n"/>
      <c r="J212" s="8" t="n"/>
      <c r="K212" s="8" t="n"/>
      <c r="L212" s="8" t="n"/>
      <c r="M212" s="8" t="n"/>
      <c r="N212" s="8" t="n"/>
      <c r="O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123" t="n"/>
      <c r="J213" s="8" t="n"/>
      <c r="K213" s="8" t="n"/>
      <c r="L213" s="8" t="n"/>
      <c r="M213" s="8" t="n"/>
      <c r="N213" s="8" t="n"/>
      <c r="O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123" t="n"/>
      <c r="J214" s="8" t="n"/>
      <c r="K214" s="8" t="n"/>
      <c r="L214" s="8" t="n"/>
      <c r="M214" s="8" t="n"/>
      <c r="N214" s="8" t="n"/>
      <c r="O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123" t="n"/>
      <c r="J215" s="8" t="n"/>
      <c r="K215" s="8" t="n"/>
      <c r="L215" s="8" t="n"/>
      <c r="M215" s="8" t="n"/>
      <c r="N215" s="8" t="n"/>
      <c r="O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123" t="n"/>
      <c r="J216" s="8" t="n"/>
      <c r="K216" s="8" t="n"/>
      <c r="L216" s="8" t="n"/>
      <c r="M216" s="8" t="n"/>
      <c r="N216" s="8" t="n"/>
      <c r="O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123" t="n"/>
      <c r="J217" s="8" t="n"/>
      <c r="K217" s="8" t="n"/>
      <c r="L217" s="8" t="n"/>
      <c r="M217" s="8" t="n"/>
      <c r="N217" s="8" t="n"/>
      <c r="O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123" t="n"/>
      <c r="J218" s="8" t="n"/>
      <c r="K218" s="8" t="n"/>
      <c r="L218" s="8" t="n"/>
      <c r="M218" s="8" t="n"/>
      <c r="N218" s="8" t="n"/>
      <c r="O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123" t="n"/>
      <c r="J219" s="8" t="n"/>
      <c r="K219" s="8" t="n"/>
      <c r="L219" s="8" t="n"/>
      <c r="M219" s="8" t="n"/>
      <c r="N219" s="8" t="n"/>
      <c r="O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123" t="n"/>
      <c r="J220" s="8" t="n"/>
      <c r="K220" s="8" t="n"/>
      <c r="L220" s="8" t="n"/>
      <c r="M220" s="8" t="n"/>
      <c r="N220" s="8" t="n"/>
      <c r="O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123" t="n"/>
      <c r="J221" s="8" t="n"/>
      <c r="K221" s="8" t="n"/>
      <c r="L221" s="8" t="n"/>
      <c r="M221" s="8" t="n"/>
      <c r="N221" s="8" t="n"/>
      <c r="O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123" t="n"/>
      <c r="J222" s="8" t="n"/>
      <c r="K222" s="8" t="n"/>
      <c r="L222" s="8" t="n"/>
      <c r="M222" s="8" t="n"/>
      <c r="N222" s="8" t="n"/>
      <c r="O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123" t="n"/>
      <c r="J223" s="8" t="n"/>
      <c r="K223" s="8" t="n"/>
      <c r="L223" s="8" t="n"/>
      <c r="M223" s="8" t="n"/>
      <c r="N223" s="8" t="n"/>
      <c r="O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123" t="n"/>
      <c r="J224" s="8" t="n"/>
      <c r="K224" s="8" t="n"/>
      <c r="L224" s="8" t="n"/>
      <c r="M224" s="8" t="n"/>
      <c r="N224" s="8" t="n"/>
      <c r="O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123" t="n"/>
      <c r="J225" s="8" t="n"/>
      <c r="K225" s="8" t="n"/>
      <c r="L225" s="8" t="n"/>
      <c r="M225" s="8" t="n"/>
      <c r="N225" s="8" t="n"/>
      <c r="O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123" t="n"/>
      <c r="J226" s="8" t="n"/>
      <c r="K226" s="8" t="n"/>
      <c r="L226" s="8" t="n"/>
      <c r="M226" s="8" t="n"/>
      <c r="N226" s="8" t="n"/>
      <c r="O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123" t="n"/>
      <c r="J227" s="8" t="n"/>
      <c r="K227" s="8" t="n"/>
      <c r="L227" s="8" t="n"/>
      <c r="M227" s="8" t="n"/>
      <c r="N227" s="8" t="n"/>
      <c r="O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123" t="n"/>
      <c r="J228" s="8" t="n"/>
      <c r="K228" s="8" t="n"/>
      <c r="L228" s="8" t="n"/>
      <c r="M228" s="8" t="n"/>
      <c r="N228" s="8" t="n"/>
      <c r="O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123" t="n"/>
      <c r="J229" s="8" t="n"/>
      <c r="K229" s="8" t="n"/>
      <c r="L229" s="8" t="n"/>
      <c r="M229" s="8" t="n"/>
      <c r="N229" s="8" t="n"/>
      <c r="O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123" t="n"/>
      <c r="J230" s="8" t="n"/>
      <c r="K230" s="8" t="n"/>
      <c r="L230" s="8" t="n"/>
      <c r="M230" s="8" t="n"/>
      <c r="N230" s="8" t="n"/>
      <c r="O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123" t="n"/>
      <c r="J231" s="8" t="n"/>
      <c r="K231" s="8" t="n"/>
      <c r="L231" s="8" t="n"/>
      <c r="M231" s="8" t="n"/>
      <c r="N231" s="8" t="n"/>
      <c r="O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123" t="n"/>
      <c r="J232" s="8" t="n"/>
      <c r="K232" s="8" t="n"/>
      <c r="L232" s="8" t="n"/>
      <c r="M232" s="8" t="n"/>
      <c r="N232" s="8" t="n"/>
      <c r="O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123" t="n"/>
      <c r="J233" s="8" t="n"/>
      <c r="K233" s="8" t="n"/>
      <c r="L233" s="8" t="n"/>
      <c r="M233" s="8" t="n"/>
      <c r="N233" s="8" t="n"/>
      <c r="O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123" t="n"/>
      <c r="J234" s="8" t="n"/>
      <c r="K234" s="8" t="n"/>
      <c r="L234" s="8" t="n"/>
      <c r="M234" s="8" t="n"/>
      <c r="N234" s="8" t="n"/>
      <c r="O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123" t="n"/>
      <c r="J235" s="8" t="n"/>
      <c r="K235" s="8" t="n"/>
      <c r="L235" s="8" t="n"/>
      <c r="M235" s="8" t="n"/>
      <c r="N235" s="8" t="n"/>
      <c r="O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123" t="n"/>
      <c r="J236" s="8" t="n"/>
      <c r="K236" s="8" t="n"/>
      <c r="L236" s="8" t="n"/>
      <c r="M236" s="8" t="n"/>
      <c r="N236" s="8" t="n"/>
      <c r="O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123" t="n"/>
      <c r="J237" s="8" t="n"/>
      <c r="K237" s="8" t="n"/>
      <c r="L237" s="8" t="n"/>
      <c r="M237" s="8" t="n"/>
      <c r="N237" s="8" t="n"/>
      <c r="O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123" t="n"/>
      <c r="J238" s="8" t="n"/>
      <c r="K238" s="8" t="n"/>
      <c r="L238" s="8" t="n"/>
      <c r="M238" s="8" t="n"/>
      <c r="N238" s="8" t="n"/>
      <c r="O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123" t="n"/>
      <c r="J239" s="8" t="n"/>
      <c r="K239" s="8" t="n"/>
      <c r="L239" s="8" t="n"/>
      <c r="M239" s="8" t="n"/>
      <c r="N239" s="8" t="n"/>
      <c r="O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123" t="n"/>
      <c r="J240" s="8" t="n"/>
      <c r="K240" s="8" t="n"/>
      <c r="L240" s="8" t="n"/>
      <c r="M240" s="8" t="n"/>
      <c r="N240" s="8" t="n"/>
      <c r="O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123" t="n"/>
      <c r="J241" s="8" t="n"/>
      <c r="K241" s="8" t="n"/>
      <c r="L241" s="8" t="n"/>
      <c r="M241" s="8" t="n"/>
      <c r="N241" s="8" t="n"/>
      <c r="O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123" t="n"/>
      <c r="J242" s="8" t="n"/>
      <c r="K242" s="8" t="n"/>
      <c r="L242" s="8" t="n"/>
      <c r="M242" s="8" t="n"/>
      <c r="N242" s="8" t="n"/>
      <c r="O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123" t="n"/>
      <c r="J243" s="8" t="n"/>
      <c r="K243" s="8" t="n"/>
      <c r="L243" s="8" t="n"/>
      <c r="M243" s="8" t="n"/>
      <c r="N243" s="8" t="n"/>
      <c r="O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123" t="n"/>
      <c r="J244" s="8" t="n"/>
      <c r="K244" s="8" t="n"/>
      <c r="L244" s="8" t="n"/>
      <c r="M244" s="8" t="n"/>
      <c r="N244" s="8" t="n"/>
      <c r="O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123" t="n"/>
      <c r="J245" s="8" t="n"/>
      <c r="K245" s="8" t="n"/>
      <c r="L245" s="8" t="n"/>
      <c r="M245" s="8" t="n"/>
      <c r="N245" s="8" t="n"/>
      <c r="O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123" t="n"/>
      <c r="J246" s="8" t="n"/>
      <c r="K246" s="8" t="n"/>
      <c r="L246" s="8" t="n"/>
      <c r="M246" s="8" t="n"/>
      <c r="N246" s="8" t="n"/>
      <c r="O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123" t="n"/>
      <c r="J247" s="8" t="n"/>
      <c r="K247" s="8" t="n"/>
      <c r="L247" s="8" t="n"/>
      <c r="M247" s="8" t="n"/>
      <c r="N247" s="8" t="n"/>
      <c r="O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123" t="n"/>
      <c r="J248" s="8" t="n"/>
      <c r="K248" s="8" t="n"/>
      <c r="L248" s="8" t="n"/>
      <c r="M248" s="8" t="n"/>
      <c r="N248" s="8" t="n"/>
      <c r="O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123" t="n"/>
      <c r="J249" s="8" t="n"/>
      <c r="K249" s="8" t="n"/>
      <c r="L249" s="8" t="n"/>
      <c r="M249" s="8" t="n"/>
      <c r="N249" s="8" t="n"/>
      <c r="O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123" t="n"/>
      <c r="J250" s="8" t="n"/>
      <c r="K250" s="8" t="n"/>
      <c r="L250" s="8" t="n"/>
      <c r="M250" s="8" t="n"/>
      <c r="N250" s="8" t="n"/>
      <c r="O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123" t="n"/>
      <c r="J251" s="8" t="n"/>
      <c r="K251" s="8" t="n"/>
      <c r="L251" s="8" t="n"/>
      <c r="M251" s="8" t="n"/>
      <c r="N251" s="8" t="n"/>
      <c r="O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123" t="n"/>
      <c r="J252" s="8" t="n"/>
      <c r="K252" s="8" t="n"/>
      <c r="L252" s="8" t="n"/>
      <c r="M252" s="8" t="n"/>
      <c r="N252" s="8" t="n"/>
      <c r="O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123" t="n"/>
      <c r="J253" s="8" t="n"/>
      <c r="K253" s="8" t="n"/>
      <c r="L253" s="8" t="n"/>
      <c r="M253" s="8" t="n"/>
      <c r="N253" s="8" t="n"/>
      <c r="O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123" t="n"/>
      <c r="J254" s="8" t="n"/>
      <c r="K254" s="8" t="n"/>
      <c r="L254" s="8" t="n"/>
      <c r="M254" s="8" t="n"/>
      <c r="N254" s="8" t="n"/>
      <c r="O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123" t="n"/>
      <c r="J255" s="8" t="n"/>
      <c r="K255" s="8" t="n"/>
      <c r="L255" s="8" t="n"/>
      <c r="M255" s="8" t="n"/>
      <c r="N255" s="8" t="n"/>
      <c r="O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123" t="n"/>
      <c r="J256" s="8" t="n"/>
      <c r="K256" s="8" t="n"/>
      <c r="L256" s="8" t="n"/>
      <c r="M256" s="8" t="n"/>
      <c r="N256" s="8" t="n"/>
      <c r="O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123" t="n"/>
      <c r="J257" s="8" t="n"/>
      <c r="K257" s="8" t="n"/>
      <c r="L257" s="8" t="n"/>
      <c r="M257" s="8" t="n"/>
      <c r="N257" s="8" t="n"/>
      <c r="O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123" t="n"/>
      <c r="J258" s="8" t="n"/>
      <c r="K258" s="8" t="n"/>
      <c r="L258" s="8" t="n"/>
      <c r="M258" s="8" t="n"/>
      <c r="N258" s="8" t="n"/>
      <c r="O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123" t="n"/>
      <c r="J259" s="8" t="n"/>
      <c r="K259" s="8" t="n"/>
      <c r="L259" s="8" t="n"/>
      <c r="M259" s="8" t="n"/>
      <c r="N259" s="8" t="n"/>
      <c r="O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123" t="n"/>
      <c r="J260" s="8" t="n"/>
      <c r="K260" s="8" t="n"/>
      <c r="L260" s="8" t="n"/>
      <c r="M260" s="8" t="n"/>
      <c r="N260" s="8" t="n"/>
      <c r="O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123" t="n"/>
      <c r="J261" s="8" t="n"/>
      <c r="K261" s="8" t="n"/>
      <c r="L261" s="8" t="n"/>
      <c r="M261" s="8" t="n"/>
      <c r="N261" s="8" t="n"/>
      <c r="O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123" t="n"/>
      <c r="J262" s="8" t="n"/>
      <c r="K262" s="8" t="n"/>
      <c r="L262" s="8" t="n"/>
      <c r="M262" s="8" t="n"/>
      <c r="N262" s="8" t="n"/>
      <c r="O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123" t="n"/>
      <c r="J263" s="8" t="n"/>
      <c r="K263" s="8" t="n"/>
      <c r="L263" s="8" t="n"/>
      <c r="M263" s="8" t="n"/>
      <c r="N263" s="8" t="n"/>
      <c r="O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123" t="n"/>
      <c r="J264" s="8" t="n"/>
      <c r="K264" s="8" t="n"/>
      <c r="L264" s="8" t="n"/>
      <c r="M264" s="8" t="n"/>
      <c r="N264" s="8" t="n"/>
      <c r="O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123" t="n"/>
      <c r="J265" s="8" t="n"/>
      <c r="K265" s="8" t="n"/>
      <c r="L265" s="8" t="n"/>
      <c r="M265" s="8" t="n"/>
      <c r="N265" s="8" t="n"/>
      <c r="O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123" t="n"/>
      <c r="J266" s="8" t="n"/>
      <c r="K266" s="8" t="n"/>
      <c r="L266" s="8" t="n"/>
      <c r="M266" s="8" t="n"/>
      <c r="N266" s="8" t="n"/>
      <c r="O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123" t="n"/>
      <c r="J267" s="8" t="n"/>
      <c r="K267" s="8" t="n"/>
      <c r="L267" s="8" t="n"/>
      <c r="M267" s="8" t="n"/>
      <c r="N267" s="8" t="n"/>
      <c r="O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123" t="n"/>
      <c r="J268" s="8" t="n"/>
      <c r="K268" s="8" t="n"/>
      <c r="L268" s="8" t="n"/>
      <c r="M268" s="8" t="n"/>
      <c r="N268" s="8" t="n"/>
      <c r="O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123" t="n"/>
      <c r="J269" s="8" t="n"/>
      <c r="K269" s="8" t="n"/>
      <c r="L269" s="8" t="n"/>
      <c r="M269" s="8" t="n"/>
      <c r="N269" s="8" t="n"/>
      <c r="O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123" t="n"/>
      <c r="J270" s="8" t="n"/>
      <c r="K270" s="8" t="n"/>
      <c r="L270" s="8" t="n"/>
      <c r="M270" s="8" t="n"/>
      <c r="N270" s="8" t="n"/>
      <c r="O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123" t="n"/>
      <c r="J271" s="8" t="n"/>
      <c r="K271" s="8" t="n"/>
      <c r="L271" s="8" t="n"/>
      <c r="M271" s="8" t="n"/>
      <c r="N271" s="8" t="n"/>
      <c r="O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123" t="n"/>
      <c r="J272" s="8" t="n"/>
      <c r="K272" s="8" t="n"/>
      <c r="L272" s="8" t="n"/>
      <c r="M272" s="8" t="n"/>
      <c r="N272" s="8" t="n"/>
      <c r="O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123" t="n"/>
      <c r="J273" s="8" t="n"/>
      <c r="K273" s="8" t="n"/>
      <c r="L273" s="8" t="n"/>
      <c r="M273" s="8" t="n"/>
      <c r="N273" s="8" t="n"/>
      <c r="O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123" t="n"/>
      <c r="J274" s="8" t="n"/>
      <c r="K274" s="8" t="n"/>
      <c r="L274" s="8" t="n"/>
      <c r="M274" s="8" t="n"/>
      <c r="N274" s="8" t="n"/>
      <c r="O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123" t="n"/>
      <c r="J275" s="8" t="n"/>
      <c r="K275" s="8" t="n"/>
      <c r="L275" s="8" t="n"/>
      <c r="M275" s="8" t="n"/>
      <c r="N275" s="8" t="n"/>
      <c r="O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123" t="n"/>
      <c r="J276" s="8" t="n"/>
      <c r="K276" s="8" t="n"/>
      <c r="L276" s="8" t="n"/>
      <c r="M276" s="8" t="n"/>
      <c r="N276" s="8" t="n"/>
      <c r="O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123" t="n"/>
      <c r="J277" s="8" t="n"/>
      <c r="K277" s="8" t="n"/>
      <c r="L277" s="8" t="n"/>
      <c r="M277" s="8" t="n"/>
      <c r="N277" s="8" t="n"/>
      <c r="O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123" t="n"/>
      <c r="J278" s="8" t="n"/>
      <c r="K278" s="8" t="n"/>
      <c r="L278" s="8" t="n"/>
      <c r="M278" s="8" t="n"/>
      <c r="N278" s="8" t="n"/>
      <c r="O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123" t="n"/>
      <c r="J279" s="8" t="n"/>
      <c r="K279" s="8" t="n"/>
      <c r="L279" s="8" t="n"/>
      <c r="M279" s="8" t="n"/>
      <c r="N279" s="8" t="n"/>
      <c r="O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123" t="n"/>
      <c r="J280" s="8" t="n"/>
      <c r="K280" s="8" t="n"/>
      <c r="L280" s="8" t="n"/>
      <c r="M280" s="8" t="n"/>
      <c r="N280" s="8" t="n"/>
      <c r="O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123" t="n"/>
      <c r="J281" s="8" t="n"/>
      <c r="K281" s="8" t="n"/>
      <c r="L281" s="8" t="n"/>
      <c r="M281" s="8" t="n"/>
      <c r="N281" s="8" t="n"/>
      <c r="O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123" t="n"/>
      <c r="J282" s="8" t="n"/>
      <c r="K282" s="8" t="n"/>
      <c r="L282" s="8" t="n"/>
      <c r="M282" s="8" t="n"/>
      <c r="N282" s="8" t="n"/>
      <c r="O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123" t="n"/>
      <c r="J283" s="8" t="n"/>
      <c r="K283" s="8" t="n"/>
      <c r="L283" s="8" t="n"/>
      <c r="M283" s="8" t="n"/>
      <c r="N283" s="8" t="n"/>
      <c r="O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123" t="n"/>
      <c r="J284" s="8" t="n"/>
      <c r="K284" s="8" t="n"/>
      <c r="L284" s="8" t="n"/>
      <c r="M284" s="8" t="n"/>
      <c r="N284" s="8" t="n"/>
      <c r="O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123" t="n"/>
      <c r="J285" s="8" t="n"/>
      <c r="K285" s="8" t="n"/>
      <c r="L285" s="8" t="n"/>
      <c r="M285" s="8" t="n"/>
      <c r="N285" s="8" t="n"/>
      <c r="O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123" t="n"/>
      <c r="J286" s="8" t="n"/>
      <c r="K286" s="8" t="n"/>
      <c r="L286" s="8" t="n"/>
      <c r="M286" s="8" t="n"/>
      <c r="N286" s="8" t="n"/>
      <c r="O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123" t="n"/>
      <c r="J287" s="8" t="n"/>
      <c r="K287" s="8" t="n"/>
      <c r="L287" s="8" t="n"/>
      <c r="M287" s="8" t="n"/>
      <c r="N287" s="8" t="n"/>
      <c r="O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123" t="n"/>
      <c r="J288" s="8" t="n"/>
      <c r="K288" s="8" t="n"/>
      <c r="L288" s="8" t="n"/>
      <c r="M288" s="8" t="n"/>
      <c r="N288" s="8" t="n"/>
      <c r="O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123" t="n"/>
      <c r="J289" s="8" t="n"/>
      <c r="K289" s="8" t="n"/>
      <c r="L289" s="8" t="n"/>
      <c r="M289" s="8" t="n"/>
      <c r="N289" s="8" t="n"/>
      <c r="O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123" t="n"/>
      <c r="J290" s="8" t="n"/>
      <c r="K290" s="8" t="n"/>
      <c r="L290" s="8" t="n"/>
      <c r="M290" s="8" t="n"/>
      <c r="N290" s="8" t="n"/>
      <c r="O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123" t="n"/>
      <c r="J291" s="8" t="n"/>
      <c r="K291" s="8" t="n"/>
      <c r="L291" s="8" t="n"/>
      <c r="M291" s="8" t="n"/>
      <c r="N291" s="8" t="n"/>
      <c r="O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123" t="n"/>
      <c r="J292" s="8" t="n"/>
      <c r="K292" s="8" t="n"/>
      <c r="L292" s="8" t="n"/>
      <c r="M292" s="8" t="n"/>
      <c r="N292" s="8" t="n"/>
      <c r="O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123" t="n"/>
      <c r="J293" s="8" t="n"/>
      <c r="K293" s="8" t="n"/>
      <c r="L293" s="8" t="n"/>
      <c r="M293" s="8" t="n"/>
      <c r="N293" s="8" t="n"/>
      <c r="O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123" t="n"/>
      <c r="J294" s="8" t="n"/>
      <c r="K294" s="8" t="n"/>
      <c r="L294" s="8" t="n"/>
      <c r="M294" s="8" t="n"/>
      <c r="N294" s="8" t="n"/>
      <c r="O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123" t="n"/>
      <c r="J295" s="8" t="n"/>
      <c r="K295" s="8" t="n"/>
      <c r="L295" s="8" t="n"/>
      <c r="M295" s="8" t="n"/>
      <c r="N295" s="8" t="n"/>
      <c r="O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123" t="n"/>
      <c r="J296" s="8" t="n"/>
      <c r="K296" s="8" t="n"/>
      <c r="L296" s="8" t="n"/>
      <c r="M296" s="8" t="n"/>
      <c r="N296" s="8" t="n"/>
      <c r="O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123" t="n"/>
      <c r="J297" s="8" t="n"/>
      <c r="K297" s="8" t="n"/>
      <c r="L297" s="8" t="n"/>
      <c r="M297" s="8" t="n"/>
      <c r="N297" s="8" t="n"/>
      <c r="O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123" t="n"/>
      <c r="J298" s="8" t="n"/>
      <c r="K298" s="8" t="n"/>
      <c r="L298" s="8" t="n"/>
      <c r="M298" s="8" t="n"/>
      <c r="N298" s="8" t="n"/>
      <c r="O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123" t="n"/>
      <c r="J299" s="8" t="n"/>
      <c r="K299" s="8" t="n"/>
      <c r="L299" s="8" t="n"/>
      <c r="M299" s="8" t="n"/>
      <c r="N299" s="8" t="n"/>
      <c r="O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123" t="n"/>
      <c r="J300" s="8" t="n"/>
      <c r="K300" s="8" t="n"/>
      <c r="L300" s="8" t="n"/>
      <c r="M300" s="8" t="n"/>
      <c r="N300" s="8" t="n"/>
      <c r="O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123" t="n"/>
      <c r="J301" s="8" t="n"/>
      <c r="K301" s="8" t="n"/>
      <c r="L301" s="8" t="n"/>
      <c r="M301" s="8" t="n"/>
      <c r="N301" s="8" t="n"/>
      <c r="O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123" t="n"/>
      <c r="J302" s="8" t="n"/>
      <c r="K302" s="8" t="n"/>
      <c r="L302" s="8" t="n"/>
      <c r="M302" s="8" t="n"/>
      <c r="N302" s="8" t="n"/>
      <c r="O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123" t="n"/>
      <c r="J303" s="8" t="n"/>
      <c r="K303" s="8" t="n"/>
      <c r="L303" s="8" t="n"/>
      <c r="M303" s="8" t="n"/>
      <c r="N303" s="8" t="n"/>
      <c r="O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123" t="n"/>
      <c r="J304" s="8" t="n"/>
      <c r="K304" s="8" t="n"/>
      <c r="L304" s="8" t="n"/>
      <c r="M304" s="8" t="n"/>
      <c r="N304" s="8" t="n"/>
      <c r="O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123" t="n"/>
      <c r="J305" s="8" t="n"/>
      <c r="K305" s="8" t="n"/>
      <c r="L305" s="8" t="n"/>
      <c r="M305" s="8" t="n"/>
      <c r="N305" s="8" t="n"/>
      <c r="O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123" t="n"/>
      <c r="J306" s="8" t="n"/>
      <c r="K306" s="8" t="n"/>
      <c r="L306" s="8" t="n"/>
      <c r="M306" s="8" t="n"/>
      <c r="N306" s="8" t="n"/>
      <c r="O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123" t="n"/>
      <c r="J307" s="8" t="n"/>
      <c r="K307" s="8" t="n"/>
      <c r="L307" s="8" t="n"/>
      <c r="M307" s="8" t="n"/>
      <c r="N307" s="8" t="n"/>
      <c r="O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123" t="n"/>
      <c r="J308" s="8" t="n"/>
      <c r="K308" s="8" t="n"/>
      <c r="L308" s="8" t="n"/>
      <c r="M308" s="8" t="n"/>
      <c r="N308" s="8" t="n"/>
      <c r="O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123" t="n"/>
      <c r="J309" s="8" t="n"/>
      <c r="K309" s="8" t="n"/>
      <c r="L309" s="8" t="n"/>
      <c r="M309" s="8" t="n"/>
      <c r="N309" s="8" t="n"/>
      <c r="O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123" t="n"/>
      <c r="J310" s="8" t="n"/>
      <c r="K310" s="8" t="n"/>
      <c r="L310" s="8" t="n"/>
      <c r="M310" s="8" t="n"/>
      <c r="N310" s="8" t="n"/>
      <c r="O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123" t="n"/>
      <c r="J311" s="8" t="n"/>
      <c r="K311" s="8" t="n"/>
      <c r="L311" s="8" t="n"/>
      <c r="M311" s="8" t="n"/>
      <c r="N311" s="8" t="n"/>
      <c r="O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123" t="n"/>
      <c r="J312" s="8" t="n"/>
      <c r="K312" s="8" t="n"/>
      <c r="L312" s="8" t="n"/>
      <c r="M312" s="8" t="n"/>
      <c r="N312" s="8" t="n"/>
      <c r="O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123" t="n"/>
      <c r="J313" s="8" t="n"/>
      <c r="K313" s="8" t="n"/>
      <c r="L313" s="8" t="n"/>
      <c r="M313" s="8" t="n"/>
      <c r="N313" s="8" t="n"/>
      <c r="O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123" t="n"/>
      <c r="J314" s="8" t="n"/>
      <c r="K314" s="8" t="n"/>
      <c r="L314" s="8" t="n"/>
      <c r="M314" s="8" t="n"/>
      <c r="N314" s="8" t="n"/>
      <c r="O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123" t="n"/>
      <c r="J315" s="8" t="n"/>
      <c r="K315" s="8" t="n"/>
      <c r="L315" s="8" t="n"/>
      <c r="M315" s="8" t="n"/>
      <c r="N315" s="8" t="n"/>
      <c r="O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123" t="n"/>
      <c r="J316" s="8" t="n"/>
      <c r="K316" s="8" t="n"/>
      <c r="L316" s="8" t="n"/>
      <c r="M316" s="8" t="n"/>
      <c r="N316" s="8" t="n"/>
      <c r="O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123" t="n"/>
      <c r="J317" s="8" t="n"/>
      <c r="K317" s="8" t="n"/>
      <c r="L317" s="8" t="n"/>
      <c r="M317" s="8" t="n"/>
      <c r="N317" s="8" t="n"/>
      <c r="O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123" t="n"/>
      <c r="J318" s="8" t="n"/>
      <c r="K318" s="8" t="n"/>
      <c r="L318" s="8" t="n"/>
      <c r="M318" s="8" t="n"/>
      <c r="N318" s="8" t="n"/>
      <c r="O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123" t="n"/>
      <c r="J319" s="8" t="n"/>
      <c r="K319" s="8" t="n"/>
      <c r="L319" s="8" t="n"/>
      <c r="M319" s="8" t="n"/>
      <c r="N319" s="8" t="n"/>
      <c r="O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123" t="n"/>
      <c r="J320" s="8" t="n"/>
      <c r="K320" s="8" t="n"/>
      <c r="L320" s="8" t="n"/>
      <c r="M320" s="8" t="n"/>
      <c r="N320" s="8" t="n"/>
      <c r="O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123" t="n"/>
      <c r="J321" s="8" t="n"/>
      <c r="K321" s="8" t="n"/>
      <c r="L321" s="8" t="n"/>
      <c r="M321" s="8" t="n"/>
      <c r="N321" s="8" t="n"/>
      <c r="O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123" t="n"/>
      <c r="J322" s="8" t="n"/>
      <c r="K322" s="8" t="n"/>
      <c r="L322" s="8" t="n"/>
      <c r="M322" s="8" t="n"/>
      <c r="N322" s="8" t="n"/>
      <c r="O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123" t="n"/>
      <c r="J323" s="8" t="n"/>
      <c r="K323" s="8" t="n"/>
      <c r="L323" s="8" t="n"/>
      <c r="M323" s="8" t="n"/>
      <c r="N323" s="8" t="n"/>
      <c r="O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123" t="n"/>
      <c r="J324" s="8" t="n"/>
      <c r="K324" s="8" t="n"/>
      <c r="L324" s="8" t="n"/>
      <c r="M324" s="8" t="n"/>
      <c r="N324" s="8" t="n"/>
      <c r="O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123" t="n"/>
      <c r="J325" s="8" t="n"/>
      <c r="K325" s="8" t="n"/>
      <c r="L325" s="8" t="n"/>
      <c r="M325" s="8" t="n"/>
      <c r="N325" s="8" t="n"/>
      <c r="O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123" t="n"/>
      <c r="J326" s="8" t="n"/>
      <c r="K326" s="8" t="n"/>
      <c r="L326" s="8" t="n"/>
      <c r="M326" s="8" t="n"/>
      <c r="N326" s="8" t="n"/>
      <c r="O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123" t="n"/>
      <c r="J327" s="8" t="n"/>
      <c r="K327" s="8" t="n"/>
      <c r="L327" s="8" t="n"/>
      <c r="M327" s="8" t="n"/>
      <c r="N327" s="8" t="n"/>
      <c r="O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123" t="n"/>
      <c r="J328" s="8" t="n"/>
      <c r="K328" s="8" t="n"/>
      <c r="L328" s="8" t="n"/>
      <c r="M328" s="8" t="n"/>
      <c r="N328" s="8" t="n"/>
      <c r="O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123" t="n"/>
      <c r="J329" s="8" t="n"/>
      <c r="K329" s="8" t="n"/>
      <c r="L329" s="8" t="n"/>
      <c r="M329" s="8" t="n"/>
      <c r="N329" s="8" t="n"/>
      <c r="O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123" t="n"/>
      <c r="J330" s="8" t="n"/>
      <c r="K330" s="8" t="n"/>
      <c r="L330" s="8" t="n"/>
      <c r="M330" s="8" t="n"/>
      <c r="N330" s="8" t="n"/>
      <c r="O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123" t="n"/>
      <c r="J331" s="8" t="n"/>
      <c r="K331" s="8" t="n"/>
      <c r="L331" s="8" t="n"/>
      <c r="M331" s="8" t="n"/>
      <c r="N331" s="8" t="n"/>
      <c r="O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123" t="n"/>
      <c r="J332" s="8" t="n"/>
      <c r="K332" s="8" t="n"/>
      <c r="L332" s="8" t="n"/>
      <c r="M332" s="8" t="n"/>
      <c r="N332" s="8" t="n"/>
      <c r="O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123" t="n"/>
      <c r="J333" s="8" t="n"/>
      <c r="K333" s="8" t="n"/>
      <c r="L333" s="8" t="n"/>
      <c r="M333" s="8" t="n"/>
      <c r="N333" s="8" t="n"/>
      <c r="O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123" t="n"/>
      <c r="J334" s="8" t="n"/>
      <c r="K334" s="8" t="n"/>
      <c r="L334" s="8" t="n"/>
      <c r="M334" s="8" t="n"/>
      <c r="N334" s="8" t="n"/>
      <c r="O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123" t="n"/>
      <c r="J335" s="8" t="n"/>
      <c r="K335" s="8" t="n"/>
      <c r="L335" s="8" t="n"/>
      <c r="M335" s="8" t="n"/>
      <c r="N335" s="8" t="n"/>
      <c r="O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123" t="n"/>
      <c r="J336" s="8" t="n"/>
      <c r="K336" s="8" t="n"/>
      <c r="L336" s="8" t="n"/>
      <c r="M336" s="8" t="n"/>
      <c r="N336" s="8" t="n"/>
      <c r="O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123" t="n"/>
      <c r="J337" s="8" t="n"/>
      <c r="K337" s="8" t="n"/>
      <c r="L337" s="8" t="n"/>
      <c r="M337" s="8" t="n"/>
      <c r="N337" s="8" t="n"/>
      <c r="O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123" t="n"/>
      <c r="J338" s="8" t="n"/>
      <c r="K338" s="8" t="n"/>
      <c r="L338" s="8" t="n"/>
      <c r="M338" s="8" t="n"/>
      <c r="N338" s="8" t="n"/>
      <c r="O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123" t="n"/>
      <c r="J339" s="8" t="n"/>
      <c r="K339" s="8" t="n"/>
      <c r="L339" s="8" t="n"/>
      <c r="M339" s="8" t="n"/>
      <c r="N339" s="8" t="n"/>
      <c r="O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123" t="n"/>
      <c r="J340" s="8" t="n"/>
      <c r="K340" s="8" t="n"/>
      <c r="L340" s="8" t="n"/>
      <c r="M340" s="8" t="n"/>
      <c r="N340" s="8" t="n"/>
      <c r="O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123" t="n"/>
      <c r="J341" s="8" t="n"/>
      <c r="K341" s="8" t="n"/>
      <c r="L341" s="8" t="n"/>
      <c r="M341" s="8" t="n"/>
      <c r="N341" s="8" t="n"/>
      <c r="O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123" t="n"/>
      <c r="J342" s="8" t="n"/>
      <c r="K342" s="8" t="n"/>
      <c r="L342" s="8" t="n"/>
      <c r="M342" s="8" t="n"/>
      <c r="N342" s="8" t="n"/>
      <c r="O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123" t="n"/>
      <c r="J343" s="8" t="n"/>
      <c r="K343" s="8" t="n"/>
      <c r="L343" s="8" t="n"/>
      <c r="M343" s="8" t="n"/>
      <c r="N343" s="8" t="n"/>
      <c r="O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123" t="n"/>
      <c r="J344" s="8" t="n"/>
      <c r="K344" s="8" t="n"/>
      <c r="L344" s="8" t="n"/>
      <c r="M344" s="8" t="n"/>
      <c r="N344" s="8" t="n"/>
      <c r="O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123" t="n"/>
      <c r="J345" s="8" t="n"/>
      <c r="K345" s="8" t="n"/>
      <c r="L345" s="8" t="n"/>
      <c r="M345" s="8" t="n"/>
      <c r="N345" s="8" t="n"/>
      <c r="O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123" t="n"/>
      <c r="J346" s="8" t="n"/>
      <c r="K346" s="8" t="n"/>
      <c r="L346" s="8" t="n"/>
      <c r="M346" s="8" t="n"/>
      <c r="N346" s="8" t="n"/>
      <c r="O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123" t="n"/>
      <c r="J347" s="8" t="n"/>
      <c r="K347" s="8" t="n"/>
      <c r="L347" s="8" t="n"/>
      <c r="M347" s="8" t="n"/>
      <c r="N347" s="8" t="n"/>
      <c r="O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123" t="n"/>
      <c r="J348" s="8" t="n"/>
      <c r="K348" s="8" t="n"/>
      <c r="L348" s="8" t="n"/>
      <c r="M348" s="8" t="n"/>
      <c r="N348" s="8" t="n"/>
      <c r="O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123" t="n"/>
      <c r="J349" s="8" t="n"/>
      <c r="K349" s="8" t="n"/>
      <c r="L349" s="8" t="n"/>
      <c r="M349" s="8" t="n"/>
      <c r="N349" s="8" t="n"/>
      <c r="O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123" t="n"/>
      <c r="J350" s="8" t="n"/>
      <c r="K350" s="8" t="n"/>
      <c r="L350" s="8" t="n"/>
      <c r="M350" s="8" t="n"/>
      <c r="N350" s="8" t="n"/>
      <c r="O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123" t="n"/>
      <c r="J351" s="8" t="n"/>
      <c r="K351" s="8" t="n"/>
      <c r="L351" s="8" t="n"/>
      <c r="M351" s="8" t="n"/>
      <c r="N351" s="8" t="n"/>
      <c r="O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123" t="n"/>
      <c r="J352" s="8" t="n"/>
      <c r="K352" s="8" t="n"/>
      <c r="L352" s="8" t="n"/>
      <c r="M352" s="8" t="n"/>
      <c r="N352" s="8" t="n"/>
      <c r="O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123" t="n"/>
      <c r="J353" s="8" t="n"/>
      <c r="K353" s="8" t="n"/>
      <c r="L353" s="8" t="n"/>
      <c r="M353" s="8" t="n"/>
      <c r="N353" s="8" t="n"/>
      <c r="O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123" t="n"/>
      <c r="J354" s="8" t="n"/>
      <c r="K354" s="8" t="n"/>
      <c r="L354" s="8" t="n"/>
      <c r="M354" s="8" t="n"/>
      <c r="N354" s="8" t="n"/>
      <c r="O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123" t="n"/>
      <c r="J355" s="8" t="n"/>
      <c r="K355" s="8" t="n"/>
      <c r="L355" s="8" t="n"/>
      <c r="M355" s="8" t="n"/>
      <c r="N355" s="8" t="n"/>
      <c r="O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123" t="n"/>
      <c r="J356" s="8" t="n"/>
      <c r="K356" s="8" t="n"/>
      <c r="L356" s="8" t="n"/>
      <c r="M356" s="8" t="n"/>
      <c r="N356" s="8" t="n"/>
      <c r="O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123" t="n"/>
      <c r="J357" s="8" t="n"/>
      <c r="K357" s="8" t="n"/>
      <c r="L357" s="8" t="n"/>
      <c r="M357" s="8" t="n"/>
      <c r="N357" s="8" t="n"/>
      <c r="O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123" t="n"/>
      <c r="J358" s="8" t="n"/>
      <c r="K358" s="8" t="n"/>
      <c r="L358" s="8" t="n"/>
      <c r="M358" s="8" t="n"/>
      <c r="N358" s="8" t="n"/>
      <c r="O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123" t="n"/>
      <c r="J359" s="8" t="n"/>
      <c r="K359" s="8" t="n"/>
      <c r="L359" s="8" t="n"/>
      <c r="M359" s="8" t="n"/>
      <c r="N359" s="8" t="n"/>
      <c r="O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123" t="n"/>
      <c r="J360" s="8" t="n"/>
      <c r="K360" s="8" t="n"/>
      <c r="L360" s="8" t="n"/>
      <c r="M360" s="8" t="n"/>
      <c r="N360" s="8" t="n"/>
      <c r="O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123" t="n"/>
      <c r="J361" s="8" t="n"/>
      <c r="K361" s="8" t="n"/>
      <c r="L361" s="8" t="n"/>
      <c r="M361" s="8" t="n"/>
      <c r="N361" s="8" t="n"/>
      <c r="O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123" t="n"/>
      <c r="J362" s="8" t="n"/>
      <c r="K362" s="8" t="n"/>
      <c r="L362" s="8" t="n"/>
      <c r="M362" s="8" t="n"/>
      <c r="N362" s="8" t="n"/>
      <c r="O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123" t="n"/>
      <c r="J363" s="8" t="n"/>
      <c r="K363" s="8" t="n"/>
      <c r="L363" s="8" t="n"/>
      <c r="M363" s="8" t="n"/>
      <c r="N363" s="8" t="n"/>
      <c r="O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123" t="n"/>
      <c r="J364" s="8" t="n"/>
      <c r="K364" s="8" t="n"/>
      <c r="L364" s="8" t="n"/>
      <c r="M364" s="8" t="n"/>
      <c r="N364" s="8" t="n"/>
      <c r="O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123" t="n"/>
      <c r="J365" s="8" t="n"/>
      <c r="K365" s="8" t="n"/>
      <c r="L365" s="8" t="n"/>
      <c r="M365" s="8" t="n"/>
      <c r="N365" s="8" t="n"/>
      <c r="O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123" t="n"/>
      <c r="J366" s="8" t="n"/>
      <c r="K366" s="8" t="n"/>
      <c r="L366" s="8" t="n"/>
      <c r="M366" s="8" t="n"/>
      <c r="N366" s="8" t="n"/>
      <c r="O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123" t="n"/>
      <c r="J367" s="8" t="n"/>
      <c r="K367" s="8" t="n"/>
      <c r="L367" s="8" t="n"/>
      <c r="M367" s="8" t="n"/>
      <c r="N367" s="8" t="n"/>
      <c r="O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123" t="n"/>
      <c r="J368" s="8" t="n"/>
      <c r="K368" s="8" t="n"/>
      <c r="L368" s="8" t="n"/>
      <c r="M368" s="8" t="n"/>
      <c r="N368" s="8" t="n"/>
      <c r="O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123" t="n"/>
      <c r="J369" s="8" t="n"/>
      <c r="K369" s="8" t="n"/>
      <c r="L369" s="8" t="n"/>
      <c r="M369" s="8" t="n"/>
      <c r="N369" s="8" t="n"/>
      <c r="O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123" t="n"/>
      <c r="J370" s="8" t="n"/>
      <c r="K370" s="8" t="n"/>
      <c r="L370" s="8" t="n"/>
      <c r="M370" s="8" t="n"/>
      <c r="N370" s="8" t="n"/>
      <c r="O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123" t="n"/>
      <c r="J371" s="8" t="n"/>
      <c r="K371" s="8" t="n"/>
      <c r="L371" s="8" t="n"/>
      <c r="M371" s="8" t="n"/>
      <c r="N371" s="8" t="n"/>
      <c r="O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123" t="n"/>
      <c r="J372" s="8" t="n"/>
      <c r="K372" s="8" t="n"/>
      <c r="L372" s="8" t="n"/>
      <c r="M372" s="8" t="n"/>
      <c r="N372" s="8" t="n"/>
      <c r="O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123" t="n"/>
      <c r="J373" s="8" t="n"/>
      <c r="K373" s="8" t="n"/>
      <c r="L373" s="8" t="n"/>
      <c r="M373" s="8" t="n"/>
      <c r="N373" s="8" t="n"/>
      <c r="O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123" t="n"/>
      <c r="J374" s="8" t="n"/>
      <c r="K374" s="8" t="n"/>
      <c r="L374" s="8" t="n"/>
      <c r="M374" s="8" t="n"/>
      <c r="N374" s="8" t="n"/>
      <c r="O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123" t="n"/>
      <c r="J375" s="8" t="n"/>
      <c r="K375" s="8" t="n"/>
      <c r="L375" s="8" t="n"/>
      <c r="M375" s="8" t="n"/>
      <c r="N375" s="8" t="n"/>
      <c r="O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123" t="n"/>
      <c r="J376" s="8" t="n"/>
      <c r="K376" s="8" t="n"/>
      <c r="L376" s="8" t="n"/>
      <c r="M376" s="8" t="n"/>
      <c r="N376" s="8" t="n"/>
      <c r="O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123" t="n"/>
      <c r="J377" s="8" t="n"/>
      <c r="K377" s="8" t="n"/>
      <c r="L377" s="8" t="n"/>
      <c r="M377" s="8" t="n"/>
      <c r="N377" s="8" t="n"/>
      <c r="O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123" t="n"/>
      <c r="J378" s="8" t="n"/>
      <c r="K378" s="8" t="n"/>
      <c r="L378" s="8" t="n"/>
      <c r="M378" s="8" t="n"/>
      <c r="N378" s="8" t="n"/>
      <c r="O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123" t="n"/>
      <c r="J379" s="8" t="n"/>
      <c r="K379" s="8" t="n"/>
      <c r="L379" s="8" t="n"/>
      <c r="M379" s="8" t="n"/>
      <c r="N379" s="8" t="n"/>
      <c r="O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123" t="n"/>
      <c r="J380" s="8" t="n"/>
      <c r="K380" s="8" t="n"/>
      <c r="L380" s="8" t="n"/>
      <c r="M380" s="8" t="n"/>
      <c r="N380" s="8" t="n"/>
      <c r="O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123" t="n"/>
      <c r="J381" s="8" t="n"/>
      <c r="K381" s="8" t="n"/>
      <c r="L381" s="8" t="n"/>
      <c r="M381" s="8" t="n"/>
      <c r="N381" s="8" t="n"/>
      <c r="O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123" t="n"/>
      <c r="J382" s="8" t="n"/>
      <c r="K382" s="8" t="n"/>
      <c r="L382" s="8" t="n"/>
      <c r="M382" s="8" t="n"/>
      <c r="N382" s="8" t="n"/>
      <c r="O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123" t="n"/>
      <c r="J383" s="8" t="n"/>
      <c r="K383" s="8" t="n"/>
      <c r="L383" s="8" t="n"/>
      <c r="M383" s="8" t="n"/>
      <c r="N383" s="8" t="n"/>
      <c r="O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123" t="n"/>
      <c r="J384" s="8" t="n"/>
      <c r="K384" s="8" t="n"/>
      <c r="L384" s="8" t="n"/>
      <c r="M384" s="8" t="n"/>
      <c r="N384" s="8" t="n"/>
      <c r="O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123" t="n"/>
      <c r="J385" s="8" t="n"/>
      <c r="K385" s="8" t="n"/>
      <c r="L385" s="8" t="n"/>
      <c r="M385" s="8" t="n"/>
      <c r="N385" s="8" t="n"/>
      <c r="O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123" t="n"/>
      <c r="J386" s="8" t="n"/>
      <c r="K386" s="8" t="n"/>
      <c r="L386" s="8" t="n"/>
      <c r="M386" s="8" t="n"/>
      <c r="N386" s="8" t="n"/>
      <c r="O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123" t="n"/>
      <c r="J387" s="8" t="n"/>
      <c r="K387" s="8" t="n"/>
      <c r="L387" s="8" t="n"/>
      <c r="M387" s="8" t="n"/>
      <c r="N387" s="8" t="n"/>
      <c r="O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123" t="n"/>
      <c r="J388" s="8" t="n"/>
      <c r="K388" s="8" t="n"/>
      <c r="L388" s="8" t="n"/>
      <c r="M388" s="8" t="n"/>
      <c r="N388" s="8" t="n"/>
      <c r="O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123" t="n"/>
      <c r="J389" s="8" t="n"/>
      <c r="K389" s="8" t="n"/>
      <c r="L389" s="8" t="n"/>
      <c r="M389" s="8" t="n"/>
      <c r="N389" s="8" t="n"/>
      <c r="O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123" t="n"/>
      <c r="J390" s="8" t="n"/>
      <c r="K390" s="8" t="n"/>
      <c r="L390" s="8" t="n"/>
      <c r="M390" s="8" t="n"/>
      <c r="N390" s="8" t="n"/>
      <c r="O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123" t="n"/>
      <c r="J391" s="8" t="n"/>
      <c r="K391" s="8" t="n"/>
      <c r="L391" s="8" t="n"/>
      <c r="M391" s="8" t="n"/>
      <c r="N391" s="8" t="n"/>
      <c r="O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123" t="n"/>
      <c r="J392" s="8" t="n"/>
      <c r="K392" s="8" t="n"/>
      <c r="L392" s="8" t="n"/>
      <c r="M392" s="8" t="n"/>
      <c r="N392" s="8" t="n"/>
      <c r="O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123" t="n"/>
      <c r="J393" s="8" t="n"/>
      <c r="K393" s="8" t="n"/>
      <c r="L393" s="8" t="n"/>
      <c r="M393" s="8" t="n"/>
      <c r="N393" s="8" t="n"/>
      <c r="O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123" t="n"/>
      <c r="J394" s="8" t="n"/>
      <c r="K394" s="8" t="n"/>
      <c r="L394" s="8" t="n"/>
      <c r="M394" s="8" t="n"/>
      <c r="N394" s="8" t="n"/>
      <c r="O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123" t="n"/>
      <c r="J395" s="8" t="n"/>
      <c r="K395" s="8" t="n"/>
      <c r="L395" s="8" t="n"/>
      <c r="M395" s="8" t="n"/>
      <c r="N395" s="8" t="n"/>
      <c r="O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123" t="n"/>
      <c r="J396" s="8" t="n"/>
      <c r="K396" s="8" t="n"/>
      <c r="L396" s="8" t="n"/>
      <c r="M396" s="8" t="n"/>
      <c r="N396" s="8" t="n"/>
      <c r="O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123" t="n"/>
      <c r="J397" s="8" t="n"/>
      <c r="K397" s="8" t="n"/>
      <c r="L397" s="8" t="n"/>
      <c r="M397" s="8" t="n"/>
      <c r="N397" s="8" t="n"/>
      <c r="O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123" t="n"/>
      <c r="J398" s="8" t="n"/>
      <c r="K398" s="8" t="n"/>
      <c r="L398" s="8" t="n"/>
      <c r="M398" s="8" t="n"/>
      <c r="N398" s="8" t="n"/>
      <c r="O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123" t="n"/>
      <c r="J399" s="8" t="n"/>
      <c r="K399" s="8" t="n"/>
      <c r="L399" s="8" t="n"/>
      <c r="M399" s="8" t="n"/>
      <c r="N399" s="8" t="n"/>
      <c r="O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123" t="n"/>
      <c r="J400" s="8" t="n"/>
      <c r="K400" s="8" t="n"/>
      <c r="L400" s="8" t="n"/>
      <c r="M400" s="8" t="n"/>
      <c r="N400" s="8" t="n"/>
      <c r="O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123" t="n"/>
      <c r="J401" s="8" t="n"/>
      <c r="K401" s="8" t="n"/>
      <c r="L401" s="8" t="n"/>
      <c r="M401" s="8" t="n"/>
      <c r="N401" s="8" t="n"/>
      <c r="O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123" t="n"/>
      <c r="J402" s="8" t="n"/>
      <c r="K402" s="8" t="n"/>
      <c r="L402" s="8" t="n"/>
      <c r="M402" s="8" t="n"/>
      <c r="N402" s="8" t="n"/>
      <c r="O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123" t="n"/>
      <c r="J403" s="8" t="n"/>
      <c r="K403" s="8" t="n"/>
      <c r="L403" s="8" t="n"/>
      <c r="M403" s="8" t="n"/>
      <c r="N403" s="8" t="n"/>
      <c r="O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123" t="n"/>
      <c r="J404" s="8" t="n"/>
      <c r="K404" s="8" t="n"/>
      <c r="L404" s="8" t="n"/>
      <c r="M404" s="8" t="n"/>
      <c r="N404" s="8" t="n"/>
      <c r="O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123" t="n"/>
      <c r="J405" s="8" t="n"/>
      <c r="K405" s="8" t="n"/>
      <c r="L405" s="8" t="n"/>
      <c r="M405" s="8" t="n"/>
      <c r="N405" s="8" t="n"/>
      <c r="O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123" t="n"/>
      <c r="J406" s="8" t="n"/>
      <c r="K406" s="8" t="n"/>
      <c r="L406" s="8" t="n"/>
      <c r="M406" s="8" t="n"/>
      <c r="N406" s="8" t="n"/>
      <c r="O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123" t="n"/>
      <c r="J407" s="8" t="n"/>
      <c r="K407" s="8" t="n"/>
      <c r="L407" s="8" t="n"/>
      <c r="M407" s="8" t="n"/>
      <c r="N407" s="8" t="n"/>
      <c r="O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123" t="n"/>
      <c r="J408" s="8" t="n"/>
      <c r="K408" s="8" t="n"/>
      <c r="L408" s="8" t="n"/>
      <c r="M408" s="8" t="n"/>
      <c r="N408" s="8" t="n"/>
      <c r="O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123" t="n"/>
      <c r="J409" s="8" t="n"/>
      <c r="K409" s="8" t="n"/>
      <c r="L409" s="8" t="n"/>
      <c r="M409" s="8" t="n"/>
      <c r="N409" s="8" t="n"/>
      <c r="O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123" t="n"/>
      <c r="J410" s="8" t="n"/>
      <c r="K410" s="8" t="n"/>
      <c r="L410" s="8" t="n"/>
      <c r="M410" s="8" t="n"/>
      <c r="N410" s="8" t="n"/>
      <c r="O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123" t="n"/>
      <c r="J411" s="8" t="n"/>
      <c r="K411" s="8" t="n"/>
      <c r="L411" s="8" t="n"/>
      <c r="M411" s="8" t="n"/>
      <c r="N411" s="8" t="n"/>
      <c r="O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123" t="n"/>
      <c r="J412" s="8" t="n"/>
      <c r="K412" s="8" t="n"/>
      <c r="L412" s="8" t="n"/>
      <c r="M412" s="8" t="n"/>
      <c r="N412" s="8" t="n"/>
      <c r="O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123" t="n"/>
      <c r="J413" s="8" t="n"/>
      <c r="K413" s="8" t="n"/>
      <c r="L413" s="8" t="n"/>
      <c r="M413" s="8" t="n"/>
      <c r="N413" s="8" t="n"/>
      <c r="O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123" t="n"/>
      <c r="J414" s="8" t="n"/>
      <c r="K414" s="8" t="n"/>
      <c r="L414" s="8" t="n"/>
      <c r="M414" s="8" t="n"/>
      <c r="N414" s="8" t="n"/>
      <c r="O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123" t="n"/>
      <c r="J415" s="8" t="n"/>
      <c r="K415" s="8" t="n"/>
      <c r="L415" s="8" t="n"/>
      <c r="M415" s="8" t="n"/>
      <c r="N415" s="8" t="n"/>
      <c r="O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123" t="n"/>
      <c r="J416" s="8" t="n"/>
      <c r="K416" s="8" t="n"/>
      <c r="L416" s="8" t="n"/>
      <c r="M416" s="8" t="n"/>
      <c r="N416" s="8" t="n"/>
      <c r="O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123" t="n"/>
      <c r="J417" s="8" t="n"/>
      <c r="K417" s="8" t="n"/>
      <c r="L417" s="8" t="n"/>
      <c r="M417" s="8" t="n"/>
      <c r="N417" s="8" t="n"/>
      <c r="O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123" t="n"/>
      <c r="J418" s="8" t="n"/>
      <c r="K418" s="8" t="n"/>
      <c r="L418" s="8" t="n"/>
      <c r="M418" s="8" t="n"/>
      <c r="N418" s="8" t="n"/>
      <c r="O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123" t="n"/>
      <c r="J419" s="8" t="n"/>
      <c r="K419" s="8" t="n"/>
      <c r="L419" s="8" t="n"/>
      <c r="M419" s="8" t="n"/>
      <c r="N419" s="8" t="n"/>
      <c r="O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123" t="n"/>
      <c r="J420" s="8" t="n"/>
      <c r="K420" s="8" t="n"/>
      <c r="L420" s="8" t="n"/>
      <c r="M420" s="8" t="n"/>
      <c r="N420" s="8" t="n"/>
      <c r="O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123" t="n"/>
      <c r="J421" s="8" t="n"/>
      <c r="K421" s="8" t="n"/>
      <c r="L421" s="8" t="n"/>
      <c r="M421" s="8" t="n"/>
      <c r="N421" s="8" t="n"/>
      <c r="O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123" t="n"/>
      <c r="J422" s="8" t="n"/>
      <c r="K422" s="8" t="n"/>
      <c r="L422" s="8" t="n"/>
      <c r="M422" s="8" t="n"/>
      <c r="N422" s="8" t="n"/>
      <c r="O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123" t="n"/>
      <c r="J423" s="8" t="n"/>
      <c r="K423" s="8" t="n"/>
      <c r="L423" s="8" t="n"/>
      <c r="M423" s="8" t="n"/>
      <c r="N423" s="8" t="n"/>
      <c r="O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123" t="n"/>
      <c r="J424" s="8" t="n"/>
      <c r="K424" s="8" t="n"/>
      <c r="L424" s="8" t="n"/>
      <c r="M424" s="8" t="n"/>
      <c r="N424" s="8" t="n"/>
      <c r="O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123" t="n"/>
      <c r="J425" s="8" t="n"/>
      <c r="K425" s="8" t="n"/>
      <c r="L425" s="8" t="n"/>
      <c r="M425" s="8" t="n"/>
      <c r="N425" s="8" t="n"/>
      <c r="O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123" t="n"/>
      <c r="J426" s="8" t="n"/>
      <c r="K426" s="8" t="n"/>
      <c r="L426" s="8" t="n"/>
      <c r="M426" s="8" t="n"/>
      <c r="N426" s="8" t="n"/>
      <c r="O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123" t="n"/>
      <c r="J427" s="8" t="n"/>
      <c r="K427" s="8" t="n"/>
      <c r="L427" s="8" t="n"/>
      <c r="M427" s="8" t="n"/>
      <c r="N427" s="8" t="n"/>
      <c r="O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123" t="n"/>
      <c r="J428" s="8" t="n"/>
      <c r="K428" s="8" t="n"/>
      <c r="L428" s="8" t="n"/>
      <c r="M428" s="8" t="n"/>
      <c r="N428" s="8" t="n"/>
      <c r="O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123" t="n"/>
      <c r="J429" s="8" t="n"/>
      <c r="K429" s="8" t="n"/>
      <c r="L429" s="8" t="n"/>
      <c r="M429" s="8" t="n"/>
      <c r="N429" s="8" t="n"/>
      <c r="O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123" t="n"/>
      <c r="J430" s="8" t="n"/>
      <c r="K430" s="8" t="n"/>
      <c r="L430" s="8" t="n"/>
      <c r="M430" s="8" t="n"/>
      <c r="N430" s="8" t="n"/>
      <c r="O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123" t="n"/>
      <c r="J431" s="8" t="n"/>
      <c r="K431" s="8" t="n"/>
      <c r="L431" s="8" t="n"/>
      <c r="M431" s="8" t="n"/>
      <c r="N431" s="8" t="n"/>
      <c r="O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123" t="n"/>
      <c r="J432" s="8" t="n"/>
      <c r="K432" s="8" t="n"/>
      <c r="L432" s="8" t="n"/>
      <c r="M432" s="8" t="n"/>
      <c r="N432" s="8" t="n"/>
      <c r="O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123" t="n"/>
      <c r="J433" s="8" t="n"/>
      <c r="K433" s="8" t="n"/>
      <c r="L433" s="8" t="n"/>
      <c r="M433" s="8" t="n"/>
      <c r="N433" s="8" t="n"/>
      <c r="O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123" t="n"/>
      <c r="J434" s="8" t="n"/>
      <c r="K434" s="8" t="n"/>
      <c r="L434" s="8" t="n"/>
      <c r="M434" s="8" t="n"/>
      <c r="N434" s="8" t="n"/>
      <c r="O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123" t="n"/>
      <c r="J435" s="8" t="n"/>
      <c r="K435" s="8" t="n"/>
      <c r="L435" s="8" t="n"/>
      <c r="M435" s="8" t="n"/>
      <c r="N435" s="8" t="n"/>
      <c r="O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123" t="n"/>
      <c r="J436" s="8" t="n"/>
      <c r="K436" s="8" t="n"/>
      <c r="L436" s="8" t="n"/>
      <c r="M436" s="8" t="n"/>
      <c r="N436" s="8" t="n"/>
      <c r="O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123" t="n"/>
      <c r="J437" s="8" t="n"/>
      <c r="K437" s="8" t="n"/>
      <c r="L437" s="8" t="n"/>
      <c r="M437" s="8" t="n"/>
      <c r="N437" s="8" t="n"/>
      <c r="O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123" t="n"/>
      <c r="J438" s="8" t="n"/>
      <c r="K438" s="8" t="n"/>
      <c r="L438" s="8" t="n"/>
      <c r="M438" s="8" t="n"/>
      <c r="N438" s="8" t="n"/>
      <c r="O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123" t="n"/>
      <c r="J439" s="8" t="n"/>
      <c r="K439" s="8" t="n"/>
      <c r="L439" s="8" t="n"/>
      <c r="M439" s="8" t="n"/>
      <c r="N439" s="8" t="n"/>
      <c r="O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123" t="n"/>
      <c r="J440" s="8" t="n"/>
      <c r="K440" s="8" t="n"/>
      <c r="L440" s="8" t="n"/>
      <c r="M440" s="8" t="n"/>
      <c r="N440" s="8" t="n"/>
      <c r="O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123" t="n"/>
      <c r="J441" s="8" t="n"/>
      <c r="K441" s="8" t="n"/>
      <c r="L441" s="8" t="n"/>
      <c r="M441" s="8" t="n"/>
      <c r="N441" s="8" t="n"/>
      <c r="O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123" t="n"/>
      <c r="J442" s="8" t="n"/>
      <c r="K442" s="8" t="n"/>
      <c r="L442" s="8" t="n"/>
      <c r="M442" s="8" t="n"/>
      <c r="N442" s="8" t="n"/>
      <c r="O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123" t="n"/>
      <c r="J443" s="8" t="n"/>
      <c r="K443" s="8" t="n"/>
      <c r="L443" s="8" t="n"/>
      <c r="M443" s="8" t="n"/>
      <c r="N443" s="8" t="n"/>
      <c r="O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123" t="n"/>
      <c r="J444" s="8" t="n"/>
      <c r="K444" s="8" t="n"/>
      <c r="L444" s="8" t="n"/>
      <c r="M444" s="8" t="n"/>
      <c r="N444" s="8" t="n"/>
      <c r="O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123" t="n"/>
      <c r="J445" s="8" t="n"/>
      <c r="K445" s="8" t="n"/>
      <c r="L445" s="8" t="n"/>
      <c r="M445" s="8" t="n"/>
      <c r="N445" s="8" t="n"/>
      <c r="O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123" t="n"/>
      <c r="J446" s="8" t="n"/>
      <c r="K446" s="8" t="n"/>
      <c r="L446" s="8" t="n"/>
      <c r="M446" s="8" t="n"/>
      <c r="N446" s="8" t="n"/>
      <c r="O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123" t="n"/>
      <c r="J447" s="8" t="n"/>
      <c r="K447" s="8" t="n"/>
      <c r="L447" s="8" t="n"/>
      <c r="M447" s="8" t="n"/>
      <c r="N447" s="8" t="n"/>
      <c r="O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123" t="n"/>
      <c r="J448" s="8" t="n"/>
      <c r="K448" s="8" t="n"/>
      <c r="L448" s="8" t="n"/>
      <c r="M448" s="8" t="n"/>
      <c r="N448" s="8" t="n"/>
      <c r="O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123" t="n"/>
      <c r="J449" s="8" t="n"/>
      <c r="K449" s="8" t="n"/>
      <c r="L449" s="8" t="n"/>
      <c r="M449" s="8" t="n"/>
      <c r="N449" s="8" t="n"/>
      <c r="O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123" t="n"/>
      <c r="J450" s="8" t="n"/>
      <c r="K450" s="8" t="n"/>
      <c r="L450" s="8" t="n"/>
      <c r="M450" s="8" t="n"/>
      <c r="N450" s="8" t="n"/>
      <c r="O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123" t="n"/>
      <c r="J451" s="8" t="n"/>
      <c r="K451" s="8" t="n"/>
      <c r="L451" s="8" t="n"/>
      <c r="M451" s="8" t="n"/>
      <c r="N451" s="8" t="n"/>
      <c r="O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123" t="n"/>
      <c r="J452" s="8" t="n"/>
      <c r="K452" s="8" t="n"/>
      <c r="L452" s="8" t="n"/>
      <c r="M452" s="8" t="n"/>
      <c r="N452" s="8" t="n"/>
      <c r="O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123" t="n"/>
      <c r="J453" s="8" t="n"/>
      <c r="K453" s="8" t="n"/>
      <c r="L453" s="8" t="n"/>
      <c r="M453" s="8" t="n"/>
      <c r="N453" s="8" t="n"/>
      <c r="O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123" t="n"/>
      <c r="J454" s="8" t="n"/>
      <c r="K454" s="8" t="n"/>
      <c r="L454" s="8" t="n"/>
      <c r="M454" s="8" t="n"/>
      <c r="N454" s="8" t="n"/>
      <c r="O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123" t="n"/>
      <c r="J455" s="8" t="n"/>
      <c r="K455" s="8" t="n"/>
      <c r="L455" s="8" t="n"/>
      <c r="M455" s="8" t="n"/>
      <c r="N455" s="8" t="n"/>
      <c r="O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123" t="n"/>
      <c r="J456" s="8" t="n"/>
      <c r="K456" s="8" t="n"/>
      <c r="L456" s="8" t="n"/>
      <c r="M456" s="8" t="n"/>
      <c r="N456" s="8" t="n"/>
      <c r="O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123" t="n"/>
      <c r="J457" s="8" t="n"/>
      <c r="K457" s="8" t="n"/>
      <c r="L457" s="8" t="n"/>
      <c r="M457" s="8" t="n"/>
      <c r="N457" s="8" t="n"/>
      <c r="O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123" t="n"/>
      <c r="J458" s="8" t="n"/>
      <c r="K458" s="8" t="n"/>
      <c r="L458" s="8" t="n"/>
      <c r="M458" s="8" t="n"/>
      <c r="N458" s="8" t="n"/>
      <c r="O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123" t="n"/>
      <c r="J459" s="8" t="n"/>
      <c r="K459" s="8" t="n"/>
      <c r="L459" s="8" t="n"/>
      <c r="M459" s="8" t="n"/>
      <c r="N459" s="8" t="n"/>
      <c r="O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123" t="n"/>
      <c r="J460" s="8" t="n"/>
      <c r="K460" s="8" t="n"/>
      <c r="L460" s="8" t="n"/>
      <c r="M460" s="8" t="n"/>
      <c r="N460" s="8" t="n"/>
      <c r="O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123" t="n"/>
      <c r="J461" s="8" t="n"/>
      <c r="K461" s="8" t="n"/>
      <c r="L461" s="8" t="n"/>
      <c r="M461" s="8" t="n"/>
      <c r="N461" s="8" t="n"/>
      <c r="O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123" t="n"/>
      <c r="J462" s="8" t="n"/>
      <c r="K462" s="8" t="n"/>
      <c r="L462" s="8" t="n"/>
      <c r="M462" s="8" t="n"/>
      <c r="N462" s="8" t="n"/>
      <c r="O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123" t="n"/>
      <c r="J463" s="8" t="n"/>
      <c r="K463" s="8" t="n"/>
      <c r="L463" s="8" t="n"/>
      <c r="M463" s="8" t="n"/>
      <c r="N463" s="8" t="n"/>
      <c r="O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123" t="n"/>
      <c r="J464" s="8" t="n"/>
      <c r="K464" s="8" t="n"/>
      <c r="L464" s="8" t="n"/>
      <c r="M464" s="8" t="n"/>
      <c r="N464" s="8" t="n"/>
      <c r="O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123" t="n"/>
      <c r="J465" s="8" t="n"/>
      <c r="K465" s="8" t="n"/>
      <c r="L465" s="8" t="n"/>
      <c r="M465" s="8" t="n"/>
      <c r="N465" s="8" t="n"/>
      <c r="O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123" t="n"/>
      <c r="J466" s="8" t="n"/>
      <c r="K466" s="8" t="n"/>
      <c r="L466" s="8" t="n"/>
      <c r="M466" s="8" t="n"/>
      <c r="N466" s="8" t="n"/>
      <c r="O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123" t="n"/>
      <c r="J467" s="8" t="n"/>
      <c r="K467" s="8" t="n"/>
      <c r="L467" s="8" t="n"/>
      <c r="M467" s="8" t="n"/>
      <c r="N467" s="8" t="n"/>
      <c r="O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123" t="n"/>
      <c r="J468" s="8" t="n"/>
      <c r="K468" s="8" t="n"/>
      <c r="L468" s="8" t="n"/>
      <c r="M468" s="8" t="n"/>
      <c r="N468" s="8" t="n"/>
      <c r="O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123" t="n"/>
      <c r="J469" s="8" t="n"/>
      <c r="K469" s="8" t="n"/>
      <c r="L469" s="8" t="n"/>
      <c r="M469" s="8" t="n"/>
      <c r="N469" s="8" t="n"/>
      <c r="O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123" t="n"/>
      <c r="J470" s="8" t="n"/>
      <c r="K470" s="8" t="n"/>
      <c r="L470" s="8" t="n"/>
      <c r="M470" s="8" t="n"/>
      <c r="N470" s="8" t="n"/>
      <c r="O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123" t="n"/>
      <c r="J471" s="8" t="n"/>
      <c r="K471" s="8" t="n"/>
      <c r="L471" s="8" t="n"/>
      <c r="M471" s="8" t="n"/>
      <c r="N471" s="8" t="n"/>
      <c r="O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123" t="n"/>
      <c r="J472" s="8" t="n"/>
      <c r="K472" s="8" t="n"/>
      <c r="L472" s="8" t="n"/>
      <c r="M472" s="8" t="n"/>
      <c r="N472" s="8" t="n"/>
      <c r="O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123" t="n"/>
      <c r="J473" s="8" t="n"/>
      <c r="K473" s="8" t="n"/>
      <c r="L473" s="8" t="n"/>
      <c r="M473" s="8" t="n"/>
      <c r="N473" s="8" t="n"/>
      <c r="O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123" t="n"/>
      <c r="J474" s="8" t="n"/>
      <c r="K474" s="8" t="n"/>
      <c r="L474" s="8" t="n"/>
      <c r="M474" s="8" t="n"/>
      <c r="N474" s="8" t="n"/>
      <c r="O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123" t="n"/>
      <c r="J475" s="8" t="n"/>
      <c r="K475" s="8" t="n"/>
      <c r="L475" s="8" t="n"/>
      <c r="M475" s="8" t="n"/>
      <c r="N475" s="8" t="n"/>
      <c r="O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123" t="n"/>
      <c r="J476" s="8" t="n"/>
      <c r="K476" s="8" t="n"/>
      <c r="L476" s="8" t="n"/>
      <c r="M476" s="8" t="n"/>
      <c r="N476" s="8" t="n"/>
      <c r="O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123" t="n"/>
      <c r="J477" s="8" t="n"/>
      <c r="K477" s="8" t="n"/>
      <c r="L477" s="8" t="n"/>
      <c r="M477" s="8" t="n"/>
      <c r="N477" s="8" t="n"/>
      <c r="O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123" t="n"/>
      <c r="J478" s="8" t="n"/>
      <c r="K478" s="8" t="n"/>
      <c r="L478" s="8" t="n"/>
      <c r="M478" s="8" t="n"/>
      <c r="N478" s="8" t="n"/>
      <c r="O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123" t="n"/>
      <c r="J479" s="8" t="n"/>
      <c r="K479" s="8" t="n"/>
      <c r="L479" s="8" t="n"/>
      <c r="M479" s="8" t="n"/>
      <c r="N479" s="8" t="n"/>
      <c r="O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123" t="n"/>
      <c r="J480" s="8" t="n"/>
      <c r="K480" s="8" t="n"/>
      <c r="L480" s="8" t="n"/>
      <c r="M480" s="8" t="n"/>
      <c r="N480" s="8" t="n"/>
      <c r="O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123" t="n"/>
      <c r="J481" s="8" t="n"/>
      <c r="K481" s="8" t="n"/>
      <c r="L481" s="8" t="n"/>
      <c r="M481" s="8" t="n"/>
      <c r="N481" s="8" t="n"/>
      <c r="O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123" t="n"/>
      <c r="J482" s="8" t="n"/>
      <c r="K482" s="8" t="n"/>
      <c r="L482" s="8" t="n"/>
      <c r="M482" s="8" t="n"/>
      <c r="N482" s="8" t="n"/>
      <c r="O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123" t="n"/>
      <c r="J483" s="8" t="n"/>
      <c r="K483" s="8" t="n"/>
      <c r="L483" s="8" t="n"/>
      <c r="M483" s="8" t="n"/>
      <c r="N483" s="8" t="n"/>
      <c r="O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123" t="n"/>
      <c r="J484" s="8" t="n"/>
      <c r="K484" s="8" t="n"/>
      <c r="L484" s="8" t="n"/>
      <c r="M484" s="8" t="n"/>
      <c r="N484" s="8" t="n"/>
      <c r="O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123" t="n"/>
      <c r="J485" s="8" t="n"/>
      <c r="K485" s="8" t="n"/>
      <c r="L485" s="8" t="n"/>
      <c r="M485" s="8" t="n"/>
      <c r="N485" s="8" t="n"/>
      <c r="O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123" t="n"/>
      <c r="J486" s="8" t="n"/>
      <c r="K486" s="8" t="n"/>
      <c r="L486" s="8" t="n"/>
      <c r="M486" s="8" t="n"/>
      <c r="N486" s="8" t="n"/>
      <c r="O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123" t="n"/>
      <c r="J487" s="8" t="n"/>
      <c r="K487" s="8" t="n"/>
      <c r="L487" s="8" t="n"/>
      <c r="M487" s="8" t="n"/>
      <c r="N487" s="8" t="n"/>
      <c r="O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123" t="n"/>
      <c r="J488" s="8" t="n"/>
      <c r="K488" s="8" t="n"/>
      <c r="L488" s="8" t="n"/>
      <c r="M488" s="8" t="n"/>
      <c r="N488" s="8" t="n"/>
      <c r="O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123" t="n"/>
      <c r="J489" s="8" t="n"/>
      <c r="K489" s="8" t="n"/>
      <c r="L489" s="8" t="n"/>
      <c r="M489" s="8" t="n"/>
      <c r="N489" s="8" t="n"/>
      <c r="O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123" t="n"/>
      <c r="J490" s="8" t="n"/>
      <c r="K490" s="8" t="n"/>
      <c r="L490" s="8" t="n"/>
      <c r="M490" s="8" t="n"/>
      <c r="N490" s="8" t="n"/>
      <c r="O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123" t="n"/>
      <c r="J491" s="8" t="n"/>
      <c r="K491" s="8" t="n"/>
      <c r="L491" s="8" t="n"/>
      <c r="M491" s="8" t="n"/>
      <c r="N491" s="8" t="n"/>
      <c r="O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123" t="n"/>
      <c r="J492" s="8" t="n"/>
      <c r="K492" s="8" t="n"/>
      <c r="L492" s="8" t="n"/>
      <c r="M492" s="8" t="n"/>
      <c r="N492" s="8" t="n"/>
      <c r="O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123" t="n"/>
      <c r="J493" s="8" t="n"/>
      <c r="K493" s="8" t="n"/>
      <c r="L493" s="8" t="n"/>
      <c r="M493" s="8" t="n"/>
      <c r="N493" s="8" t="n"/>
      <c r="O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123" t="n"/>
      <c r="J494" s="8" t="n"/>
      <c r="K494" s="8" t="n"/>
      <c r="L494" s="8" t="n"/>
      <c r="M494" s="8" t="n"/>
      <c r="N494" s="8" t="n"/>
      <c r="O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123" t="n"/>
      <c r="J495" s="8" t="n"/>
      <c r="K495" s="8" t="n"/>
      <c r="L495" s="8" t="n"/>
      <c r="M495" s="8" t="n"/>
      <c r="N495" s="8" t="n"/>
      <c r="O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123" t="n"/>
      <c r="J496" s="8" t="n"/>
      <c r="K496" s="8" t="n"/>
      <c r="L496" s="8" t="n"/>
      <c r="M496" s="8" t="n"/>
      <c r="N496" s="8" t="n"/>
      <c r="O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123" t="n"/>
      <c r="J497" s="8" t="n"/>
      <c r="K497" s="8" t="n"/>
      <c r="L497" s="8" t="n"/>
      <c r="M497" s="8" t="n"/>
      <c r="N497" s="8" t="n"/>
      <c r="O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123" t="n"/>
      <c r="J498" s="8" t="n"/>
      <c r="K498" s="8" t="n"/>
      <c r="L498" s="8" t="n"/>
      <c r="M498" s="8" t="n"/>
      <c r="N498" s="8" t="n"/>
      <c r="O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123" t="n"/>
      <c r="J499" s="8" t="n"/>
      <c r="K499" s="8" t="n"/>
      <c r="L499" s="8" t="n"/>
      <c r="M499" s="8" t="n"/>
      <c r="N499" s="8" t="n"/>
      <c r="O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123" t="n"/>
      <c r="J500" s="8" t="n"/>
      <c r="K500" s="8" t="n"/>
      <c r="L500" s="8" t="n"/>
      <c r="M500" s="8" t="n"/>
      <c r="N500" s="8" t="n"/>
      <c r="O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123" t="n"/>
      <c r="J501" s="8" t="n"/>
      <c r="K501" s="8" t="n"/>
      <c r="L501" s="8" t="n"/>
      <c r="M501" s="8" t="n"/>
      <c r="N501" s="8" t="n"/>
      <c r="O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123" t="n"/>
      <c r="J502" s="8" t="n"/>
      <c r="K502" s="8" t="n"/>
      <c r="L502" s="8" t="n"/>
      <c r="M502" s="8" t="n"/>
      <c r="N502" s="8" t="n"/>
      <c r="O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123" t="n"/>
      <c r="J503" s="8" t="n"/>
      <c r="K503" s="8" t="n"/>
      <c r="L503" s="8" t="n"/>
      <c r="M503" s="8" t="n"/>
      <c r="N503" s="8" t="n"/>
      <c r="O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123" t="n"/>
      <c r="J504" s="8" t="n"/>
      <c r="K504" s="8" t="n"/>
      <c r="L504" s="8" t="n"/>
      <c r="M504" s="8" t="n"/>
      <c r="N504" s="8" t="n"/>
      <c r="O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123" t="n"/>
      <c r="J505" s="8" t="n"/>
      <c r="K505" s="8" t="n"/>
      <c r="L505" s="8" t="n"/>
      <c r="M505" s="8" t="n"/>
      <c r="N505" s="8" t="n"/>
      <c r="O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123" t="n"/>
      <c r="J506" s="8" t="n"/>
      <c r="K506" s="8" t="n"/>
      <c r="L506" s="8" t="n"/>
      <c r="M506" s="8" t="n"/>
      <c r="N506" s="8" t="n"/>
      <c r="O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123" t="n"/>
      <c r="J507" s="8" t="n"/>
      <c r="K507" s="8" t="n"/>
      <c r="L507" s="8" t="n"/>
      <c r="M507" s="8" t="n"/>
      <c r="N507" s="8" t="n"/>
      <c r="O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123" t="n"/>
      <c r="J508" s="8" t="n"/>
      <c r="K508" s="8" t="n"/>
      <c r="L508" s="8" t="n"/>
      <c r="M508" s="8" t="n"/>
      <c r="N508" s="8" t="n"/>
      <c r="O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123" t="n"/>
      <c r="J509" s="8" t="n"/>
      <c r="K509" s="8" t="n"/>
      <c r="L509" s="8" t="n"/>
      <c r="M509" s="8" t="n"/>
      <c r="N509" s="8" t="n"/>
      <c r="O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123" t="n"/>
      <c r="J510" s="8" t="n"/>
      <c r="K510" s="8" t="n"/>
      <c r="L510" s="8" t="n"/>
      <c r="M510" s="8" t="n"/>
      <c r="N510" s="8" t="n"/>
      <c r="O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123" t="n"/>
      <c r="J511" s="8" t="n"/>
      <c r="K511" s="8" t="n"/>
      <c r="L511" s="8" t="n"/>
      <c r="M511" s="8" t="n"/>
      <c r="N511" s="8" t="n"/>
      <c r="O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123" t="n"/>
      <c r="J512" s="8" t="n"/>
      <c r="K512" s="8" t="n"/>
      <c r="L512" s="8" t="n"/>
      <c r="M512" s="8" t="n"/>
      <c r="N512" s="8" t="n"/>
      <c r="O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123" t="n"/>
      <c r="J513" s="8" t="n"/>
      <c r="K513" s="8" t="n"/>
      <c r="L513" s="8" t="n"/>
      <c r="M513" s="8" t="n"/>
      <c r="N513" s="8" t="n"/>
      <c r="O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123" t="n"/>
      <c r="J514" s="8" t="n"/>
      <c r="K514" s="8" t="n"/>
      <c r="L514" s="8" t="n"/>
      <c r="M514" s="8" t="n"/>
      <c r="N514" s="8" t="n"/>
      <c r="O514" s="8" t="n"/>
    </row>
  </sheetData>
  <conditionalFormatting sqref="J6:J515">
    <cfRule type="expression" priority="1" dxfId="1">
      <formula>$J6="sim"</formula>
    </cfRule>
  </conditionalFormatting>
  <dataValidations count="7">
    <dataValidation sqref="C6:C515" showDropDown="0" showInputMessage="0" showErrorMessage="1" allowBlank="1" errorTitle="Valor inválido" error="Escolha um item da lista." type="list">
      <formula1>=Tipos</formula1>
    </dataValidation>
    <dataValidation sqref="D6:D515" showDropDown="0" showInputMessage="0" showErrorMessage="1" allowBlank="1" errorTitle="Valor inválido" error="Escolha um item da lista." type="list">
      <formula1>=Categorias</formula1>
    </dataValidation>
    <dataValidation sqref="E6:E515" showDropDown="0" showInputMessage="0" showErrorMessage="1" allowBlank="1" errorTitle="Valor inválido" error="Escolha um item da lista." type="list">
      <formula1>=Potes</formula1>
    </dataValidation>
    <dataValidation sqref="F6:F515" showDropDown="0" showInputMessage="0" showErrorMessage="1" allowBlank="1" errorTitle="Valor inválido" error="Escolha um item da lista." type="list">
      <formula1>=Pessoas</formula1>
    </dataValidation>
    <dataValidation sqref="G6:G515" showDropDown="0" showInputMessage="0" showErrorMessage="1" allowBlank="1" errorTitle="Valor inválido" error="Escolha um item da lista." type="list">
      <formula1>=Contas</formula1>
    </dataValidation>
    <dataValidation sqref="H6:H515" showDropDown="0" showInputMessage="0" showErrorMessage="1" allowBlank="1" errorTitle="Valor inválido" error="Escolha um item da lista." type="list">
      <formula1>=FormasPagamento</formula1>
    </dataValidation>
    <dataValidation sqref="J6:J515" showDropDown="0" showInputMessage="0" showErrorMessage="1" allowBlank="1" errorTitle="Valor inválido" error="Use sim ou não." type="list">
      <formula1>"sim,não"</formula1>
    </dataValidation>
  </dataValidations>
  <pageMargins left="0.3" right="0.3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9AA0A6"/>
    <outlinePr summaryBelow="1" summaryRight="1"/>
    <pageSetUpPr fitToPage="1"/>
  </sheetPr>
  <dimension ref="A1:AS17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style="1" min="1" max="1"/>
    <col width="24" customWidth="1" style="1" min="2" max="2"/>
    <col width="3" customWidth="1" style="1" min="3" max="3"/>
    <col width="26" customWidth="1" style="1" min="4" max="4"/>
    <col width="56" customWidth="1" style="1" min="5" max="5"/>
    <col width="3" customWidth="1" style="1" min="6" max="6"/>
    <col width="26" customWidth="1" style="1" min="7" max="7"/>
    <col width="3" customWidth="1" style="1" min="8" max="8"/>
    <col width="16" customWidth="1" style="1" min="9" max="9"/>
    <col width="3" customWidth="1" style="1" min="10" max="10"/>
    <col width="14" customWidth="1" style="1" min="11" max="11"/>
    <col width="3" customWidth="1" style="1" min="12" max="12"/>
    <col width="20" customWidth="1" style="1" min="13" max="13"/>
    <col width="15" customWidth="1" style="1" min="14" max="14"/>
    <col width="12" customWidth="1" style="1" min="15" max="15"/>
    <col width="3" customWidth="1" style="1" min="16" max="16"/>
    <col width="18" customWidth="1" style="1" min="17" max="17"/>
    <col width="12" customWidth="1" style="1" min="18" max="18"/>
    <col width="11" customWidth="1" style="1" min="19" max="19"/>
    <col width="11" customWidth="1" style="1" min="20" max="20"/>
    <col width="14" customWidth="1" style="1" min="21" max="21"/>
    <col width="3" customWidth="1" style="1" min="22" max="22"/>
    <col width="20" customWidth="1" style="1" min="23" max="23"/>
    <col width="3" customWidth="1" style="1" min="24" max="24"/>
    <col width="14" customWidth="1" style="1" min="25" max="25"/>
    <col width="3" customWidth="1" style="1" min="26" max="26"/>
    <col width="18" customWidth="1" style="1" min="27" max="27"/>
    <col width="3" customWidth="1" style="1" min="28" max="28"/>
    <col width="6" customWidth="1" style="1" min="29" max="29"/>
    <col width="12" customWidth="1" style="1" min="30" max="30"/>
    <col width="8" customWidth="1" style="1" min="31" max="31"/>
    <col width="3" customWidth="1" style="1" min="32" max="32"/>
    <col width="9" customWidth="1" style="1" min="33" max="33"/>
    <col width="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</row>
    <row r="2" ht="30" customHeight="1">
      <c r="A2" s="1" t="n"/>
      <c r="B2" s="52" t="inlineStr">
        <is>
          <t>Configurações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</row>
    <row r="3" ht="18" customHeight="1">
      <c r="A3" s="1" t="n"/>
      <c r="B3" s="4" t="inlineStr">
        <is>
          <t>Listas editáveis. Para adicionar um item, digite na primeira linha vazia logo abaixo da tabela: ela cresce sozinha e os menus suspensos acompanham.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</row>
    <row r="4">
      <c r="A4" s="8" t="n"/>
      <c r="B4" s="50" t="inlineStr">
        <is>
          <t>RECEITAS</t>
        </is>
      </c>
      <c r="C4" s="8" t="n"/>
      <c r="D4" s="50" t="inlineStr">
        <is>
          <t>GASTOS</t>
        </is>
      </c>
      <c r="E4" s="8" t="n"/>
      <c r="F4" s="8" t="n"/>
      <c r="G4" s="50" t="inlineStr">
        <is>
          <t>INVESTIMENTOS / OUTRAS</t>
        </is>
      </c>
      <c r="H4" s="8" t="n"/>
      <c r="I4" s="50" t="inlineStr">
        <is>
          <t>POTES</t>
        </is>
      </c>
      <c r="J4" s="8" t="n"/>
      <c r="K4" s="50" t="inlineStr">
        <is>
          <t>FAMÍLIA (QUEM)</t>
        </is>
      </c>
      <c r="L4" s="8" t="n"/>
      <c r="M4" s="50" t="inlineStr">
        <is>
          <t>CONTAS / BANCOS</t>
        </is>
      </c>
      <c r="N4" s="8" t="n"/>
      <c r="O4" s="8" t="n"/>
      <c r="P4" s="8" t="n"/>
      <c r="Q4" s="50" t="inlineStr">
        <is>
          <t>CARTÕES</t>
        </is>
      </c>
      <c r="R4" s="8" t="n"/>
      <c r="S4" s="8" t="n"/>
      <c r="T4" s="8" t="n"/>
      <c r="U4" s="8" t="n"/>
      <c r="V4" s="8" t="n"/>
      <c r="W4" s="50" t="inlineStr">
        <is>
          <t>FORMAS DE PAGAMENTO</t>
        </is>
      </c>
      <c r="X4" s="8" t="n"/>
      <c r="Y4" s="50" t="inlineStr">
        <is>
          <t>TIPOS</t>
        </is>
      </c>
      <c r="Z4" s="8" t="n"/>
      <c r="AA4" s="50" t="inlineStr">
        <is>
          <t>SITUAÇÕES</t>
        </is>
      </c>
      <c r="AB4" s="8" t="n"/>
      <c r="AC4" s="50" t="inlineStr">
        <is>
          <t>MESES</t>
        </is>
      </c>
      <c r="AD4" s="8" t="n"/>
      <c r="AE4" s="8" t="n"/>
      <c r="AF4" s="8" t="n"/>
      <c r="AG4" s="50" t="inlineStr">
        <is>
          <t>ANOS</t>
        </is>
      </c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</row>
    <row r="5" ht="24" customHeight="1">
      <c r="A5" s="8" t="n"/>
      <c r="B5" s="55" t="inlineStr">
        <is>
          <t>Categoria de receita</t>
        </is>
      </c>
      <c r="C5" s="8" t="n"/>
      <c r="D5" s="55" t="inlineStr">
        <is>
          <t>Categoria de gasto</t>
        </is>
      </c>
      <c r="E5" s="55" t="inlineStr">
        <is>
          <t>Subcategorias / exemplos</t>
        </is>
      </c>
      <c r="F5" s="8" t="n"/>
      <c r="G5" s="55" t="inlineStr">
        <is>
          <t>Categoria (fora dos gastos)</t>
        </is>
      </c>
      <c r="H5" s="8" t="n"/>
      <c r="I5" s="55" t="inlineStr">
        <is>
          <t>Pote</t>
        </is>
      </c>
      <c r="J5" s="8" t="n"/>
      <c r="K5" s="55" t="inlineStr">
        <is>
          <t>Quem</t>
        </is>
      </c>
      <c r="L5" s="8" t="n"/>
      <c r="M5" s="55" t="inlineStr">
        <is>
          <t>Conta</t>
        </is>
      </c>
      <c r="N5" s="55" t="inlineStr">
        <is>
          <t>Tipo de conta</t>
        </is>
      </c>
      <c r="O5" s="55" t="inlineStr">
        <is>
          <t>Banco</t>
        </is>
      </c>
      <c r="P5" s="8" t="n"/>
      <c r="Q5" s="55" t="inlineStr">
        <is>
          <t>Cartão</t>
        </is>
      </c>
      <c r="R5" s="55" t="inlineStr">
        <is>
          <t>Bandeira</t>
        </is>
      </c>
      <c r="S5" s="55" t="inlineStr">
        <is>
          <t>Dia fechamento</t>
        </is>
      </c>
      <c r="T5" s="55" t="inlineStr">
        <is>
          <t>Dia vencimento</t>
        </is>
      </c>
      <c r="U5" s="55" t="inlineStr">
        <is>
          <t>Limite</t>
        </is>
      </c>
      <c r="V5" s="8" t="n"/>
      <c r="W5" s="55" t="inlineStr">
        <is>
          <t>Forma de pagamento</t>
        </is>
      </c>
      <c r="X5" s="8" t="n"/>
      <c r="Y5" s="55" t="inlineStr">
        <is>
          <t>Tipo</t>
        </is>
      </c>
      <c r="Z5" s="8" t="n"/>
      <c r="AA5" s="55" t="inlineStr">
        <is>
          <t>Situação</t>
        </is>
      </c>
      <c r="AB5" s="8" t="n"/>
      <c r="AC5" s="55" t="inlineStr">
        <is>
          <t>Nº</t>
        </is>
      </c>
      <c r="AD5" s="55" t="inlineStr">
        <is>
          <t>Mês</t>
        </is>
      </c>
      <c r="AE5" s="55" t="inlineStr">
        <is>
          <t>Abrev.</t>
        </is>
      </c>
      <c r="AF5" s="8" t="n"/>
      <c r="AG5" s="55" t="inlineStr">
        <is>
          <t>Ano</t>
        </is>
      </c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</row>
    <row r="6" ht="20" customHeight="1">
      <c r="A6" s="8" t="n"/>
      <c r="B6" s="33" t="inlineStr">
        <is>
          <t>Salário</t>
        </is>
      </c>
      <c r="C6" s="8" t="n"/>
      <c r="D6" s="33" t="inlineStr">
        <is>
          <t>Moradia</t>
        </is>
      </c>
      <c r="E6" s="33" t="inlineStr">
        <is>
          <t>Aluguel/Financiamento, Condomínio, IPTU, Manutenção</t>
        </is>
      </c>
      <c r="F6" s="8" t="n"/>
      <c r="G6" s="33" t="inlineStr">
        <is>
          <t>Investimento</t>
        </is>
      </c>
      <c r="H6" s="8" t="n"/>
      <c r="I6" s="33" t="inlineStr">
        <is>
          <t>Essenciais</t>
        </is>
      </c>
      <c r="J6" s="8" t="n"/>
      <c r="K6" s="33" t="inlineStr">
        <is>
          <t>Família</t>
        </is>
      </c>
      <c r="L6" s="8" t="n"/>
      <c r="M6" s="33" t="inlineStr">
        <is>
          <t>Conta corrente Itaú</t>
        </is>
      </c>
      <c r="N6" s="33" t="inlineStr">
        <is>
          <t>Conta corrente</t>
        </is>
      </c>
      <c r="O6" s="33" t="inlineStr">
        <is>
          <t>Itaú</t>
        </is>
      </c>
      <c r="P6" s="8" t="n"/>
      <c r="Q6" s="33" t="inlineStr">
        <is>
          <t>Cartão Nubank</t>
        </is>
      </c>
      <c r="R6" s="33" t="inlineStr">
        <is>
          <t>Mastercard</t>
        </is>
      </c>
      <c r="S6" s="33" t="n">
        <v>3</v>
      </c>
      <c r="T6" s="33" t="n">
        <v>10</v>
      </c>
      <c r="U6" s="124" t="n">
        <v>8000</v>
      </c>
      <c r="V6" s="8" t="n"/>
      <c r="W6" s="33" t="inlineStr">
        <is>
          <t>PIX</t>
        </is>
      </c>
      <c r="X6" s="8" t="n"/>
      <c r="Y6" s="33" t="inlineStr">
        <is>
          <t>Receita</t>
        </is>
      </c>
      <c r="Z6" s="8" t="n"/>
      <c r="AA6" s="33" t="inlineStr">
        <is>
          <t>Pago</t>
        </is>
      </c>
      <c r="AB6" s="8" t="n"/>
      <c r="AC6" s="33" t="n">
        <v>1</v>
      </c>
      <c r="AD6" s="33" t="inlineStr">
        <is>
          <t>Janeiro</t>
        </is>
      </c>
      <c r="AE6" s="33" t="inlineStr">
        <is>
          <t>Jan</t>
        </is>
      </c>
      <c r="AF6" s="8" t="n"/>
      <c r="AG6" s="33" t="n">
        <v>2024</v>
      </c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</row>
    <row r="7" ht="20" customHeight="1">
      <c r="A7" s="8" t="n"/>
      <c r="B7" s="33" t="inlineStr">
        <is>
          <t>Freelance / Extras</t>
        </is>
      </c>
      <c r="C7" s="8" t="n"/>
      <c r="D7" s="33" t="inlineStr">
        <is>
          <t>Contas da casa</t>
        </is>
      </c>
      <c r="E7" s="33" t="inlineStr">
        <is>
          <t>Energia, Água, Gás, Internet, Celular</t>
        </is>
      </c>
      <c r="F7" s="8" t="n"/>
      <c r="G7" s="8" t="n"/>
      <c r="H7" s="8" t="n"/>
      <c r="I7" s="33" t="inlineStr">
        <is>
          <t>Lazer</t>
        </is>
      </c>
      <c r="J7" s="8" t="n"/>
      <c r="K7" s="8" t="n"/>
      <c r="L7" s="8" t="n"/>
      <c r="M7" s="33" t="inlineStr">
        <is>
          <t>Conta Nubank</t>
        </is>
      </c>
      <c r="N7" s="33" t="inlineStr">
        <is>
          <t>Conta digital</t>
        </is>
      </c>
      <c r="O7" s="33" t="inlineStr">
        <is>
          <t>Nubank</t>
        </is>
      </c>
      <c r="P7" s="8" t="n"/>
      <c r="Q7" s="33" t="inlineStr">
        <is>
          <t>Cartão Itaú</t>
        </is>
      </c>
      <c r="R7" s="33" t="inlineStr">
        <is>
          <t>Visa</t>
        </is>
      </c>
      <c r="S7" s="33" t="n">
        <v>25</v>
      </c>
      <c r="T7" s="33" t="n">
        <v>5</v>
      </c>
      <c r="U7" s="124" t="n">
        <v>12000</v>
      </c>
      <c r="V7" s="8" t="n"/>
      <c r="W7" s="33" t="inlineStr">
        <is>
          <t>Cartão de crédito</t>
        </is>
      </c>
      <c r="X7" s="8" t="n"/>
      <c r="Y7" s="33" t="inlineStr">
        <is>
          <t>Despesa</t>
        </is>
      </c>
      <c r="Z7" s="8" t="n"/>
      <c r="AA7" s="33" t="inlineStr">
        <is>
          <t>Recebido</t>
        </is>
      </c>
      <c r="AB7" s="8" t="n"/>
      <c r="AC7" s="33" t="n">
        <v>2</v>
      </c>
      <c r="AD7" s="33" t="inlineStr">
        <is>
          <t>Fevereiro</t>
        </is>
      </c>
      <c r="AE7" s="33" t="inlineStr">
        <is>
          <t>Fev</t>
        </is>
      </c>
      <c r="AF7" s="8" t="n"/>
      <c r="AG7" s="33" t="n">
        <v>2025</v>
      </c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</row>
    <row r="8" ht="20" customHeight="1">
      <c r="A8" s="8" t="n"/>
      <c r="B8" s="33" t="inlineStr">
        <is>
          <t>Rendimentos</t>
        </is>
      </c>
      <c r="C8" s="8" t="n"/>
      <c r="D8" s="33" t="inlineStr">
        <is>
          <t>Alimentação</t>
        </is>
      </c>
      <c r="E8" s="33" t="inlineStr">
        <is>
          <t>Mercado, Feira, Padaria, Açougue</t>
        </is>
      </c>
      <c r="F8" s="8" t="n"/>
      <c r="G8" s="8" t="n"/>
      <c r="H8" s="8" t="n"/>
      <c r="I8" s="33" t="inlineStr">
        <is>
          <t>Reserva</t>
        </is>
      </c>
      <c r="J8" s="8" t="n"/>
      <c r="K8" s="8" t="n"/>
      <c r="L8" s="8" t="n"/>
      <c r="M8" s="33" t="inlineStr">
        <is>
          <t>Poupança Caixa</t>
        </is>
      </c>
      <c r="N8" s="33" t="inlineStr">
        <is>
          <t>Poupança</t>
        </is>
      </c>
      <c r="O8" s="33" t="inlineStr">
        <is>
          <t>Caixa</t>
        </is>
      </c>
      <c r="P8" s="8" t="n"/>
      <c r="Q8" s="8" t="n"/>
      <c r="R8" s="8" t="n"/>
      <c r="S8" s="8" t="n"/>
      <c r="T8" s="8" t="n"/>
      <c r="U8" s="8" t="n"/>
      <c r="V8" s="8" t="n"/>
      <c r="W8" s="33" t="inlineStr">
        <is>
          <t>Cartão de débito</t>
        </is>
      </c>
      <c r="X8" s="8" t="n"/>
      <c r="Y8" s="33" t="inlineStr">
        <is>
          <t>Investimento</t>
        </is>
      </c>
      <c r="Z8" s="8" t="n"/>
      <c r="AA8" s="33" t="inlineStr">
        <is>
          <t>Pendente</t>
        </is>
      </c>
      <c r="AB8" s="8" t="n"/>
      <c r="AC8" s="33" t="n">
        <v>3</v>
      </c>
      <c r="AD8" s="33" t="inlineStr">
        <is>
          <t>Março</t>
        </is>
      </c>
      <c r="AE8" s="33" t="inlineStr">
        <is>
          <t>Mar</t>
        </is>
      </c>
      <c r="AF8" s="8" t="n"/>
      <c r="AG8" s="33" t="n">
        <v>2026</v>
      </c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</row>
    <row r="9" ht="20" customHeight="1">
      <c r="A9" s="8" t="n"/>
      <c r="B9" s="33" t="inlineStr">
        <is>
          <t>Reembolsos</t>
        </is>
      </c>
      <c r="C9" s="8" t="n"/>
      <c r="D9" s="33" t="inlineStr">
        <is>
          <t>Restaurantes e delivery</t>
        </is>
      </c>
      <c r="E9" s="33" t="inlineStr">
        <is>
          <t>Restaurante, Delivery, Lanches</t>
        </is>
      </c>
      <c r="F9" s="8" t="n"/>
      <c r="G9" s="8" t="n"/>
      <c r="H9" s="8" t="n"/>
      <c r="I9" s="8" t="n"/>
      <c r="J9" s="8" t="n"/>
      <c r="K9" s="8" t="n"/>
      <c r="L9" s="8" t="n"/>
      <c r="M9" s="33" t="inlineStr">
        <is>
          <t>Carteira</t>
        </is>
      </c>
      <c r="N9" s="33" t="inlineStr">
        <is>
          <t>Dinheiro</t>
        </is>
      </c>
      <c r="O9" s="33" t="inlineStr">
        <is>
          <t>—</t>
        </is>
      </c>
      <c r="P9" s="8" t="n"/>
      <c r="Q9" s="8" t="n"/>
      <c r="R9" s="8" t="n"/>
      <c r="S9" s="8" t="n"/>
      <c r="T9" s="8" t="n"/>
      <c r="U9" s="8" t="n"/>
      <c r="V9" s="8" t="n"/>
      <c r="W9" s="33" t="inlineStr">
        <is>
          <t>Boleto</t>
        </is>
      </c>
      <c r="X9" s="8" t="n"/>
      <c r="Y9" s="8" t="n"/>
      <c r="Z9" s="8" t="n"/>
      <c r="AA9" s="33" t="inlineStr">
        <is>
          <t>Descontar Depois</t>
        </is>
      </c>
      <c r="AB9" s="8" t="n"/>
      <c r="AC9" s="33" t="n">
        <v>4</v>
      </c>
      <c r="AD9" s="33" t="inlineStr">
        <is>
          <t>Abril</t>
        </is>
      </c>
      <c r="AE9" s="33" t="inlineStr">
        <is>
          <t>Abr</t>
        </is>
      </c>
      <c r="AF9" s="8" t="n"/>
      <c r="AG9" s="33" t="n">
        <v>2027</v>
      </c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</row>
    <row r="10" ht="20" customHeight="1">
      <c r="A10" s="8" t="n"/>
      <c r="B10" s="33" t="inlineStr">
        <is>
          <t>Outras receitas</t>
        </is>
      </c>
      <c r="C10" s="8" t="n"/>
      <c r="D10" s="33" t="inlineStr">
        <is>
          <t>Transporte</t>
        </is>
      </c>
      <c r="E10" s="33" t="inlineStr">
        <is>
          <t>Combustível, Estacionamento, App de transporte, Manutenção do carro</t>
        </is>
      </c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33" t="inlineStr">
        <is>
          <t>Débito automático</t>
        </is>
      </c>
      <c r="X10" s="8" t="n"/>
      <c r="Y10" s="8" t="n"/>
      <c r="Z10" s="8" t="n"/>
      <c r="AA10" s="8" t="n"/>
      <c r="AB10" s="8" t="n"/>
      <c r="AC10" s="33" t="n">
        <v>5</v>
      </c>
      <c r="AD10" s="33" t="inlineStr">
        <is>
          <t>Maio</t>
        </is>
      </c>
      <c r="AE10" s="33" t="inlineStr">
        <is>
          <t>Mai</t>
        </is>
      </c>
      <c r="AF10" s="8" t="n"/>
      <c r="AG10" s="33" t="n">
        <v>2028</v>
      </c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</row>
    <row r="11" ht="20" customHeight="1">
      <c r="A11" s="8" t="n"/>
      <c r="B11" s="8" t="n"/>
      <c r="C11" s="8" t="n"/>
      <c r="D11" s="33" t="inlineStr">
        <is>
          <t>Educação</t>
        </is>
      </c>
      <c r="E11" s="33" t="inlineStr">
        <is>
          <t>Escola, Material escolar, Cursos, Livros</t>
        </is>
      </c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33" t="inlineStr">
        <is>
          <t>Transferência</t>
        </is>
      </c>
      <c r="X11" s="8" t="n"/>
      <c r="Y11" s="8" t="n"/>
      <c r="Z11" s="8" t="n"/>
      <c r="AA11" s="8" t="n"/>
      <c r="AB11" s="8" t="n"/>
      <c r="AC11" s="33" t="n">
        <v>6</v>
      </c>
      <c r="AD11" s="33" t="inlineStr">
        <is>
          <t>Junho</t>
        </is>
      </c>
      <c r="AE11" s="33" t="inlineStr">
        <is>
          <t>Jun</t>
        </is>
      </c>
      <c r="AF11" s="8" t="n"/>
      <c r="AG11" s="33" t="n">
        <v>2029</v>
      </c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</row>
    <row r="12" ht="20" customHeight="1">
      <c r="A12" s="8" t="n"/>
      <c r="B12" s="8" t="n"/>
      <c r="C12" s="8" t="n"/>
      <c r="D12" s="33" t="inlineStr">
        <is>
          <t>Saúde</t>
        </is>
      </c>
      <c r="E12" s="33" t="inlineStr">
        <is>
          <t>Plano de saúde, Farmácia, Consultas, Exames</t>
        </is>
      </c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33" t="inlineStr">
        <is>
          <t>Dinheiro</t>
        </is>
      </c>
      <c r="X12" s="8" t="n"/>
      <c r="Y12" s="8" t="n"/>
      <c r="Z12" s="8" t="n"/>
      <c r="AA12" s="8" t="n"/>
      <c r="AB12" s="8" t="n"/>
      <c r="AC12" s="33" t="n">
        <v>7</v>
      </c>
      <c r="AD12" s="33" t="inlineStr">
        <is>
          <t>Julho</t>
        </is>
      </c>
      <c r="AE12" s="33" t="inlineStr">
        <is>
          <t>Jul</t>
        </is>
      </c>
      <c r="AF12" s="8" t="n"/>
      <c r="AG12" s="33" t="n">
        <v>2030</v>
      </c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</row>
    <row r="13" ht="20" customHeight="1">
      <c r="A13" s="8" t="n"/>
      <c r="B13" s="8" t="n"/>
      <c r="C13" s="8" t="n"/>
      <c r="D13" s="33" t="inlineStr">
        <is>
          <t>Lazer</t>
        </is>
      </c>
      <c r="E13" s="33" t="inlineStr">
        <is>
          <t>Passeios, Cinema, Viagens, Hobbies</t>
        </is>
      </c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33" t="n">
        <v>8</v>
      </c>
      <c r="AD13" s="33" t="inlineStr">
        <is>
          <t>Agosto</t>
        </is>
      </c>
      <c r="AE13" s="33" t="inlineStr">
        <is>
          <t>Ago</t>
        </is>
      </c>
      <c r="AF13" s="8" t="n"/>
      <c r="AG13" s="33" t="n">
        <v>2031</v>
      </c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</row>
    <row r="14" ht="20" customHeight="1">
      <c r="A14" s="8" t="n"/>
      <c r="B14" s="8" t="n"/>
      <c r="C14" s="8" t="n"/>
      <c r="D14" s="33" t="inlineStr">
        <is>
          <t>Assinaturas</t>
        </is>
      </c>
      <c r="E14" s="33" t="inlineStr">
        <is>
          <t>Streaming, Academia, Aplicativos, Música</t>
        </is>
      </c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33" t="n">
        <v>9</v>
      </c>
      <c r="AD14" s="33" t="inlineStr">
        <is>
          <t>Setembro</t>
        </is>
      </c>
      <c r="AE14" s="33" t="inlineStr">
        <is>
          <t>Set</t>
        </is>
      </c>
      <c r="AF14" s="8" t="n"/>
      <c r="AG14" s="33" t="n">
        <v>2032</v>
      </c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</row>
    <row r="15" ht="20" customHeight="1">
      <c r="A15" s="8" t="n"/>
      <c r="B15" s="8" t="n"/>
      <c r="C15" s="8" t="n"/>
      <c r="D15" s="33" t="inlineStr">
        <is>
          <t>Compras</t>
        </is>
      </c>
      <c r="E15" s="33" t="inlineStr">
        <is>
          <t>Roupas, Casa, Eletrônicos, Presentes</t>
        </is>
      </c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33" t="n">
        <v>10</v>
      </c>
      <c r="AD15" s="33" t="inlineStr">
        <is>
          <t>Outubro</t>
        </is>
      </c>
      <c r="AE15" s="33" t="inlineStr">
        <is>
          <t>Out</t>
        </is>
      </c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</row>
    <row r="16" ht="20" customHeight="1">
      <c r="A16" s="8" t="n"/>
      <c r="B16" s="8" t="n"/>
      <c r="C16" s="8" t="n"/>
      <c r="D16" s="33" t="inlineStr">
        <is>
          <t>Impostos e taxas</t>
        </is>
      </c>
      <c r="E16" s="33" t="inlineStr">
        <is>
          <t>IPVA, Tarifas bancárias, Anuidades</t>
        </is>
      </c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33" t="n">
        <v>11</v>
      </c>
      <c r="AD16" s="33" t="inlineStr">
        <is>
          <t>Novembro</t>
        </is>
      </c>
      <c r="AE16" s="33" t="inlineStr">
        <is>
          <t>Nov</t>
        </is>
      </c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</row>
    <row r="17" ht="20" customHeight="1">
      <c r="A17" s="8" t="n"/>
      <c r="B17" s="8" t="n"/>
      <c r="C17" s="8" t="n"/>
      <c r="D17" s="33" t="inlineStr">
        <is>
          <t>Outros</t>
        </is>
      </c>
      <c r="E17" s="33" t="inlineStr">
        <is>
          <t>Diversos</t>
        </is>
      </c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33" t="n">
        <v>12</v>
      </c>
      <c r="AD17" s="33" t="inlineStr">
        <is>
          <t>Dezembro</t>
        </is>
      </c>
      <c r="AE17" s="33" t="inlineStr">
        <is>
          <t>Dez</t>
        </is>
      </c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</row>
  </sheetData>
  <pageMargins left="0.3" right="0.3" top="1" bottom="1" header="0.5" footer="0.5"/>
  <pageSetup orientation="landscape" paperSize="9" fitToHeight="0" fitToWidth="1"/>
  <tableParts count="12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</tableParts>
</worksheet>
</file>

<file path=xl/worksheets/sheet12.xml><?xml version="1.0" encoding="utf-8"?>
<worksheet xmlns="http://schemas.openxmlformats.org/spreadsheetml/2006/main">
  <sheetPr>
    <tabColor rgb="002C323B"/>
    <outlinePr summaryBelow="1" summaryRight="1"/>
    <pageSetUpPr/>
  </sheetPr>
  <dimension ref="A1:BG151"/>
  <sheetViews>
    <sheetView tabSelected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25" t="inlineStr">
        <is>
          <t>PARÂMETROS</t>
        </is>
      </c>
      <c r="D1" t="inlineStr">
        <is>
          <t>Data</t>
        </is>
      </c>
      <c r="E1" t="inlineStr">
        <is>
          <t>Rótulo</t>
        </is>
      </c>
      <c r="F1" t="inlineStr">
        <is>
          <t>Receitas</t>
        </is>
      </c>
      <c r="G1" t="inlineStr">
        <is>
          <t>Gastos</t>
        </is>
      </c>
      <c r="H1" t="inlineStr">
        <is>
          <t>Saldo</t>
        </is>
      </c>
      <c r="J1" t="inlineStr">
        <is>
          <t>Mês</t>
        </is>
      </c>
      <c r="K1" t="inlineStr">
        <is>
          <t>Rótulo</t>
        </is>
      </c>
      <c r="L1" t="inlineStr">
        <is>
          <t>Receitas</t>
        </is>
      </c>
      <c r="M1" t="inlineStr">
        <is>
          <t>Gastos</t>
        </is>
      </c>
      <c r="N1" t="inlineStr">
        <is>
          <t>Saldo</t>
        </is>
      </c>
      <c r="O1" t="inlineStr">
        <is>
          <t>Saldo acumulado</t>
        </is>
      </c>
      <c r="Q1" t="inlineStr">
        <is>
          <t>Categoria</t>
        </is>
      </c>
      <c r="R1" t="inlineStr">
        <is>
          <t>Realizado</t>
        </is>
      </c>
      <c r="S1" t="inlineStr">
        <is>
          <t>Chave ordenação</t>
        </is>
      </c>
      <c r="T1" t="inlineStr">
        <is>
          <t>Posição</t>
        </is>
      </c>
      <c r="U1" t="inlineStr">
        <is>
          <t>Chave</t>
        </is>
      </c>
      <c r="V1" t="inlineStr">
        <is>
          <t>Linha</t>
        </is>
      </c>
      <c r="W1" t="inlineStr">
        <is>
          <t>Categoria (rosca)</t>
        </is>
      </c>
      <c r="X1" t="inlineStr">
        <is>
          <t>Valor (rosca)</t>
        </is>
      </c>
      <c r="Z1" t="inlineStr">
        <is>
          <t>Categoria</t>
        </is>
      </c>
      <c r="AA1" t="inlineStr">
        <is>
          <t>Orçado</t>
        </is>
      </c>
      <c r="AB1" t="inlineStr">
        <is>
          <t>Realizado</t>
        </is>
      </c>
      <c r="AC1" t="inlineStr">
        <is>
          <t>% usado</t>
        </is>
      </c>
      <c r="AE1" t="inlineStr">
        <is>
          <t>Posição</t>
        </is>
      </c>
      <c r="AF1" t="inlineStr">
        <is>
          <t>Chave (valor+linha)</t>
        </is>
      </c>
      <c r="AG1" t="inlineStr">
        <is>
          <t>Linha</t>
        </is>
      </c>
      <c r="AH1" t="inlineStr">
        <is>
          <t>Data</t>
        </is>
      </c>
      <c r="AI1" t="inlineStr">
        <is>
          <t>Descrição</t>
        </is>
      </c>
      <c r="AJ1" t="inlineStr">
        <is>
          <t>Categoria</t>
        </is>
      </c>
      <c r="AK1" t="inlineStr">
        <is>
          <t>Valor</t>
        </is>
      </c>
      <c r="AM1" t="inlineStr">
        <is>
          <t>Categorias (receitas + gastos + outras)</t>
        </is>
      </c>
      <c r="AO1" t="inlineStr">
        <is>
          <t>Contas + cartões</t>
        </is>
      </c>
      <c r="AQ1" t="inlineStr">
        <is>
          <t>Nº recorrente</t>
        </is>
      </c>
      <c r="AR1" t="inlineStr">
        <is>
          <t>Linha do favorito recorrente</t>
        </is>
      </c>
      <c r="AT1" t="inlineStr">
        <is>
          <t>Nº</t>
        </is>
      </c>
      <c r="AU1" t="inlineStr">
        <is>
          <t>Chave (vencimento+linha)</t>
        </is>
      </c>
      <c r="AV1" t="inlineStr">
        <is>
          <t>Linha</t>
        </is>
      </c>
      <c r="AW1" t="inlineStr">
        <is>
          <t>Vence</t>
        </is>
      </c>
      <c r="AX1" t="inlineStr">
        <is>
          <t>Descrição</t>
        </is>
      </c>
      <c r="AY1" t="inlineStr">
        <is>
          <t>Valor</t>
        </is>
      </c>
      <c r="AZ1" t="inlineStr">
        <is>
          <t>Status</t>
        </is>
      </c>
      <c r="BB1" t="inlineStr">
        <is>
          <t>Nº</t>
        </is>
      </c>
      <c r="BC1" t="inlineStr">
        <is>
          <t>Data</t>
        </is>
      </c>
      <c r="BD1" t="inlineStr">
        <is>
          <t>Descrição</t>
        </is>
      </c>
      <c r="BE1" t="inlineStr">
        <is>
          <t>Valor</t>
        </is>
      </c>
      <c r="BF1" t="inlineStr">
        <is>
          <t>Categoria</t>
        </is>
      </c>
      <c r="BG1" t="inlineStr">
        <is>
          <t>Tipo</t>
        </is>
      </c>
    </row>
    <row r="2">
      <c r="A2" t="inlineStr">
        <is>
          <t>Mês selecionado (nº)</t>
        </is>
      </c>
      <c r="B2">
        <f>MATCH(MesSelecionado,Meses,0)</f>
        <v/>
      </c>
      <c r="D2" s="126">
        <f>DATE($B$3,$B$2-11,1)</f>
        <v/>
      </c>
      <c r="E2">
        <f>INDEX(MesesAbrev,MONTH(D2))&amp;"/"&amp;RIGHT(YEAR(D2),2)</f>
        <v/>
      </c>
      <c r="F2">
        <f>SUMIFS(tbLancamentos[Valor],tbLancamentos[Tipo],"Receita",tbLancamentos[Conta no mês?],"sim",tbLancamentos[Mês],MONTH(D2),tbLancamentos[Ano],YEAR(D2))</f>
        <v/>
      </c>
      <c r="G2">
        <f>SUMIFS(tbLancamentos[Valor],tbLancamentos[Tipo],"&lt;&gt;Receita",tbLancamentos[Conta no mês?],"sim",tbLancamentos[Mês],MONTH(D2),tbLancamentos[Ano],YEAR(D2))</f>
        <v/>
      </c>
      <c r="H2">
        <f>F2-G2</f>
        <v/>
      </c>
      <c r="J2" t="n">
        <v>1</v>
      </c>
      <c r="K2">
        <f>INDEX(MesesAbrev,J2)</f>
        <v/>
      </c>
      <c r="L2">
        <f>SUMIFS(tbLancamentos[Valor],tbLancamentos[Tipo],"Receita",tbLancamentos[Conta no mês?],"sim",tbLancamentos[Mês],J2,tbLancamentos[Ano],$B$3)</f>
        <v/>
      </c>
      <c r="M2">
        <f>SUMIFS(tbLancamentos[Valor],tbLancamentos[Tipo],"&lt;&gt;Receita",tbLancamentos[Conta no mês?],"sim",tbLancamentos[Mês],J2,tbLancamentos[Ano],$B$3)</f>
        <v/>
      </c>
      <c r="N2">
        <f>L2-M2</f>
        <v/>
      </c>
      <c r="O2">
        <f>SUM($N$2:N2)</f>
        <v/>
      </c>
      <c r="Q2">
        <f>IF(1&lt;=$B$21,INDEX(Config!$D$6:$D$1000,1),"")</f>
        <v/>
      </c>
      <c r="R2">
        <f>IF(Q2="",0,SUMIFS(tbLancamentos[Valor],tbLancamentos[Categoria],Q2,tbLancamentos[Tipo],"&lt;&gt;Receita",tbLancamentos[Conta no mês?],"sim",tbLancamentos[Mês],$B$2,tbLancamentos[Ano],$B$3))</f>
        <v/>
      </c>
      <c r="S2">
        <f>IF(Q2="",-1,ROUND(R2,2)+(60)/10000000)</f>
        <v/>
      </c>
      <c r="T2" t="n">
        <v>1</v>
      </c>
      <c r="U2">
        <f>LARGE($S$2:$S$61,T2)</f>
        <v/>
      </c>
      <c r="V2">
        <f>MATCH(U2,$S$2:$S$61,0)</f>
        <v/>
      </c>
      <c r="W2">
        <f>IF(U2&lt;=0,"",INDEX($Q$2:$Q$61,V2))</f>
        <v/>
      </c>
      <c r="X2">
        <f>IF(U2&lt;=0,0,INDEX($R$2:$R$61,V2))</f>
        <v/>
      </c>
      <c r="Z2">
        <f>IFERROR(INDEX(tbOrcamento[Categoria],1)&amp;"","")</f>
        <v/>
      </c>
      <c r="AA2">
        <f>IFERROR(INDEX(tbOrcamento[Meta mensal],1)+0,0)</f>
        <v/>
      </c>
      <c r="AB2">
        <f>IFERROR(INDEX(tbOrcamento[Realizado no mês selecionado],1)+0,0)</f>
        <v/>
      </c>
      <c r="AC2">
        <f>IF(AA2&gt;0,AB2/AA2,0)</f>
        <v/>
      </c>
      <c r="AE2" t="n">
        <v>1</v>
      </c>
      <c r="AF2">
        <f t="array" ref="AF2">IFERROR(LARGE(IF((tbLancamentos[Tipo]&lt;&gt;"Receita")*(tbLancamentos[Conta no mês?]="sim")*(tbLancamentos[Mês]=$B$2)*(tbLancamentos[Ano]=$B$3),ROUND(tbLancamentos[Valor],2)+ROW(tbLancamentos[Valor])/1000000000),AE2),0)</f>
        <v/>
      </c>
      <c r="AG2">
        <f t="array" ref="AG2">IF(AF2&lt;=0,0,MATCH(ROUND((AF2-ROUND(AF2,2))*1000000000,0),ROW(tbLancamentos[Valor]),0))</f>
        <v/>
      </c>
      <c r="AH2">
        <f>IF(AG2=0,"",INDEX(tbLancamentos[Data],AG2))</f>
        <v/>
      </c>
      <c r="AI2">
        <f>IF(AG2=0,"",INDEX(tbLancamentos[Descrição],AG2))</f>
        <v/>
      </c>
      <c r="AJ2">
        <f>IF(AG2=0,"",INDEX(tbLancamentos[Categoria],AG2))</f>
        <v/>
      </c>
      <c r="AK2">
        <f>IF(AG2=0,"",INDEX(tbLancamentos[Valor],AG2))</f>
        <v/>
      </c>
      <c r="AM2">
        <f>IF(1&lt;=$B$20,INDEX(Config!$B$6:$B$1000,1),IF(1-$B$20&lt;=$B$21,INDEX(Config!$D$6:$D$1000,MAX(1,1-$B$20)),IF(1-$B$20-$B$21&lt;=$B$27,INDEX(Config!$G$6:$G$1000,MAX(1,1-$B$20-$B$21)),"")))</f>
        <v/>
      </c>
      <c r="AO2">
        <f>IF(1&lt;=$B$22,INDEX(Config!$M$6:$M$1000,1),IF(1-$B$22&lt;=$B$23,INDEX(Config!$Q$6:$Q$1000,MAX(1,1-$B$22)),""))</f>
        <v/>
      </c>
      <c r="AQ2" t="n">
        <v>1</v>
      </c>
      <c r="AR2">
        <f t="array" ref="AR2">IFERROR(SMALL(IF(tbAtalhos[Recorrente?]="sim",ROW(tbAtalhos[Recorrente?])),AQ2),0)</f>
        <v/>
      </c>
      <c r="AT2" t="n">
        <v>1</v>
      </c>
      <c r="AU2">
        <f t="array" ref="AU2">IFERROR(SMALL(IF((tbLancamentos[Situação]="Pendente")*(tbLancamentos[Tipo]&lt;&gt;"Receita"),IF(tbLancamentos[Vencimento]&lt;&gt;"",tbLancamentos[Vencimento],tbLancamentos[Data])+ROW(tbLancamentos[Valor])/1000000),AT2),0)</f>
        <v/>
      </c>
      <c r="AV2">
        <f>IF(AU2=0,0,ROUND((AU2-INT(AU2))*1000000,0))</f>
        <v/>
      </c>
      <c r="AW2" s="126">
        <f>IF(AU2=0,"",INT(AU2))</f>
        <v/>
      </c>
      <c r="AX2">
        <f>IF(AV2=0,"",INDEX(Lancamentos!$C:$C,AV2))</f>
        <v/>
      </c>
      <c r="AY2">
        <f>IF(AV2=0,"",INDEX(Lancamentos!$D:$D,AV2))</f>
        <v/>
      </c>
      <c r="AZ2">
        <f>IF(AW2="","",IF(AW2&lt;TODAY(),"Atrasada",IF(AW2-TODAY()&lt;=7,"Esta semana","Em breve")))</f>
        <v/>
      </c>
      <c r="BB2" t="n">
        <v>1</v>
      </c>
      <c r="BC2" s="126">
        <f>IFERROR(IF(INDEX(tbLancamentos[Data],ROWS(tbLancamentos[Data])-BB2+1)="","",INDEX(tbLancamentos[Data],ROWS(tbLancamentos[Data])-BB2+1)),"")</f>
        <v/>
      </c>
      <c r="BD2">
        <f>IFERROR(INDEX(tbLancamentos[Descrição],ROWS(tbLancamentos[Data])-BB2+1)&amp;"","")</f>
        <v/>
      </c>
      <c r="BE2">
        <f>IFERROR(IF(INDEX(tbLancamentos[Valor],ROWS(tbLancamentos[Data])-BB2+1)="","",INDEX(tbLancamentos[Valor],ROWS(tbLancamentos[Data])-BB2+1)),"")</f>
        <v/>
      </c>
      <c r="BF2">
        <f>IFERROR(INDEX(tbLancamentos[Categoria],ROWS(tbLancamentos[Data])-BB2+1)&amp;"","")</f>
        <v/>
      </c>
      <c r="BG2">
        <f>IFERROR(INDEX(tbLancamentos[Tipo],ROWS(tbLancamentos[Data])-BB2+1)&amp;"","")</f>
        <v/>
      </c>
    </row>
    <row r="3">
      <c r="A3" t="inlineStr">
        <is>
          <t>Ano selecionado</t>
        </is>
      </c>
      <c r="B3">
        <f>AnoSelecionado</f>
        <v/>
      </c>
      <c r="D3" s="126">
        <f>DATE($B$3,$B$2-10,1)</f>
        <v/>
      </c>
      <c r="E3">
        <f>INDEX(MesesAbrev,MONTH(D3))&amp;"/"&amp;RIGHT(YEAR(D3),2)</f>
        <v/>
      </c>
      <c r="F3">
        <f>SUMIFS(tbLancamentos[Valor],tbLancamentos[Tipo],"Receita",tbLancamentos[Conta no mês?],"sim",tbLancamentos[Mês],MONTH(D3),tbLancamentos[Ano],YEAR(D3))</f>
        <v/>
      </c>
      <c r="G3">
        <f>SUMIFS(tbLancamentos[Valor],tbLancamentos[Tipo],"&lt;&gt;Receita",tbLancamentos[Conta no mês?],"sim",tbLancamentos[Mês],MONTH(D3),tbLancamentos[Ano],YEAR(D3))</f>
        <v/>
      </c>
      <c r="H3">
        <f>F3-G3</f>
        <v/>
      </c>
      <c r="J3" t="n">
        <v>2</v>
      </c>
      <c r="K3">
        <f>INDEX(MesesAbrev,J3)</f>
        <v/>
      </c>
      <c r="L3">
        <f>SUMIFS(tbLancamentos[Valor],tbLancamentos[Tipo],"Receita",tbLancamentos[Conta no mês?],"sim",tbLancamentos[Mês],J3,tbLancamentos[Ano],$B$3)</f>
        <v/>
      </c>
      <c r="M3">
        <f>SUMIFS(tbLancamentos[Valor],tbLancamentos[Tipo],"&lt;&gt;Receita",tbLancamentos[Conta no mês?],"sim",tbLancamentos[Mês],J3,tbLancamentos[Ano],$B$3)</f>
        <v/>
      </c>
      <c r="N3">
        <f>L3-M3</f>
        <v/>
      </c>
      <c r="O3">
        <f>SUM($N$2:N3)</f>
        <v/>
      </c>
      <c r="Q3">
        <f>IF(2&lt;=$B$21,INDEX(Config!$D$6:$D$1000,2),"")</f>
        <v/>
      </c>
      <c r="R3">
        <f>IF(Q3="",0,SUMIFS(tbLancamentos[Valor],tbLancamentos[Categoria],Q3,tbLancamentos[Tipo],"&lt;&gt;Receita",tbLancamentos[Conta no mês?],"sim",tbLancamentos[Mês],$B$2,tbLancamentos[Ano],$B$3))</f>
        <v/>
      </c>
      <c r="S3">
        <f>IF(Q3="",-1,ROUND(R3,2)+(59)/10000000)</f>
        <v/>
      </c>
      <c r="T3" t="n">
        <v>2</v>
      </c>
      <c r="U3">
        <f>LARGE($S$2:$S$61,T3)</f>
        <v/>
      </c>
      <c r="V3">
        <f>MATCH(U3,$S$2:$S$61,0)</f>
        <v/>
      </c>
      <c r="W3">
        <f>IF(U3&lt;=0,"",INDEX($Q$2:$Q$61,V3))</f>
        <v/>
      </c>
      <c r="X3">
        <f>IF(U3&lt;=0,0,INDEX($R$2:$R$61,V3))</f>
        <v/>
      </c>
      <c r="Z3">
        <f>IFERROR(INDEX(tbOrcamento[Categoria],2)&amp;"","")</f>
        <v/>
      </c>
      <c r="AA3">
        <f>IFERROR(INDEX(tbOrcamento[Meta mensal],2)+0,0)</f>
        <v/>
      </c>
      <c r="AB3">
        <f>IFERROR(INDEX(tbOrcamento[Realizado no mês selecionado],2)+0,0)</f>
        <v/>
      </c>
      <c r="AC3">
        <f>IF(AA3&gt;0,AB3/AA3,0)</f>
        <v/>
      </c>
      <c r="AE3" t="n">
        <v>2</v>
      </c>
      <c r="AF3">
        <f t="array" ref="AF3">IFERROR(LARGE(IF((tbLancamentos[Tipo]&lt;&gt;"Receita")*(tbLancamentos[Conta no mês?]="sim")*(tbLancamentos[Mês]=$B$2)*(tbLancamentos[Ano]=$B$3),ROUND(tbLancamentos[Valor],2)+ROW(tbLancamentos[Valor])/1000000000),AE3),0)</f>
        <v/>
      </c>
      <c r="AG3">
        <f t="array" ref="AG3">IF(AF3&lt;=0,0,MATCH(ROUND((AF3-ROUND(AF3,2))*1000000000,0),ROW(tbLancamentos[Valor]),0))</f>
        <v/>
      </c>
      <c r="AH3">
        <f>IF(AG3=0,"",INDEX(tbLancamentos[Data],AG3))</f>
        <v/>
      </c>
      <c r="AI3">
        <f>IF(AG3=0,"",INDEX(tbLancamentos[Descrição],AG3))</f>
        <v/>
      </c>
      <c r="AJ3">
        <f>IF(AG3=0,"",INDEX(tbLancamentos[Categoria],AG3))</f>
        <v/>
      </c>
      <c r="AK3">
        <f>IF(AG3=0,"",INDEX(tbLancamentos[Valor],AG3))</f>
        <v/>
      </c>
      <c r="AM3">
        <f>IF(2&lt;=$B$20,INDEX(Config!$B$6:$B$1000,2),IF(2-$B$20&lt;=$B$21,INDEX(Config!$D$6:$D$1000,MAX(1,2-$B$20)),IF(2-$B$20-$B$21&lt;=$B$27,INDEX(Config!$G$6:$G$1000,MAX(1,2-$B$20-$B$21)),"")))</f>
        <v/>
      </c>
      <c r="AO3">
        <f>IF(2&lt;=$B$22,INDEX(Config!$M$6:$M$1000,2),IF(2-$B$22&lt;=$B$23,INDEX(Config!$Q$6:$Q$1000,MAX(1,2-$B$22)),""))</f>
        <v/>
      </c>
      <c r="AQ3" t="n">
        <v>2</v>
      </c>
      <c r="AR3">
        <f t="array" ref="AR3">IFERROR(SMALL(IF(tbAtalhos[Recorrente?]="sim",ROW(tbAtalhos[Recorrente?])),AQ3),0)</f>
        <v/>
      </c>
      <c r="AT3" t="n">
        <v>2</v>
      </c>
      <c r="AU3">
        <f t="array" ref="AU3">IFERROR(SMALL(IF((tbLancamentos[Situação]="Pendente")*(tbLancamentos[Tipo]&lt;&gt;"Receita"),IF(tbLancamentos[Vencimento]&lt;&gt;"",tbLancamentos[Vencimento],tbLancamentos[Data])+ROW(tbLancamentos[Valor])/1000000),AT3),0)</f>
        <v/>
      </c>
      <c r="AV3">
        <f>IF(AU3=0,0,ROUND((AU3-INT(AU3))*1000000,0))</f>
        <v/>
      </c>
      <c r="AW3" s="126">
        <f>IF(AU3=0,"",INT(AU3))</f>
        <v/>
      </c>
      <c r="AX3">
        <f>IF(AV3=0,"",INDEX(Lancamentos!$C:$C,AV3))</f>
        <v/>
      </c>
      <c r="AY3">
        <f>IF(AV3=0,"",INDEX(Lancamentos!$D:$D,AV3))</f>
        <v/>
      </c>
      <c r="AZ3">
        <f>IF(AW3="","",IF(AW3&lt;TODAY(),"Atrasada",IF(AW3-TODAY()&lt;=7,"Esta semana","Em breve")))</f>
        <v/>
      </c>
      <c r="BB3" t="n">
        <v>2</v>
      </c>
      <c r="BC3" s="126">
        <f>IFERROR(IF(INDEX(tbLancamentos[Data],ROWS(tbLancamentos[Data])-BB3+1)="","",INDEX(tbLancamentos[Data],ROWS(tbLancamentos[Data])-BB3+1)),"")</f>
        <v/>
      </c>
      <c r="BD3">
        <f>IFERROR(INDEX(tbLancamentos[Descrição],ROWS(tbLancamentos[Data])-BB3+1)&amp;"","")</f>
        <v/>
      </c>
      <c r="BE3">
        <f>IFERROR(IF(INDEX(tbLancamentos[Valor],ROWS(tbLancamentos[Data])-BB3+1)="","",INDEX(tbLancamentos[Valor],ROWS(tbLancamentos[Data])-BB3+1)),"")</f>
        <v/>
      </c>
      <c r="BF3">
        <f>IFERROR(INDEX(tbLancamentos[Categoria],ROWS(tbLancamentos[Data])-BB3+1)&amp;"","")</f>
        <v/>
      </c>
      <c r="BG3">
        <f>IFERROR(INDEX(tbLancamentos[Tipo],ROWS(tbLancamentos[Data])-BB3+1)&amp;"","")</f>
        <v/>
      </c>
    </row>
    <row r="4">
      <c r="A4" t="inlineStr">
        <is>
          <t>Data de referência</t>
        </is>
      </c>
      <c r="B4" s="126">
        <f>DATE(B3,B2,1)</f>
        <v/>
      </c>
      <c r="D4" s="126">
        <f>DATE($B$3,$B$2-9,1)</f>
        <v/>
      </c>
      <c r="E4">
        <f>INDEX(MesesAbrev,MONTH(D4))&amp;"/"&amp;RIGHT(YEAR(D4),2)</f>
        <v/>
      </c>
      <c r="F4">
        <f>SUMIFS(tbLancamentos[Valor],tbLancamentos[Tipo],"Receita",tbLancamentos[Conta no mês?],"sim",tbLancamentos[Mês],MONTH(D4),tbLancamentos[Ano],YEAR(D4))</f>
        <v/>
      </c>
      <c r="G4">
        <f>SUMIFS(tbLancamentos[Valor],tbLancamentos[Tipo],"&lt;&gt;Receita",tbLancamentos[Conta no mês?],"sim",tbLancamentos[Mês],MONTH(D4),tbLancamentos[Ano],YEAR(D4))</f>
        <v/>
      </c>
      <c r="H4">
        <f>F4-G4</f>
        <v/>
      </c>
      <c r="J4" t="n">
        <v>3</v>
      </c>
      <c r="K4">
        <f>INDEX(MesesAbrev,J4)</f>
        <v/>
      </c>
      <c r="L4">
        <f>SUMIFS(tbLancamentos[Valor],tbLancamentos[Tipo],"Receita",tbLancamentos[Conta no mês?],"sim",tbLancamentos[Mês],J4,tbLancamentos[Ano],$B$3)</f>
        <v/>
      </c>
      <c r="M4">
        <f>SUMIFS(tbLancamentos[Valor],tbLancamentos[Tipo],"&lt;&gt;Receita",tbLancamentos[Conta no mês?],"sim",tbLancamentos[Mês],J4,tbLancamentos[Ano],$B$3)</f>
        <v/>
      </c>
      <c r="N4">
        <f>L4-M4</f>
        <v/>
      </c>
      <c r="O4">
        <f>SUM($N$2:N4)</f>
        <v/>
      </c>
      <c r="Q4">
        <f>IF(3&lt;=$B$21,INDEX(Config!$D$6:$D$1000,3),"")</f>
        <v/>
      </c>
      <c r="R4">
        <f>IF(Q4="",0,SUMIFS(tbLancamentos[Valor],tbLancamentos[Categoria],Q4,tbLancamentos[Tipo],"&lt;&gt;Receita",tbLancamentos[Conta no mês?],"sim",tbLancamentos[Mês],$B$2,tbLancamentos[Ano],$B$3))</f>
        <v/>
      </c>
      <c r="S4">
        <f>IF(Q4="",-1,ROUND(R4,2)+(58)/10000000)</f>
        <v/>
      </c>
      <c r="T4" t="n">
        <v>3</v>
      </c>
      <c r="U4">
        <f>LARGE($S$2:$S$61,T4)</f>
        <v/>
      </c>
      <c r="V4">
        <f>MATCH(U4,$S$2:$S$61,0)</f>
        <v/>
      </c>
      <c r="W4">
        <f>IF(U4&lt;=0,"",INDEX($Q$2:$Q$61,V4))</f>
        <v/>
      </c>
      <c r="X4">
        <f>IF(U4&lt;=0,0,INDEX($R$2:$R$61,V4))</f>
        <v/>
      </c>
      <c r="Z4">
        <f>IFERROR(INDEX(tbOrcamento[Categoria],3)&amp;"","")</f>
        <v/>
      </c>
      <c r="AA4">
        <f>IFERROR(INDEX(tbOrcamento[Meta mensal],3)+0,0)</f>
        <v/>
      </c>
      <c r="AB4">
        <f>IFERROR(INDEX(tbOrcamento[Realizado no mês selecionado],3)+0,0)</f>
        <v/>
      </c>
      <c r="AC4">
        <f>IF(AA4&gt;0,AB4/AA4,0)</f>
        <v/>
      </c>
      <c r="AE4" t="n">
        <v>3</v>
      </c>
      <c r="AF4">
        <f t="array" ref="AF4">IFERROR(LARGE(IF((tbLancamentos[Tipo]&lt;&gt;"Receita")*(tbLancamentos[Conta no mês?]="sim")*(tbLancamentos[Mês]=$B$2)*(tbLancamentos[Ano]=$B$3),ROUND(tbLancamentos[Valor],2)+ROW(tbLancamentos[Valor])/1000000000),AE4),0)</f>
        <v/>
      </c>
      <c r="AG4">
        <f t="array" ref="AG4">IF(AF4&lt;=0,0,MATCH(ROUND((AF4-ROUND(AF4,2))*1000000000,0),ROW(tbLancamentos[Valor]),0))</f>
        <v/>
      </c>
      <c r="AH4">
        <f>IF(AG4=0,"",INDEX(tbLancamentos[Data],AG4))</f>
        <v/>
      </c>
      <c r="AI4">
        <f>IF(AG4=0,"",INDEX(tbLancamentos[Descrição],AG4))</f>
        <v/>
      </c>
      <c r="AJ4">
        <f>IF(AG4=0,"",INDEX(tbLancamentos[Categoria],AG4))</f>
        <v/>
      </c>
      <c r="AK4">
        <f>IF(AG4=0,"",INDEX(tbLancamentos[Valor],AG4))</f>
        <v/>
      </c>
      <c r="AM4">
        <f>IF(3&lt;=$B$20,INDEX(Config!$B$6:$B$1000,3),IF(3-$B$20&lt;=$B$21,INDEX(Config!$D$6:$D$1000,MAX(1,3-$B$20)),IF(3-$B$20-$B$21&lt;=$B$27,INDEX(Config!$G$6:$G$1000,MAX(1,3-$B$20-$B$21)),"")))</f>
        <v/>
      </c>
      <c r="AO4">
        <f>IF(3&lt;=$B$22,INDEX(Config!$M$6:$M$1000,3),IF(3-$B$22&lt;=$B$23,INDEX(Config!$Q$6:$Q$1000,MAX(1,3-$B$22)),""))</f>
        <v/>
      </c>
      <c r="AQ4" t="n">
        <v>3</v>
      </c>
      <c r="AR4">
        <f t="array" ref="AR4">IFERROR(SMALL(IF(tbAtalhos[Recorrente?]="sim",ROW(tbAtalhos[Recorrente?])),AQ4),0)</f>
        <v/>
      </c>
      <c r="AT4" t="n">
        <v>3</v>
      </c>
      <c r="AU4">
        <f t="array" ref="AU4">IFERROR(SMALL(IF((tbLancamentos[Situação]="Pendente")*(tbLancamentos[Tipo]&lt;&gt;"Receita"),IF(tbLancamentos[Vencimento]&lt;&gt;"",tbLancamentos[Vencimento],tbLancamentos[Data])+ROW(tbLancamentos[Valor])/1000000),AT4),0)</f>
        <v/>
      </c>
      <c r="AV4">
        <f>IF(AU4=0,0,ROUND((AU4-INT(AU4))*1000000,0))</f>
        <v/>
      </c>
      <c r="AW4" s="126">
        <f>IF(AU4=0,"",INT(AU4))</f>
        <v/>
      </c>
      <c r="AX4">
        <f>IF(AV4=0,"",INDEX(Lancamentos!$C:$C,AV4))</f>
        <v/>
      </c>
      <c r="AY4">
        <f>IF(AV4=0,"",INDEX(Lancamentos!$D:$D,AV4))</f>
        <v/>
      </c>
      <c r="AZ4">
        <f>IF(AW4="","",IF(AW4&lt;TODAY(),"Atrasada",IF(AW4-TODAY()&lt;=7,"Esta semana","Em breve")))</f>
        <v/>
      </c>
      <c r="BB4" t="n">
        <v>3</v>
      </c>
      <c r="BC4" s="126">
        <f>IFERROR(IF(INDEX(tbLancamentos[Data],ROWS(tbLancamentos[Data])-BB4+1)="","",INDEX(tbLancamentos[Data],ROWS(tbLancamentos[Data])-BB4+1)),"")</f>
        <v/>
      </c>
      <c r="BD4">
        <f>IFERROR(INDEX(tbLancamentos[Descrição],ROWS(tbLancamentos[Data])-BB4+1)&amp;"","")</f>
        <v/>
      </c>
      <c r="BE4">
        <f>IFERROR(IF(INDEX(tbLancamentos[Valor],ROWS(tbLancamentos[Data])-BB4+1)="","",INDEX(tbLancamentos[Valor],ROWS(tbLancamentos[Data])-BB4+1)),"")</f>
        <v/>
      </c>
      <c r="BF4">
        <f>IFERROR(INDEX(tbLancamentos[Categoria],ROWS(tbLancamentos[Data])-BB4+1)&amp;"","")</f>
        <v/>
      </c>
      <c r="BG4">
        <f>IFERROR(INDEX(tbLancamentos[Tipo],ROWS(tbLancamentos[Data])-BB4+1)&amp;"","")</f>
        <v/>
      </c>
    </row>
    <row r="5">
      <c r="A5" t="inlineStr">
        <is>
          <t>Mês anterior (data)</t>
        </is>
      </c>
      <c r="B5" s="126">
        <f>DATE(B3,B2-1,1)</f>
        <v/>
      </c>
      <c r="D5" s="126">
        <f>DATE($B$3,$B$2-8,1)</f>
        <v/>
      </c>
      <c r="E5">
        <f>INDEX(MesesAbrev,MONTH(D5))&amp;"/"&amp;RIGHT(YEAR(D5),2)</f>
        <v/>
      </c>
      <c r="F5">
        <f>SUMIFS(tbLancamentos[Valor],tbLancamentos[Tipo],"Receita",tbLancamentos[Conta no mês?],"sim",tbLancamentos[Mês],MONTH(D5),tbLancamentos[Ano],YEAR(D5))</f>
        <v/>
      </c>
      <c r="G5">
        <f>SUMIFS(tbLancamentos[Valor],tbLancamentos[Tipo],"&lt;&gt;Receita",tbLancamentos[Conta no mês?],"sim",tbLancamentos[Mês],MONTH(D5),tbLancamentos[Ano],YEAR(D5))</f>
        <v/>
      </c>
      <c r="H5">
        <f>F5-G5</f>
        <v/>
      </c>
      <c r="J5" t="n">
        <v>4</v>
      </c>
      <c r="K5">
        <f>INDEX(MesesAbrev,J5)</f>
        <v/>
      </c>
      <c r="L5">
        <f>SUMIFS(tbLancamentos[Valor],tbLancamentos[Tipo],"Receita",tbLancamentos[Conta no mês?],"sim",tbLancamentos[Mês],J5,tbLancamentos[Ano],$B$3)</f>
        <v/>
      </c>
      <c r="M5">
        <f>SUMIFS(tbLancamentos[Valor],tbLancamentos[Tipo],"&lt;&gt;Receita",tbLancamentos[Conta no mês?],"sim",tbLancamentos[Mês],J5,tbLancamentos[Ano],$B$3)</f>
        <v/>
      </c>
      <c r="N5">
        <f>L5-M5</f>
        <v/>
      </c>
      <c r="O5">
        <f>SUM($N$2:N5)</f>
        <v/>
      </c>
      <c r="Q5">
        <f>IF(4&lt;=$B$21,INDEX(Config!$D$6:$D$1000,4),"")</f>
        <v/>
      </c>
      <c r="R5">
        <f>IF(Q5="",0,SUMIFS(tbLancamentos[Valor],tbLancamentos[Categoria],Q5,tbLancamentos[Tipo],"&lt;&gt;Receita",tbLancamentos[Conta no mês?],"sim",tbLancamentos[Mês],$B$2,tbLancamentos[Ano],$B$3))</f>
        <v/>
      </c>
      <c r="S5">
        <f>IF(Q5="",-1,ROUND(R5,2)+(57)/10000000)</f>
        <v/>
      </c>
      <c r="T5" t="n">
        <v>4</v>
      </c>
      <c r="U5">
        <f>LARGE($S$2:$S$61,T5)</f>
        <v/>
      </c>
      <c r="V5">
        <f>MATCH(U5,$S$2:$S$61,0)</f>
        <v/>
      </c>
      <c r="W5">
        <f>IF(U5&lt;=0,"",INDEX($Q$2:$Q$61,V5))</f>
        <v/>
      </c>
      <c r="X5">
        <f>IF(U5&lt;=0,0,INDEX($R$2:$R$61,V5))</f>
        <v/>
      </c>
      <c r="Z5">
        <f>IFERROR(INDEX(tbOrcamento[Categoria],4)&amp;"","")</f>
        <v/>
      </c>
      <c r="AA5">
        <f>IFERROR(INDEX(tbOrcamento[Meta mensal],4)+0,0)</f>
        <v/>
      </c>
      <c r="AB5">
        <f>IFERROR(INDEX(tbOrcamento[Realizado no mês selecionado],4)+0,0)</f>
        <v/>
      </c>
      <c r="AC5">
        <f>IF(AA5&gt;0,AB5/AA5,0)</f>
        <v/>
      </c>
      <c r="AE5" t="n">
        <v>4</v>
      </c>
      <c r="AF5">
        <f t="array" ref="AF5">IFERROR(LARGE(IF((tbLancamentos[Tipo]&lt;&gt;"Receita")*(tbLancamentos[Conta no mês?]="sim")*(tbLancamentos[Mês]=$B$2)*(tbLancamentos[Ano]=$B$3),ROUND(tbLancamentos[Valor],2)+ROW(tbLancamentos[Valor])/1000000000),AE5),0)</f>
        <v/>
      </c>
      <c r="AG5">
        <f t="array" ref="AG5">IF(AF5&lt;=0,0,MATCH(ROUND((AF5-ROUND(AF5,2))*1000000000,0),ROW(tbLancamentos[Valor]),0))</f>
        <v/>
      </c>
      <c r="AH5">
        <f>IF(AG5=0,"",INDEX(tbLancamentos[Data],AG5))</f>
        <v/>
      </c>
      <c r="AI5">
        <f>IF(AG5=0,"",INDEX(tbLancamentos[Descrição],AG5))</f>
        <v/>
      </c>
      <c r="AJ5">
        <f>IF(AG5=0,"",INDEX(tbLancamentos[Categoria],AG5))</f>
        <v/>
      </c>
      <c r="AK5">
        <f>IF(AG5=0,"",INDEX(tbLancamentos[Valor],AG5))</f>
        <v/>
      </c>
      <c r="AM5">
        <f>IF(4&lt;=$B$20,INDEX(Config!$B$6:$B$1000,4),IF(4-$B$20&lt;=$B$21,INDEX(Config!$D$6:$D$1000,MAX(1,4-$B$20)),IF(4-$B$20-$B$21&lt;=$B$27,INDEX(Config!$G$6:$G$1000,MAX(1,4-$B$20-$B$21)),"")))</f>
        <v/>
      </c>
      <c r="AO5">
        <f>IF(4&lt;=$B$22,INDEX(Config!$M$6:$M$1000,4),IF(4-$B$22&lt;=$B$23,INDEX(Config!$Q$6:$Q$1000,MAX(1,4-$B$22)),""))</f>
        <v/>
      </c>
      <c r="AQ5" t="n">
        <v>4</v>
      </c>
      <c r="AR5">
        <f t="array" ref="AR5">IFERROR(SMALL(IF(tbAtalhos[Recorrente?]="sim",ROW(tbAtalhos[Recorrente?])),AQ5),0)</f>
        <v/>
      </c>
      <c r="AT5" t="n">
        <v>4</v>
      </c>
      <c r="AU5">
        <f t="array" ref="AU5">IFERROR(SMALL(IF((tbLancamentos[Situação]="Pendente")*(tbLancamentos[Tipo]&lt;&gt;"Receita"),IF(tbLancamentos[Vencimento]&lt;&gt;"",tbLancamentos[Vencimento],tbLancamentos[Data])+ROW(tbLancamentos[Valor])/1000000),AT5),0)</f>
        <v/>
      </c>
      <c r="AV5">
        <f>IF(AU5=0,0,ROUND((AU5-INT(AU5))*1000000,0))</f>
        <v/>
      </c>
      <c r="AW5" s="126">
        <f>IF(AU5=0,"",INT(AU5))</f>
        <v/>
      </c>
      <c r="AX5">
        <f>IF(AV5=0,"",INDEX(Lancamentos!$C:$C,AV5))</f>
        <v/>
      </c>
      <c r="AY5">
        <f>IF(AV5=0,"",INDEX(Lancamentos!$D:$D,AV5))</f>
        <v/>
      </c>
      <c r="AZ5">
        <f>IF(AW5="","",IF(AW5&lt;TODAY(),"Atrasada",IF(AW5-TODAY()&lt;=7,"Esta semana","Em breve")))</f>
        <v/>
      </c>
      <c r="BB5" t="n">
        <v>4</v>
      </c>
      <c r="BC5" s="126">
        <f>IFERROR(IF(INDEX(tbLancamentos[Data],ROWS(tbLancamentos[Data])-BB5+1)="","",INDEX(tbLancamentos[Data],ROWS(tbLancamentos[Data])-BB5+1)),"")</f>
        <v/>
      </c>
      <c r="BD5">
        <f>IFERROR(INDEX(tbLancamentos[Descrição],ROWS(tbLancamentos[Data])-BB5+1)&amp;"","")</f>
        <v/>
      </c>
      <c r="BE5">
        <f>IFERROR(IF(INDEX(tbLancamentos[Valor],ROWS(tbLancamentos[Data])-BB5+1)="","",INDEX(tbLancamentos[Valor],ROWS(tbLancamentos[Data])-BB5+1)),"")</f>
        <v/>
      </c>
      <c r="BF5">
        <f>IFERROR(INDEX(tbLancamentos[Categoria],ROWS(tbLancamentos[Data])-BB5+1)&amp;"","")</f>
        <v/>
      </c>
      <c r="BG5">
        <f>IFERROR(INDEX(tbLancamentos[Tipo],ROWS(tbLancamentos[Data])-BB5+1)&amp;"","")</f>
        <v/>
      </c>
    </row>
    <row r="6">
      <c r="A6" t="inlineStr">
        <is>
          <t>Mês anterior (nº)</t>
        </is>
      </c>
      <c r="B6">
        <f>MONTH(B5)</f>
        <v/>
      </c>
      <c r="D6" s="126">
        <f>DATE($B$3,$B$2-7,1)</f>
        <v/>
      </c>
      <c r="E6">
        <f>INDEX(MesesAbrev,MONTH(D6))&amp;"/"&amp;RIGHT(YEAR(D6),2)</f>
        <v/>
      </c>
      <c r="F6">
        <f>SUMIFS(tbLancamentos[Valor],tbLancamentos[Tipo],"Receita",tbLancamentos[Conta no mês?],"sim",tbLancamentos[Mês],MONTH(D6),tbLancamentos[Ano],YEAR(D6))</f>
        <v/>
      </c>
      <c r="G6">
        <f>SUMIFS(tbLancamentos[Valor],tbLancamentos[Tipo],"&lt;&gt;Receita",tbLancamentos[Conta no mês?],"sim",tbLancamentos[Mês],MONTH(D6),tbLancamentos[Ano],YEAR(D6))</f>
        <v/>
      </c>
      <c r="H6">
        <f>F6-G6</f>
        <v/>
      </c>
      <c r="J6" t="n">
        <v>5</v>
      </c>
      <c r="K6">
        <f>INDEX(MesesAbrev,J6)</f>
        <v/>
      </c>
      <c r="L6">
        <f>SUMIFS(tbLancamentos[Valor],tbLancamentos[Tipo],"Receita",tbLancamentos[Conta no mês?],"sim",tbLancamentos[Mês],J6,tbLancamentos[Ano],$B$3)</f>
        <v/>
      </c>
      <c r="M6">
        <f>SUMIFS(tbLancamentos[Valor],tbLancamentos[Tipo],"&lt;&gt;Receita",tbLancamentos[Conta no mês?],"sim",tbLancamentos[Mês],J6,tbLancamentos[Ano],$B$3)</f>
        <v/>
      </c>
      <c r="N6">
        <f>L6-M6</f>
        <v/>
      </c>
      <c r="O6">
        <f>SUM($N$2:N6)</f>
        <v/>
      </c>
      <c r="Q6">
        <f>IF(5&lt;=$B$21,INDEX(Config!$D$6:$D$1000,5),"")</f>
        <v/>
      </c>
      <c r="R6">
        <f>IF(Q6="",0,SUMIFS(tbLancamentos[Valor],tbLancamentos[Categoria],Q6,tbLancamentos[Tipo],"&lt;&gt;Receita",tbLancamentos[Conta no mês?],"sim",tbLancamentos[Mês],$B$2,tbLancamentos[Ano],$B$3))</f>
        <v/>
      </c>
      <c r="S6">
        <f>IF(Q6="",-1,ROUND(R6,2)+(56)/10000000)</f>
        <v/>
      </c>
      <c r="T6" t="n">
        <v>5</v>
      </c>
      <c r="U6">
        <f>LARGE($S$2:$S$61,T6)</f>
        <v/>
      </c>
      <c r="V6">
        <f>MATCH(U6,$S$2:$S$61,0)</f>
        <v/>
      </c>
      <c r="W6">
        <f>IF(U6&lt;=0,"",INDEX($Q$2:$Q$61,V6))</f>
        <v/>
      </c>
      <c r="X6">
        <f>IF(U6&lt;=0,0,INDEX($R$2:$R$61,V6))</f>
        <v/>
      </c>
      <c r="Z6">
        <f>IFERROR(INDEX(tbOrcamento[Categoria],5)&amp;"","")</f>
        <v/>
      </c>
      <c r="AA6">
        <f>IFERROR(INDEX(tbOrcamento[Meta mensal],5)+0,0)</f>
        <v/>
      </c>
      <c r="AB6">
        <f>IFERROR(INDEX(tbOrcamento[Realizado no mês selecionado],5)+0,0)</f>
        <v/>
      </c>
      <c r="AC6">
        <f>IF(AA6&gt;0,AB6/AA6,0)</f>
        <v/>
      </c>
      <c r="AE6" t="n">
        <v>5</v>
      </c>
      <c r="AF6">
        <f t="array" ref="AF6">IFERROR(LARGE(IF((tbLancamentos[Tipo]&lt;&gt;"Receita")*(tbLancamentos[Conta no mês?]="sim")*(tbLancamentos[Mês]=$B$2)*(tbLancamentos[Ano]=$B$3),ROUND(tbLancamentos[Valor],2)+ROW(tbLancamentos[Valor])/1000000000),AE6),0)</f>
        <v/>
      </c>
      <c r="AG6">
        <f t="array" ref="AG6">IF(AF6&lt;=0,0,MATCH(ROUND((AF6-ROUND(AF6,2))*1000000000,0),ROW(tbLancamentos[Valor]),0))</f>
        <v/>
      </c>
      <c r="AH6">
        <f>IF(AG6=0,"",INDEX(tbLancamentos[Data],AG6))</f>
        <v/>
      </c>
      <c r="AI6">
        <f>IF(AG6=0,"",INDEX(tbLancamentos[Descrição],AG6))</f>
        <v/>
      </c>
      <c r="AJ6">
        <f>IF(AG6=0,"",INDEX(tbLancamentos[Categoria],AG6))</f>
        <v/>
      </c>
      <c r="AK6">
        <f>IF(AG6=0,"",INDEX(tbLancamentos[Valor],AG6))</f>
        <v/>
      </c>
      <c r="AM6">
        <f>IF(5&lt;=$B$20,INDEX(Config!$B$6:$B$1000,5),IF(5-$B$20&lt;=$B$21,INDEX(Config!$D$6:$D$1000,MAX(1,5-$B$20)),IF(5-$B$20-$B$21&lt;=$B$27,INDEX(Config!$G$6:$G$1000,MAX(1,5-$B$20-$B$21)),"")))</f>
        <v/>
      </c>
      <c r="AO6">
        <f>IF(5&lt;=$B$22,INDEX(Config!$M$6:$M$1000,5),IF(5-$B$22&lt;=$B$23,INDEX(Config!$Q$6:$Q$1000,MAX(1,5-$B$22)),""))</f>
        <v/>
      </c>
      <c r="AQ6" t="n">
        <v>5</v>
      </c>
      <c r="AR6">
        <f t="array" ref="AR6">IFERROR(SMALL(IF(tbAtalhos[Recorrente?]="sim",ROW(tbAtalhos[Recorrente?])),AQ6),0)</f>
        <v/>
      </c>
      <c r="AT6" t="n">
        <v>5</v>
      </c>
      <c r="AU6">
        <f t="array" ref="AU6">IFERROR(SMALL(IF((tbLancamentos[Situação]="Pendente")*(tbLancamentos[Tipo]&lt;&gt;"Receita"),IF(tbLancamentos[Vencimento]&lt;&gt;"",tbLancamentos[Vencimento],tbLancamentos[Data])+ROW(tbLancamentos[Valor])/1000000),AT6),0)</f>
        <v/>
      </c>
      <c r="AV6">
        <f>IF(AU6=0,0,ROUND((AU6-INT(AU6))*1000000,0))</f>
        <v/>
      </c>
      <c r="AW6" s="126">
        <f>IF(AU6=0,"",INT(AU6))</f>
        <v/>
      </c>
      <c r="AX6">
        <f>IF(AV6=0,"",INDEX(Lancamentos!$C:$C,AV6))</f>
        <v/>
      </c>
      <c r="AY6">
        <f>IF(AV6=0,"",INDEX(Lancamentos!$D:$D,AV6))</f>
        <v/>
      </c>
      <c r="AZ6">
        <f>IF(AW6="","",IF(AW6&lt;TODAY(),"Atrasada",IF(AW6-TODAY()&lt;=7,"Esta semana","Em breve")))</f>
        <v/>
      </c>
      <c r="BB6" t="n">
        <v>5</v>
      </c>
      <c r="BC6" s="126">
        <f>IFERROR(IF(INDEX(tbLancamentos[Data],ROWS(tbLancamentos[Data])-BB6+1)="","",INDEX(tbLancamentos[Data],ROWS(tbLancamentos[Data])-BB6+1)),"")</f>
        <v/>
      </c>
      <c r="BD6">
        <f>IFERROR(INDEX(tbLancamentos[Descrição],ROWS(tbLancamentos[Data])-BB6+1)&amp;"","")</f>
        <v/>
      </c>
      <c r="BE6">
        <f>IFERROR(IF(INDEX(tbLancamentos[Valor],ROWS(tbLancamentos[Data])-BB6+1)="","",INDEX(tbLancamentos[Valor],ROWS(tbLancamentos[Data])-BB6+1)),"")</f>
        <v/>
      </c>
      <c r="BF6">
        <f>IFERROR(INDEX(tbLancamentos[Categoria],ROWS(tbLancamentos[Data])-BB6+1)&amp;"","")</f>
        <v/>
      </c>
      <c r="BG6">
        <f>IFERROR(INDEX(tbLancamentos[Tipo],ROWS(tbLancamentos[Data])-BB6+1)&amp;"","")</f>
        <v/>
      </c>
    </row>
    <row r="7">
      <c r="A7" t="inlineStr">
        <is>
          <t>Ano do mês anterior</t>
        </is>
      </c>
      <c r="B7">
        <f>YEAR(B5)</f>
        <v/>
      </c>
      <c r="D7" s="126">
        <f>DATE($B$3,$B$2-6,1)</f>
        <v/>
      </c>
      <c r="E7">
        <f>INDEX(MesesAbrev,MONTH(D7))&amp;"/"&amp;RIGHT(YEAR(D7),2)</f>
        <v/>
      </c>
      <c r="F7">
        <f>SUMIFS(tbLancamentos[Valor],tbLancamentos[Tipo],"Receita",tbLancamentos[Conta no mês?],"sim",tbLancamentos[Mês],MONTH(D7),tbLancamentos[Ano],YEAR(D7))</f>
        <v/>
      </c>
      <c r="G7">
        <f>SUMIFS(tbLancamentos[Valor],tbLancamentos[Tipo],"&lt;&gt;Receita",tbLancamentos[Conta no mês?],"sim",tbLancamentos[Mês],MONTH(D7),tbLancamentos[Ano],YEAR(D7))</f>
        <v/>
      </c>
      <c r="H7">
        <f>F7-G7</f>
        <v/>
      </c>
      <c r="J7" t="n">
        <v>6</v>
      </c>
      <c r="K7">
        <f>INDEX(MesesAbrev,J7)</f>
        <v/>
      </c>
      <c r="L7">
        <f>SUMIFS(tbLancamentos[Valor],tbLancamentos[Tipo],"Receita",tbLancamentos[Conta no mês?],"sim",tbLancamentos[Mês],J7,tbLancamentos[Ano],$B$3)</f>
        <v/>
      </c>
      <c r="M7">
        <f>SUMIFS(tbLancamentos[Valor],tbLancamentos[Tipo],"&lt;&gt;Receita",tbLancamentos[Conta no mês?],"sim",tbLancamentos[Mês],J7,tbLancamentos[Ano],$B$3)</f>
        <v/>
      </c>
      <c r="N7">
        <f>L7-M7</f>
        <v/>
      </c>
      <c r="O7">
        <f>SUM($N$2:N7)</f>
        <v/>
      </c>
      <c r="Q7">
        <f>IF(6&lt;=$B$21,INDEX(Config!$D$6:$D$1000,6),"")</f>
        <v/>
      </c>
      <c r="R7">
        <f>IF(Q7="",0,SUMIFS(tbLancamentos[Valor],tbLancamentos[Categoria],Q7,tbLancamentos[Tipo],"&lt;&gt;Receita",tbLancamentos[Conta no mês?],"sim",tbLancamentos[Mês],$B$2,tbLancamentos[Ano],$B$3))</f>
        <v/>
      </c>
      <c r="S7">
        <f>IF(Q7="",-1,ROUND(R7,2)+(55)/10000000)</f>
        <v/>
      </c>
      <c r="T7" t="n">
        <v>6</v>
      </c>
      <c r="U7">
        <f>LARGE($S$2:$S$61,T7)</f>
        <v/>
      </c>
      <c r="V7">
        <f>MATCH(U7,$S$2:$S$61,0)</f>
        <v/>
      </c>
      <c r="W7">
        <f>IF(U7&lt;=0,"",INDEX($Q$2:$Q$61,V7))</f>
        <v/>
      </c>
      <c r="X7">
        <f>IF(U7&lt;=0,0,INDEX($R$2:$R$61,V7))</f>
        <v/>
      </c>
      <c r="Z7">
        <f>IFERROR(INDEX(tbOrcamento[Categoria],6)&amp;"","")</f>
        <v/>
      </c>
      <c r="AA7">
        <f>IFERROR(INDEX(tbOrcamento[Meta mensal],6)+0,0)</f>
        <v/>
      </c>
      <c r="AB7">
        <f>IFERROR(INDEX(tbOrcamento[Realizado no mês selecionado],6)+0,0)</f>
        <v/>
      </c>
      <c r="AC7">
        <f>IF(AA7&gt;0,AB7/AA7,0)</f>
        <v/>
      </c>
      <c r="AM7">
        <f>IF(6&lt;=$B$20,INDEX(Config!$B$6:$B$1000,6),IF(6-$B$20&lt;=$B$21,INDEX(Config!$D$6:$D$1000,MAX(1,6-$B$20)),IF(6-$B$20-$B$21&lt;=$B$27,INDEX(Config!$G$6:$G$1000,MAX(1,6-$B$20-$B$21)),"")))</f>
        <v/>
      </c>
      <c r="AO7">
        <f>IF(6&lt;=$B$22,INDEX(Config!$M$6:$M$1000,6),IF(6-$B$22&lt;=$B$23,INDEX(Config!$Q$6:$Q$1000,MAX(1,6-$B$22)),""))</f>
        <v/>
      </c>
      <c r="AQ7" t="n">
        <v>6</v>
      </c>
      <c r="AR7">
        <f t="array" ref="AR7">IFERROR(SMALL(IF(tbAtalhos[Recorrente?]="sim",ROW(tbAtalhos[Recorrente?])),AQ7),0)</f>
        <v/>
      </c>
      <c r="AT7" t="n">
        <v>6</v>
      </c>
      <c r="AU7">
        <f t="array" ref="AU7">IFERROR(SMALL(IF((tbLancamentos[Situação]="Pendente")*(tbLancamentos[Tipo]&lt;&gt;"Receita"),IF(tbLancamentos[Vencimento]&lt;&gt;"",tbLancamentos[Vencimento],tbLancamentos[Data])+ROW(tbLancamentos[Valor])/1000000),AT7),0)</f>
        <v/>
      </c>
      <c r="AV7">
        <f>IF(AU7=0,0,ROUND((AU7-INT(AU7))*1000000,0))</f>
        <v/>
      </c>
      <c r="AW7" s="126">
        <f>IF(AU7=0,"",INT(AU7))</f>
        <v/>
      </c>
      <c r="AX7">
        <f>IF(AV7=0,"",INDEX(Lancamentos!$C:$C,AV7))</f>
        <v/>
      </c>
      <c r="AY7">
        <f>IF(AV7=0,"",INDEX(Lancamentos!$D:$D,AV7))</f>
        <v/>
      </c>
      <c r="AZ7">
        <f>IF(AW7="","",IF(AW7&lt;TODAY(),"Atrasada",IF(AW7-TODAY()&lt;=7,"Esta semana","Em breve")))</f>
        <v/>
      </c>
      <c r="BB7" t="n">
        <v>6</v>
      </c>
      <c r="BC7" s="126">
        <f>IFERROR(IF(INDEX(tbLancamentos[Data],ROWS(tbLancamentos[Data])-BB7+1)="","",INDEX(tbLancamentos[Data],ROWS(tbLancamentos[Data])-BB7+1)),"")</f>
        <v/>
      </c>
      <c r="BD7">
        <f>IFERROR(INDEX(tbLancamentos[Descrição],ROWS(tbLancamentos[Data])-BB7+1)&amp;"","")</f>
        <v/>
      </c>
      <c r="BE7">
        <f>IFERROR(IF(INDEX(tbLancamentos[Valor],ROWS(tbLancamentos[Data])-BB7+1)="","",INDEX(tbLancamentos[Valor],ROWS(tbLancamentos[Data])-BB7+1)),"")</f>
        <v/>
      </c>
      <c r="BF7">
        <f>IFERROR(INDEX(tbLancamentos[Categoria],ROWS(tbLancamentos[Data])-BB7+1)&amp;"","")</f>
        <v/>
      </c>
      <c r="BG7">
        <f>IFERROR(INDEX(tbLancamentos[Tipo],ROWS(tbLancamentos[Data])-BB7+1)&amp;"","")</f>
        <v/>
      </c>
    </row>
    <row r="8">
      <c r="A8" t="inlineStr"/>
      <c r="D8" s="126">
        <f>DATE($B$3,$B$2-5,1)</f>
        <v/>
      </c>
      <c r="E8">
        <f>INDEX(MesesAbrev,MONTH(D8))&amp;"/"&amp;RIGHT(YEAR(D8),2)</f>
        <v/>
      </c>
      <c r="F8">
        <f>SUMIFS(tbLancamentos[Valor],tbLancamentos[Tipo],"Receita",tbLancamentos[Conta no mês?],"sim",tbLancamentos[Mês],MONTH(D8),tbLancamentos[Ano],YEAR(D8))</f>
        <v/>
      </c>
      <c r="G8">
        <f>SUMIFS(tbLancamentos[Valor],tbLancamentos[Tipo],"&lt;&gt;Receita",tbLancamentos[Conta no mês?],"sim",tbLancamentos[Mês],MONTH(D8),tbLancamentos[Ano],YEAR(D8))</f>
        <v/>
      </c>
      <c r="H8">
        <f>F8-G8</f>
        <v/>
      </c>
      <c r="J8" t="n">
        <v>7</v>
      </c>
      <c r="K8">
        <f>INDEX(MesesAbrev,J8)</f>
        <v/>
      </c>
      <c r="L8">
        <f>SUMIFS(tbLancamentos[Valor],tbLancamentos[Tipo],"Receita",tbLancamentos[Conta no mês?],"sim",tbLancamentos[Mês],J8,tbLancamentos[Ano],$B$3)</f>
        <v/>
      </c>
      <c r="M8">
        <f>SUMIFS(tbLancamentos[Valor],tbLancamentos[Tipo],"&lt;&gt;Receita",tbLancamentos[Conta no mês?],"sim",tbLancamentos[Mês],J8,tbLancamentos[Ano],$B$3)</f>
        <v/>
      </c>
      <c r="N8">
        <f>L8-M8</f>
        <v/>
      </c>
      <c r="O8">
        <f>SUM($N$2:N8)</f>
        <v/>
      </c>
      <c r="Q8">
        <f>IF(7&lt;=$B$21,INDEX(Config!$D$6:$D$1000,7),"")</f>
        <v/>
      </c>
      <c r="R8">
        <f>IF(Q8="",0,SUMIFS(tbLancamentos[Valor],tbLancamentos[Categoria],Q8,tbLancamentos[Tipo],"&lt;&gt;Receita",tbLancamentos[Conta no mês?],"sim",tbLancamentos[Mês],$B$2,tbLancamentos[Ano],$B$3))</f>
        <v/>
      </c>
      <c r="S8">
        <f>IF(Q8="",-1,ROUND(R8,2)+(54)/10000000)</f>
        <v/>
      </c>
      <c r="T8" t="n">
        <v>7</v>
      </c>
      <c r="U8">
        <f>LARGE($S$2:$S$61,T8)</f>
        <v/>
      </c>
      <c r="V8">
        <f>MATCH(U8,$S$2:$S$61,0)</f>
        <v/>
      </c>
      <c r="W8">
        <f>IF(U8&lt;=0,"",INDEX($Q$2:$Q$61,V8))</f>
        <v/>
      </c>
      <c r="X8">
        <f>IF(U8&lt;=0,0,INDEX($R$2:$R$61,V8))</f>
        <v/>
      </c>
      <c r="Z8">
        <f>IFERROR(INDEX(tbOrcamento[Categoria],7)&amp;"","")</f>
        <v/>
      </c>
      <c r="AA8">
        <f>IFERROR(INDEX(tbOrcamento[Meta mensal],7)+0,0)</f>
        <v/>
      </c>
      <c r="AB8">
        <f>IFERROR(INDEX(tbOrcamento[Realizado no mês selecionado],7)+0,0)</f>
        <v/>
      </c>
      <c r="AC8">
        <f>IF(AA8&gt;0,AB8/AA8,0)</f>
        <v/>
      </c>
      <c r="AM8">
        <f>IF(7&lt;=$B$20,INDEX(Config!$B$6:$B$1000,7),IF(7-$B$20&lt;=$B$21,INDEX(Config!$D$6:$D$1000,MAX(1,7-$B$20)),IF(7-$B$20-$B$21&lt;=$B$27,INDEX(Config!$G$6:$G$1000,MAX(1,7-$B$20-$B$21)),"")))</f>
        <v/>
      </c>
      <c r="AO8">
        <f>IF(7&lt;=$B$22,INDEX(Config!$M$6:$M$1000,7),IF(7-$B$22&lt;=$B$23,INDEX(Config!$Q$6:$Q$1000,MAX(1,7-$B$22)),""))</f>
        <v/>
      </c>
      <c r="AQ8" t="n">
        <v>7</v>
      </c>
      <c r="AR8">
        <f t="array" ref="AR8">IFERROR(SMALL(IF(tbAtalhos[Recorrente?]="sim",ROW(tbAtalhos[Recorrente?])),AQ8),0)</f>
        <v/>
      </c>
      <c r="AT8" t="n">
        <v>7</v>
      </c>
      <c r="AU8">
        <f t="array" ref="AU8">IFERROR(SMALL(IF((tbLancamentos[Situação]="Pendente")*(tbLancamentos[Tipo]&lt;&gt;"Receita"),IF(tbLancamentos[Vencimento]&lt;&gt;"",tbLancamentos[Vencimento],tbLancamentos[Data])+ROW(tbLancamentos[Valor])/1000000),AT8),0)</f>
        <v/>
      </c>
      <c r="AV8">
        <f>IF(AU8=0,0,ROUND((AU8-INT(AU8))*1000000,0))</f>
        <v/>
      </c>
      <c r="AW8" s="126">
        <f>IF(AU8=0,"",INT(AU8))</f>
        <v/>
      </c>
      <c r="AX8">
        <f>IF(AV8=0,"",INDEX(Lancamentos!$C:$C,AV8))</f>
        <v/>
      </c>
      <c r="AY8">
        <f>IF(AV8=0,"",INDEX(Lancamentos!$D:$D,AV8))</f>
        <v/>
      </c>
      <c r="AZ8">
        <f>IF(AW8="","",IF(AW8&lt;TODAY(),"Atrasada",IF(AW8-TODAY()&lt;=7,"Esta semana","Em breve")))</f>
        <v/>
      </c>
      <c r="BB8" t="n">
        <v>7</v>
      </c>
      <c r="BC8" s="126">
        <f>IFERROR(IF(INDEX(tbLancamentos[Data],ROWS(tbLancamentos[Data])-BB8+1)="","",INDEX(tbLancamentos[Data],ROWS(tbLancamentos[Data])-BB8+1)),"")</f>
        <v/>
      </c>
      <c r="BD8">
        <f>IFERROR(INDEX(tbLancamentos[Descrição],ROWS(tbLancamentos[Data])-BB8+1)&amp;"","")</f>
        <v/>
      </c>
      <c r="BE8">
        <f>IFERROR(IF(INDEX(tbLancamentos[Valor],ROWS(tbLancamentos[Data])-BB8+1)="","",INDEX(tbLancamentos[Valor],ROWS(tbLancamentos[Data])-BB8+1)),"")</f>
        <v/>
      </c>
      <c r="BF8">
        <f>IFERROR(INDEX(tbLancamentos[Categoria],ROWS(tbLancamentos[Data])-BB8+1)&amp;"","")</f>
        <v/>
      </c>
      <c r="BG8">
        <f>IFERROR(INDEX(tbLancamentos[Tipo],ROWS(tbLancamentos[Data])-BB8+1)&amp;"","")</f>
        <v/>
      </c>
    </row>
    <row r="9">
      <c r="A9" t="inlineStr">
        <is>
          <t>Receitas do mês</t>
        </is>
      </c>
      <c r="B9">
        <f>SUMIFS(tbLancamentos[Valor],tbLancamentos[Tipo],"Receita",tbLancamentos[Conta no mês?],"sim",tbLancamentos[Mês],$B$2,tbLancamentos[Ano],$B$3)</f>
        <v/>
      </c>
      <c r="D9" s="126">
        <f>DATE($B$3,$B$2-4,1)</f>
        <v/>
      </c>
      <c r="E9">
        <f>INDEX(MesesAbrev,MONTH(D9))&amp;"/"&amp;RIGHT(YEAR(D9),2)</f>
        <v/>
      </c>
      <c r="F9">
        <f>SUMIFS(tbLancamentos[Valor],tbLancamentos[Tipo],"Receita",tbLancamentos[Conta no mês?],"sim",tbLancamentos[Mês],MONTH(D9),tbLancamentos[Ano],YEAR(D9))</f>
        <v/>
      </c>
      <c r="G9">
        <f>SUMIFS(tbLancamentos[Valor],tbLancamentos[Tipo],"&lt;&gt;Receita",tbLancamentos[Conta no mês?],"sim",tbLancamentos[Mês],MONTH(D9),tbLancamentos[Ano],YEAR(D9))</f>
        <v/>
      </c>
      <c r="H9">
        <f>F9-G9</f>
        <v/>
      </c>
      <c r="J9" t="n">
        <v>8</v>
      </c>
      <c r="K9">
        <f>INDEX(MesesAbrev,J9)</f>
        <v/>
      </c>
      <c r="L9">
        <f>SUMIFS(tbLancamentos[Valor],tbLancamentos[Tipo],"Receita",tbLancamentos[Conta no mês?],"sim",tbLancamentos[Mês],J9,tbLancamentos[Ano],$B$3)</f>
        <v/>
      </c>
      <c r="M9">
        <f>SUMIFS(tbLancamentos[Valor],tbLancamentos[Tipo],"&lt;&gt;Receita",tbLancamentos[Conta no mês?],"sim",tbLancamentos[Mês],J9,tbLancamentos[Ano],$B$3)</f>
        <v/>
      </c>
      <c r="N9">
        <f>L9-M9</f>
        <v/>
      </c>
      <c r="O9">
        <f>SUM($N$2:N9)</f>
        <v/>
      </c>
      <c r="Q9">
        <f>IF(8&lt;=$B$21,INDEX(Config!$D$6:$D$1000,8),"")</f>
        <v/>
      </c>
      <c r="R9">
        <f>IF(Q9="",0,SUMIFS(tbLancamentos[Valor],tbLancamentos[Categoria],Q9,tbLancamentos[Tipo],"&lt;&gt;Receita",tbLancamentos[Conta no mês?],"sim",tbLancamentos[Mês],$B$2,tbLancamentos[Ano],$B$3))</f>
        <v/>
      </c>
      <c r="S9">
        <f>IF(Q9="",-1,ROUND(R9,2)+(53)/10000000)</f>
        <v/>
      </c>
      <c r="T9" t="n">
        <v>8</v>
      </c>
      <c r="W9" t="inlineStr">
        <is>
          <t>Demais categorias</t>
        </is>
      </c>
      <c r="X9">
        <f>MAX(0,$B$10-SUM(X2:X8))</f>
        <v/>
      </c>
      <c r="Z9">
        <f>IFERROR(INDEX(tbOrcamento[Categoria],8)&amp;"","")</f>
        <v/>
      </c>
      <c r="AA9">
        <f>IFERROR(INDEX(tbOrcamento[Meta mensal],8)+0,0)</f>
        <v/>
      </c>
      <c r="AB9">
        <f>IFERROR(INDEX(tbOrcamento[Realizado no mês selecionado],8)+0,0)</f>
        <v/>
      </c>
      <c r="AC9">
        <f>IF(AA9&gt;0,AB9/AA9,0)</f>
        <v/>
      </c>
      <c r="AM9">
        <f>IF(8&lt;=$B$20,INDEX(Config!$B$6:$B$1000,8),IF(8-$B$20&lt;=$B$21,INDEX(Config!$D$6:$D$1000,MAX(1,8-$B$20)),IF(8-$B$20-$B$21&lt;=$B$27,INDEX(Config!$G$6:$G$1000,MAX(1,8-$B$20-$B$21)),"")))</f>
        <v/>
      </c>
      <c r="AO9">
        <f>IF(8&lt;=$B$22,INDEX(Config!$M$6:$M$1000,8),IF(8-$B$22&lt;=$B$23,INDEX(Config!$Q$6:$Q$1000,MAX(1,8-$B$22)),""))</f>
        <v/>
      </c>
      <c r="AQ9" t="n">
        <v>8</v>
      </c>
      <c r="AR9">
        <f t="array" ref="AR9">IFERROR(SMALL(IF(tbAtalhos[Recorrente?]="sim",ROW(tbAtalhos[Recorrente?])),AQ9),0)</f>
        <v/>
      </c>
      <c r="AT9" t="n">
        <v>8</v>
      </c>
      <c r="AU9">
        <f t="array" ref="AU9">IFERROR(SMALL(IF((tbLancamentos[Situação]="Pendente")*(tbLancamentos[Tipo]&lt;&gt;"Receita"),IF(tbLancamentos[Vencimento]&lt;&gt;"",tbLancamentos[Vencimento],tbLancamentos[Data])+ROW(tbLancamentos[Valor])/1000000),AT9),0)</f>
        <v/>
      </c>
      <c r="AV9">
        <f>IF(AU9=0,0,ROUND((AU9-INT(AU9))*1000000,0))</f>
        <v/>
      </c>
      <c r="AW9" s="126">
        <f>IF(AU9=0,"",INT(AU9))</f>
        <v/>
      </c>
      <c r="AX9">
        <f>IF(AV9=0,"",INDEX(Lancamentos!$C:$C,AV9))</f>
        <v/>
      </c>
      <c r="AY9">
        <f>IF(AV9=0,"",INDEX(Lancamentos!$D:$D,AV9))</f>
        <v/>
      </c>
      <c r="AZ9">
        <f>IF(AW9="","",IF(AW9&lt;TODAY(),"Atrasada",IF(AW9-TODAY()&lt;=7,"Esta semana","Em breve")))</f>
        <v/>
      </c>
      <c r="BB9" t="n">
        <v>8</v>
      </c>
      <c r="BC9" s="126">
        <f>IFERROR(IF(INDEX(tbLancamentos[Data],ROWS(tbLancamentos[Data])-BB9+1)="","",INDEX(tbLancamentos[Data],ROWS(tbLancamentos[Data])-BB9+1)),"")</f>
        <v/>
      </c>
      <c r="BD9">
        <f>IFERROR(INDEX(tbLancamentos[Descrição],ROWS(tbLancamentos[Data])-BB9+1)&amp;"","")</f>
        <v/>
      </c>
      <c r="BE9">
        <f>IFERROR(IF(INDEX(tbLancamentos[Valor],ROWS(tbLancamentos[Data])-BB9+1)="","",INDEX(tbLancamentos[Valor],ROWS(tbLancamentos[Data])-BB9+1)),"")</f>
        <v/>
      </c>
      <c r="BF9">
        <f>IFERROR(INDEX(tbLancamentos[Categoria],ROWS(tbLancamentos[Data])-BB9+1)&amp;"","")</f>
        <v/>
      </c>
      <c r="BG9">
        <f>IFERROR(INDEX(tbLancamentos[Tipo],ROWS(tbLancamentos[Data])-BB9+1)&amp;"","")</f>
        <v/>
      </c>
    </row>
    <row r="10">
      <c r="A10" t="inlineStr">
        <is>
          <t>Gastos do mês</t>
        </is>
      </c>
      <c r="B10">
        <f>SUMIFS(tbLancamentos[Valor],tbLancamentos[Tipo],"&lt;&gt;Receita",tbLancamentos[Conta no mês?],"sim",tbLancamentos[Mês],$B$2,tbLancamentos[Ano],$B$3)</f>
        <v/>
      </c>
      <c r="D10" s="126">
        <f>DATE($B$3,$B$2-3,1)</f>
        <v/>
      </c>
      <c r="E10">
        <f>INDEX(MesesAbrev,MONTH(D10))&amp;"/"&amp;RIGHT(YEAR(D10),2)</f>
        <v/>
      </c>
      <c r="F10">
        <f>SUMIFS(tbLancamentos[Valor],tbLancamentos[Tipo],"Receita",tbLancamentos[Conta no mês?],"sim",tbLancamentos[Mês],MONTH(D10),tbLancamentos[Ano],YEAR(D10))</f>
        <v/>
      </c>
      <c r="G10">
        <f>SUMIFS(tbLancamentos[Valor],tbLancamentos[Tipo],"&lt;&gt;Receita",tbLancamentos[Conta no mês?],"sim",tbLancamentos[Mês],MONTH(D10),tbLancamentos[Ano],YEAR(D10))</f>
        <v/>
      </c>
      <c r="H10">
        <f>F10-G10</f>
        <v/>
      </c>
      <c r="J10" t="n">
        <v>9</v>
      </c>
      <c r="K10">
        <f>INDEX(MesesAbrev,J10)</f>
        <v/>
      </c>
      <c r="L10">
        <f>SUMIFS(tbLancamentos[Valor],tbLancamentos[Tipo],"Receita",tbLancamentos[Conta no mês?],"sim",tbLancamentos[Mês],J10,tbLancamentos[Ano],$B$3)</f>
        <v/>
      </c>
      <c r="M10">
        <f>SUMIFS(tbLancamentos[Valor],tbLancamentos[Tipo],"&lt;&gt;Receita",tbLancamentos[Conta no mês?],"sim",tbLancamentos[Mês],J10,tbLancamentos[Ano],$B$3)</f>
        <v/>
      </c>
      <c r="N10">
        <f>L10-M10</f>
        <v/>
      </c>
      <c r="O10">
        <f>SUM($N$2:N10)</f>
        <v/>
      </c>
      <c r="Q10">
        <f>IF(9&lt;=$B$21,INDEX(Config!$D$6:$D$1000,9),"")</f>
        <v/>
      </c>
      <c r="R10">
        <f>IF(Q10="",0,SUMIFS(tbLancamentos[Valor],tbLancamentos[Categoria],Q10,tbLancamentos[Tipo],"&lt;&gt;Receita",tbLancamentos[Conta no mês?],"sim",tbLancamentos[Mês],$B$2,tbLancamentos[Ano],$B$3))</f>
        <v/>
      </c>
      <c r="S10">
        <f>IF(Q10="",-1,ROUND(R10,2)+(52)/10000000)</f>
        <v/>
      </c>
      <c r="Z10">
        <f>IFERROR(INDEX(tbOrcamento[Categoria],9)&amp;"","")</f>
        <v/>
      </c>
      <c r="AA10">
        <f>IFERROR(INDEX(tbOrcamento[Meta mensal],9)+0,0)</f>
        <v/>
      </c>
      <c r="AB10">
        <f>IFERROR(INDEX(tbOrcamento[Realizado no mês selecionado],9)+0,0)</f>
        <v/>
      </c>
      <c r="AC10">
        <f>IF(AA10&gt;0,AB10/AA10,0)</f>
        <v/>
      </c>
      <c r="AM10">
        <f>IF(9&lt;=$B$20,INDEX(Config!$B$6:$B$1000,9),IF(9-$B$20&lt;=$B$21,INDEX(Config!$D$6:$D$1000,MAX(1,9-$B$20)),IF(9-$B$20-$B$21&lt;=$B$27,INDEX(Config!$G$6:$G$1000,MAX(1,9-$B$20-$B$21)),"")))</f>
        <v/>
      </c>
      <c r="AO10">
        <f>IF(9&lt;=$B$22,INDEX(Config!$M$6:$M$1000,9),IF(9-$B$22&lt;=$B$23,INDEX(Config!$Q$6:$Q$1000,MAX(1,9-$B$22)),""))</f>
        <v/>
      </c>
      <c r="AQ10" t="n">
        <v>9</v>
      </c>
      <c r="AR10">
        <f t="array" ref="AR10">IFERROR(SMALL(IF(tbAtalhos[Recorrente?]="sim",ROW(tbAtalhos[Recorrente?])),AQ10),0)</f>
        <v/>
      </c>
    </row>
    <row r="11">
      <c r="A11" t="inlineStr">
        <is>
          <t>Receitas mês anterior</t>
        </is>
      </c>
      <c r="B11">
        <f>SUMIFS(tbLancamentos[Valor],tbLancamentos[Tipo],"Receita",tbLancamentos[Conta no mês?],"sim",tbLancamentos[Mês],$B$6,tbLancamentos[Ano],$B$7)</f>
        <v/>
      </c>
      <c r="D11" s="126">
        <f>DATE($B$3,$B$2-2,1)</f>
        <v/>
      </c>
      <c r="E11">
        <f>INDEX(MesesAbrev,MONTH(D11))&amp;"/"&amp;RIGHT(YEAR(D11),2)</f>
        <v/>
      </c>
      <c r="F11">
        <f>SUMIFS(tbLancamentos[Valor],tbLancamentos[Tipo],"Receita",tbLancamentos[Conta no mês?],"sim",tbLancamentos[Mês],MONTH(D11),tbLancamentos[Ano],YEAR(D11))</f>
        <v/>
      </c>
      <c r="G11">
        <f>SUMIFS(tbLancamentos[Valor],tbLancamentos[Tipo],"&lt;&gt;Receita",tbLancamentos[Conta no mês?],"sim",tbLancamentos[Mês],MONTH(D11),tbLancamentos[Ano],YEAR(D11))</f>
        <v/>
      </c>
      <c r="H11">
        <f>F11-G11</f>
        <v/>
      </c>
      <c r="J11" t="n">
        <v>10</v>
      </c>
      <c r="K11">
        <f>INDEX(MesesAbrev,J11)</f>
        <v/>
      </c>
      <c r="L11">
        <f>SUMIFS(tbLancamentos[Valor],tbLancamentos[Tipo],"Receita",tbLancamentos[Conta no mês?],"sim",tbLancamentos[Mês],J11,tbLancamentos[Ano],$B$3)</f>
        <v/>
      </c>
      <c r="M11">
        <f>SUMIFS(tbLancamentos[Valor],tbLancamentos[Tipo],"&lt;&gt;Receita",tbLancamentos[Conta no mês?],"sim",tbLancamentos[Mês],J11,tbLancamentos[Ano],$B$3)</f>
        <v/>
      </c>
      <c r="N11">
        <f>L11-M11</f>
        <v/>
      </c>
      <c r="O11">
        <f>SUM($N$2:N11)</f>
        <v/>
      </c>
      <c r="Q11">
        <f>IF(10&lt;=$B$21,INDEX(Config!$D$6:$D$1000,10),"")</f>
        <v/>
      </c>
      <c r="R11">
        <f>IF(Q11="",0,SUMIFS(tbLancamentos[Valor],tbLancamentos[Categoria],Q11,tbLancamentos[Tipo],"&lt;&gt;Receita",tbLancamentos[Conta no mês?],"sim",tbLancamentos[Mês],$B$2,tbLancamentos[Ano],$B$3))</f>
        <v/>
      </c>
      <c r="S11">
        <f>IF(Q11="",-1,ROUND(R11,2)+(51)/10000000)</f>
        <v/>
      </c>
      <c r="Z11">
        <f>IFERROR(INDEX(tbOrcamento[Categoria],10)&amp;"","")</f>
        <v/>
      </c>
      <c r="AA11">
        <f>IFERROR(INDEX(tbOrcamento[Meta mensal],10)+0,0)</f>
        <v/>
      </c>
      <c r="AB11">
        <f>IFERROR(INDEX(tbOrcamento[Realizado no mês selecionado],10)+0,0)</f>
        <v/>
      </c>
      <c r="AC11">
        <f>IF(AA11&gt;0,AB11/AA11,0)</f>
        <v/>
      </c>
      <c r="AM11">
        <f>IF(10&lt;=$B$20,INDEX(Config!$B$6:$B$1000,10),IF(10-$B$20&lt;=$B$21,INDEX(Config!$D$6:$D$1000,MAX(1,10-$B$20)),IF(10-$B$20-$B$21&lt;=$B$27,INDEX(Config!$G$6:$G$1000,MAX(1,10-$B$20-$B$21)),"")))</f>
        <v/>
      </c>
      <c r="AO11">
        <f>IF(10&lt;=$B$22,INDEX(Config!$M$6:$M$1000,10),IF(10-$B$22&lt;=$B$23,INDEX(Config!$Q$6:$Q$1000,MAX(1,10-$B$22)),""))</f>
        <v/>
      </c>
      <c r="AQ11" t="n">
        <v>10</v>
      </c>
      <c r="AR11">
        <f t="array" ref="AR11">IFERROR(SMALL(IF(tbAtalhos[Recorrente?]="sim",ROW(tbAtalhos[Recorrente?])),AQ11),0)</f>
        <v/>
      </c>
    </row>
    <row r="12">
      <c r="A12" t="inlineStr">
        <is>
          <t>Gastos mês anterior</t>
        </is>
      </c>
      <c r="B12">
        <f>SUMIFS(tbLancamentos[Valor],tbLancamentos[Tipo],"&lt;&gt;Receita",tbLancamentos[Conta no mês?],"sim",tbLancamentos[Mês],$B$6,tbLancamentos[Ano],$B$7)</f>
        <v/>
      </c>
      <c r="D12" s="126">
        <f>DATE($B$3,$B$2-1,1)</f>
        <v/>
      </c>
      <c r="E12">
        <f>INDEX(MesesAbrev,MONTH(D12))&amp;"/"&amp;RIGHT(YEAR(D12),2)</f>
        <v/>
      </c>
      <c r="F12">
        <f>SUMIFS(tbLancamentos[Valor],tbLancamentos[Tipo],"Receita",tbLancamentos[Conta no mês?],"sim",tbLancamentos[Mês],MONTH(D12),tbLancamentos[Ano],YEAR(D12))</f>
        <v/>
      </c>
      <c r="G12">
        <f>SUMIFS(tbLancamentos[Valor],tbLancamentos[Tipo],"&lt;&gt;Receita",tbLancamentos[Conta no mês?],"sim",tbLancamentos[Mês],MONTH(D12),tbLancamentos[Ano],YEAR(D12))</f>
        <v/>
      </c>
      <c r="H12">
        <f>F12-G12</f>
        <v/>
      </c>
      <c r="J12" t="n">
        <v>11</v>
      </c>
      <c r="K12">
        <f>INDEX(MesesAbrev,J12)</f>
        <v/>
      </c>
      <c r="L12">
        <f>SUMIFS(tbLancamentos[Valor],tbLancamentos[Tipo],"Receita",tbLancamentos[Conta no mês?],"sim",tbLancamentos[Mês],J12,tbLancamentos[Ano],$B$3)</f>
        <v/>
      </c>
      <c r="M12">
        <f>SUMIFS(tbLancamentos[Valor],tbLancamentos[Tipo],"&lt;&gt;Receita",tbLancamentos[Conta no mês?],"sim",tbLancamentos[Mês],J12,tbLancamentos[Ano],$B$3)</f>
        <v/>
      </c>
      <c r="N12">
        <f>L12-M12</f>
        <v/>
      </c>
      <c r="O12">
        <f>SUM($N$2:N12)</f>
        <v/>
      </c>
      <c r="Q12">
        <f>IF(11&lt;=$B$21,INDEX(Config!$D$6:$D$1000,11),"")</f>
        <v/>
      </c>
      <c r="R12">
        <f>IF(Q12="",0,SUMIFS(tbLancamentos[Valor],tbLancamentos[Categoria],Q12,tbLancamentos[Tipo],"&lt;&gt;Receita",tbLancamentos[Conta no mês?],"sim",tbLancamentos[Mês],$B$2,tbLancamentos[Ano],$B$3))</f>
        <v/>
      </c>
      <c r="S12">
        <f>IF(Q12="",-1,ROUND(R12,2)+(50)/10000000)</f>
        <v/>
      </c>
      <c r="Z12">
        <f>IFERROR(INDEX(tbOrcamento[Categoria],11)&amp;"","")</f>
        <v/>
      </c>
      <c r="AA12">
        <f>IFERROR(INDEX(tbOrcamento[Meta mensal],11)+0,0)</f>
        <v/>
      </c>
      <c r="AB12">
        <f>IFERROR(INDEX(tbOrcamento[Realizado no mês selecionado],11)+0,0)</f>
        <v/>
      </c>
      <c r="AC12">
        <f>IF(AA12&gt;0,AB12/AA12,0)</f>
        <v/>
      </c>
      <c r="AM12">
        <f>IF(11&lt;=$B$20,INDEX(Config!$B$6:$B$1000,11),IF(11-$B$20&lt;=$B$21,INDEX(Config!$D$6:$D$1000,MAX(1,11-$B$20)),IF(11-$B$20-$B$21&lt;=$B$27,INDEX(Config!$G$6:$G$1000,MAX(1,11-$B$20-$B$21)),"")))</f>
        <v/>
      </c>
      <c r="AO12">
        <f>IF(11&lt;=$B$22,INDEX(Config!$M$6:$M$1000,11),IF(11-$B$22&lt;=$B$23,INDEX(Config!$Q$6:$Q$1000,MAX(1,11-$B$22)),""))</f>
        <v/>
      </c>
      <c r="AQ12" t="n">
        <v>11</v>
      </c>
      <c r="AR12">
        <f t="array" ref="AR12">IFERROR(SMALL(IF(tbAtalhos[Recorrente?]="sim",ROW(tbAtalhos[Recorrente?])),AQ12),0)</f>
        <v/>
      </c>
    </row>
    <row r="13">
      <c r="A13" t="inlineStr">
        <is>
          <t>Saldo do mês</t>
        </is>
      </c>
      <c r="B13">
        <f>B9-B10</f>
        <v/>
      </c>
      <c r="D13" s="126">
        <f>DATE($B$3,$B$2-0,1)</f>
        <v/>
      </c>
      <c r="E13">
        <f>INDEX(MesesAbrev,MONTH(D13))&amp;"/"&amp;RIGHT(YEAR(D13),2)</f>
        <v/>
      </c>
      <c r="F13">
        <f>SUMIFS(tbLancamentos[Valor],tbLancamentos[Tipo],"Receita",tbLancamentos[Conta no mês?],"sim",tbLancamentos[Mês],MONTH(D13),tbLancamentos[Ano],YEAR(D13))</f>
        <v/>
      </c>
      <c r="G13">
        <f>SUMIFS(tbLancamentos[Valor],tbLancamentos[Tipo],"&lt;&gt;Receita",tbLancamentos[Conta no mês?],"sim",tbLancamentos[Mês],MONTH(D13),tbLancamentos[Ano],YEAR(D13))</f>
        <v/>
      </c>
      <c r="H13">
        <f>F13-G13</f>
        <v/>
      </c>
      <c r="J13" t="n">
        <v>12</v>
      </c>
      <c r="K13">
        <f>INDEX(MesesAbrev,J13)</f>
        <v/>
      </c>
      <c r="L13">
        <f>SUMIFS(tbLancamentos[Valor],tbLancamentos[Tipo],"Receita",tbLancamentos[Conta no mês?],"sim",tbLancamentos[Mês],J13,tbLancamentos[Ano],$B$3)</f>
        <v/>
      </c>
      <c r="M13">
        <f>SUMIFS(tbLancamentos[Valor],tbLancamentos[Tipo],"&lt;&gt;Receita",tbLancamentos[Conta no mês?],"sim",tbLancamentos[Mês],J13,tbLancamentos[Ano],$B$3)</f>
        <v/>
      </c>
      <c r="N13">
        <f>L13-M13</f>
        <v/>
      </c>
      <c r="O13">
        <f>SUM($N$2:N13)</f>
        <v/>
      </c>
      <c r="Q13">
        <f>IF(12&lt;=$B$21,INDEX(Config!$D$6:$D$1000,12),"")</f>
        <v/>
      </c>
      <c r="R13">
        <f>IF(Q13="",0,SUMIFS(tbLancamentos[Valor],tbLancamentos[Categoria],Q13,tbLancamentos[Tipo],"&lt;&gt;Receita",tbLancamentos[Conta no mês?],"sim",tbLancamentos[Mês],$B$2,tbLancamentos[Ano],$B$3))</f>
        <v/>
      </c>
      <c r="S13">
        <f>IF(Q13="",-1,ROUND(R13,2)+(49)/10000000)</f>
        <v/>
      </c>
      <c r="Z13">
        <f>IFERROR(INDEX(tbOrcamento[Categoria],12)&amp;"","")</f>
        <v/>
      </c>
      <c r="AA13">
        <f>IFERROR(INDEX(tbOrcamento[Meta mensal],12)+0,0)</f>
        <v/>
      </c>
      <c r="AB13">
        <f>IFERROR(INDEX(tbOrcamento[Realizado no mês selecionado],12)+0,0)</f>
        <v/>
      </c>
      <c r="AC13">
        <f>IF(AA13&gt;0,AB13/AA13,0)</f>
        <v/>
      </c>
      <c r="AM13">
        <f>IF(12&lt;=$B$20,INDEX(Config!$B$6:$B$1000,12),IF(12-$B$20&lt;=$B$21,INDEX(Config!$D$6:$D$1000,MAX(1,12-$B$20)),IF(12-$B$20-$B$21&lt;=$B$27,INDEX(Config!$G$6:$G$1000,MAX(1,12-$B$20-$B$21)),"")))</f>
        <v/>
      </c>
      <c r="AO13">
        <f>IF(12&lt;=$B$22,INDEX(Config!$M$6:$M$1000,12),IF(12-$B$22&lt;=$B$23,INDEX(Config!$Q$6:$Q$1000,MAX(1,12-$B$22)),""))</f>
        <v/>
      </c>
      <c r="AQ13" t="n">
        <v>12</v>
      </c>
      <c r="AR13">
        <f t="array" ref="AR13">IFERROR(SMALL(IF(tbAtalhos[Recorrente?]="sim",ROW(tbAtalhos[Recorrente?])),AQ13),0)</f>
        <v/>
      </c>
    </row>
    <row r="14">
      <c r="A14" t="inlineStr">
        <is>
          <t>Saldo mês anterior</t>
        </is>
      </c>
      <c r="B14">
        <f>B11-B12</f>
        <v/>
      </c>
      <c r="Q14">
        <f>IF(13&lt;=$B$21,INDEX(Config!$D$6:$D$1000,13),"")</f>
        <v/>
      </c>
      <c r="R14">
        <f>IF(Q14="",0,SUMIFS(tbLancamentos[Valor],tbLancamentos[Categoria],Q14,tbLancamentos[Tipo],"&lt;&gt;Receita",tbLancamentos[Conta no mês?],"sim",tbLancamentos[Mês],$B$2,tbLancamentos[Ano],$B$3))</f>
        <v/>
      </c>
      <c r="S14">
        <f>IF(Q14="",-1,ROUND(R14,2)+(48)/10000000)</f>
        <v/>
      </c>
      <c r="AM14">
        <f>IF(13&lt;=$B$20,INDEX(Config!$B$6:$B$1000,13),IF(13-$B$20&lt;=$B$21,INDEX(Config!$D$6:$D$1000,MAX(1,13-$B$20)),IF(13-$B$20-$B$21&lt;=$B$27,INDEX(Config!$G$6:$G$1000,MAX(1,13-$B$20-$B$21)),"")))</f>
        <v/>
      </c>
      <c r="AO14">
        <f>IF(13&lt;=$B$22,INDEX(Config!$M$6:$M$1000,13),IF(13-$B$22&lt;=$B$23,INDEX(Config!$Q$6:$Q$1000,MAX(1,13-$B$22)),""))</f>
        <v/>
      </c>
      <c r="AQ14" t="n">
        <v>13</v>
      </c>
      <c r="AR14">
        <f t="array" ref="AR14">IFERROR(SMALL(IF(tbAtalhos[Recorrente?]="sim",ROW(tbAtalhos[Recorrente?])),AQ14),0)</f>
        <v/>
      </c>
    </row>
    <row r="15">
      <c r="A15" t="inlineStr">
        <is>
          <t>Taxa de poupança</t>
        </is>
      </c>
      <c r="B15" s="127">
        <f>IF(B9&gt;0,B13/B9,0)</f>
        <v/>
      </c>
      <c r="Q15">
        <f>IF(14&lt;=$B$21,INDEX(Config!$D$6:$D$1000,14),"")</f>
        <v/>
      </c>
      <c r="R15">
        <f>IF(Q15="",0,SUMIFS(tbLancamentos[Valor],tbLancamentos[Categoria],Q15,tbLancamentos[Tipo],"&lt;&gt;Receita",tbLancamentos[Conta no mês?],"sim",tbLancamentos[Mês],$B$2,tbLancamentos[Ano],$B$3))</f>
        <v/>
      </c>
      <c r="S15">
        <f>IF(Q15="",-1,ROUND(R15,2)+(47)/10000000)</f>
        <v/>
      </c>
      <c r="AM15">
        <f>IF(14&lt;=$B$20,INDEX(Config!$B$6:$B$1000,14),IF(14-$B$20&lt;=$B$21,INDEX(Config!$D$6:$D$1000,MAX(1,14-$B$20)),IF(14-$B$20-$B$21&lt;=$B$27,INDEX(Config!$G$6:$G$1000,MAX(1,14-$B$20-$B$21)),"")))</f>
        <v/>
      </c>
      <c r="AO15">
        <f>IF(14&lt;=$B$22,INDEX(Config!$M$6:$M$1000,14),IF(14-$B$22&lt;=$B$23,INDEX(Config!$Q$6:$Q$1000,MAX(1,14-$B$22)),""))</f>
        <v/>
      </c>
      <c r="AQ15" t="n">
        <v>14</v>
      </c>
      <c r="AR15">
        <f t="array" ref="AR15">IFERROR(SMALL(IF(tbAtalhos[Recorrente?]="sim",ROW(tbAtalhos[Recorrente?])),AQ15),0)</f>
        <v/>
      </c>
    </row>
    <row r="16">
      <c r="A16" t="inlineStr">
        <is>
          <t>Variação gastos vs. anterior</t>
        </is>
      </c>
      <c r="B16" s="127">
        <f>IF(B12&gt;0,B10/B12-1,0)</f>
        <v/>
      </c>
      <c r="Q16">
        <f>IF(15&lt;=$B$21,INDEX(Config!$D$6:$D$1000,15),"")</f>
        <v/>
      </c>
      <c r="R16">
        <f>IF(Q16="",0,SUMIFS(tbLancamentos[Valor],tbLancamentos[Categoria],Q16,tbLancamentos[Tipo],"&lt;&gt;Receita",tbLancamentos[Conta no mês?],"sim",tbLancamentos[Mês],$B$2,tbLancamentos[Ano],$B$3))</f>
        <v/>
      </c>
      <c r="S16">
        <f>IF(Q16="",-1,ROUND(R16,2)+(46)/10000000)</f>
        <v/>
      </c>
      <c r="AM16">
        <f>IF(15&lt;=$B$20,INDEX(Config!$B$6:$B$1000,15),IF(15-$B$20&lt;=$B$21,INDEX(Config!$D$6:$D$1000,MAX(1,15-$B$20)),IF(15-$B$20-$B$21&lt;=$B$27,INDEX(Config!$G$6:$G$1000,MAX(1,15-$B$20-$B$21)),"")))</f>
        <v/>
      </c>
      <c r="AO16">
        <f>IF(15&lt;=$B$22,INDEX(Config!$M$6:$M$1000,15),IF(15-$B$22&lt;=$B$23,INDEX(Config!$Q$6:$Q$1000,MAX(1,15-$B$22)),""))</f>
        <v/>
      </c>
      <c r="AQ16" t="n">
        <v>15</v>
      </c>
      <c r="AR16">
        <f t="array" ref="AR16">IFERROR(SMALL(IF(tbAtalhos[Recorrente?]="sim",ROW(tbAtalhos[Recorrente?])),AQ16),0)</f>
        <v/>
      </c>
    </row>
    <row r="17">
      <c r="A17" t="inlineStr">
        <is>
          <t>Orçamento total (metas)</t>
        </is>
      </c>
      <c r="B17">
        <f>SUM(tbOrcamento[Meta mensal])</f>
        <v/>
      </c>
      <c r="Q17">
        <f>IF(16&lt;=$B$21,INDEX(Config!$D$6:$D$1000,16),"")</f>
        <v/>
      </c>
      <c r="R17">
        <f>IF(Q17="",0,SUMIFS(tbLancamentos[Valor],tbLancamentos[Categoria],Q17,tbLancamentos[Tipo],"&lt;&gt;Receita",tbLancamentos[Conta no mês?],"sim",tbLancamentos[Mês],$B$2,tbLancamentos[Ano],$B$3))</f>
        <v/>
      </c>
      <c r="S17">
        <f>IF(Q17="",-1,ROUND(R17,2)+(45)/10000000)</f>
        <v/>
      </c>
      <c r="AM17">
        <f>IF(16&lt;=$B$20,INDEX(Config!$B$6:$B$1000,16),IF(16-$B$20&lt;=$B$21,INDEX(Config!$D$6:$D$1000,MAX(1,16-$B$20)),IF(16-$B$20-$B$21&lt;=$B$27,INDEX(Config!$G$6:$G$1000,MAX(1,16-$B$20-$B$21)),"")))</f>
        <v/>
      </c>
      <c r="AO17">
        <f>IF(16&lt;=$B$22,INDEX(Config!$M$6:$M$1000,16),IF(16-$B$22&lt;=$B$23,INDEX(Config!$Q$6:$Q$1000,MAX(1,16-$B$22)),""))</f>
        <v/>
      </c>
      <c r="AQ17" t="n">
        <v>16</v>
      </c>
      <c r="AR17">
        <f t="array" ref="AR17">IFERROR(SMALL(IF(tbAtalhos[Recorrente?]="sim",ROW(tbAtalhos[Recorrente?])),AQ17),0)</f>
        <v/>
      </c>
    </row>
    <row r="18">
      <c r="A18" t="inlineStr">
        <is>
          <t>% do orçamento utilizado</t>
        </is>
      </c>
      <c r="B18" s="127">
        <f>IF(B17&gt;0,B10/B17,0)</f>
        <v/>
      </c>
      <c r="Q18">
        <f>IF(17&lt;=$B$21,INDEX(Config!$D$6:$D$1000,17),"")</f>
        <v/>
      </c>
      <c r="R18">
        <f>IF(Q18="",0,SUMIFS(tbLancamentos[Valor],tbLancamentos[Categoria],Q18,tbLancamentos[Tipo],"&lt;&gt;Receita",tbLancamentos[Conta no mês?],"sim",tbLancamentos[Mês],$B$2,tbLancamentos[Ano],$B$3))</f>
        <v/>
      </c>
      <c r="S18">
        <f>IF(Q18="",-1,ROUND(R18,2)+(44)/10000000)</f>
        <v/>
      </c>
      <c r="AM18">
        <f>IF(17&lt;=$B$20,INDEX(Config!$B$6:$B$1000,17),IF(17-$B$20&lt;=$B$21,INDEX(Config!$D$6:$D$1000,MAX(1,17-$B$20)),IF(17-$B$20-$B$21&lt;=$B$27,INDEX(Config!$G$6:$G$1000,MAX(1,17-$B$20-$B$21)),"")))</f>
        <v/>
      </c>
      <c r="AO18">
        <f>IF(17&lt;=$B$22,INDEX(Config!$M$6:$M$1000,17),IF(17-$B$22&lt;=$B$23,INDEX(Config!$Q$6:$Q$1000,MAX(1,17-$B$22)),""))</f>
        <v/>
      </c>
      <c r="AQ18" t="n">
        <v>17</v>
      </c>
      <c r="AR18">
        <f t="array" ref="AR18">IFERROR(SMALL(IF(tbAtalhos[Recorrente?]="sim",ROW(tbAtalhos[Recorrente?])),AQ18),0)</f>
        <v/>
      </c>
    </row>
    <row r="19">
      <c r="A19" t="inlineStr">
        <is>
          <t>Taxa de poupança mês anterior</t>
        </is>
      </c>
      <c r="B19" s="127">
        <f>IF(B11&gt;0,B14/B11,0)</f>
        <v/>
      </c>
      <c r="Q19">
        <f>IF(18&lt;=$B$21,INDEX(Config!$D$6:$D$1000,18),"")</f>
        <v/>
      </c>
      <c r="R19">
        <f>IF(Q19="",0,SUMIFS(tbLancamentos[Valor],tbLancamentos[Categoria],Q19,tbLancamentos[Tipo],"&lt;&gt;Receita",tbLancamentos[Conta no mês?],"sim",tbLancamentos[Mês],$B$2,tbLancamentos[Ano],$B$3))</f>
        <v/>
      </c>
      <c r="S19">
        <f>IF(Q19="",-1,ROUND(R19,2)+(43)/10000000)</f>
        <v/>
      </c>
      <c r="AM19">
        <f>IF(18&lt;=$B$20,INDEX(Config!$B$6:$B$1000,18),IF(18-$B$20&lt;=$B$21,INDEX(Config!$D$6:$D$1000,MAX(1,18-$B$20)),IF(18-$B$20-$B$21&lt;=$B$27,INDEX(Config!$G$6:$G$1000,MAX(1,18-$B$20-$B$21)),"")))</f>
        <v/>
      </c>
      <c r="AO19">
        <f>IF(18&lt;=$B$22,INDEX(Config!$M$6:$M$1000,18),IF(18-$B$22&lt;=$B$23,INDEX(Config!$Q$6:$Q$1000,MAX(1,18-$B$22)),""))</f>
        <v/>
      </c>
      <c r="AQ19" t="n">
        <v>18</v>
      </c>
      <c r="AR19">
        <f t="array" ref="AR19">IFERROR(SMALL(IF(tbAtalhos[Recorrente?]="sim",ROW(tbAtalhos[Recorrente?])),AQ19),0)</f>
        <v/>
      </c>
    </row>
    <row r="20">
      <c r="A20" t="inlineStr">
        <is>
          <t>Qtde categorias receita</t>
        </is>
      </c>
      <c r="B20">
        <f>SUMPRODUCT(--(LEN(Config!$B$6:$B$1000)&gt;0))</f>
        <v/>
      </c>
      <c r="Q20">
        <f>IF(19&lt;=$B$21,INDEX(Config!$D$6:$D$1000,19),"")</f>
        <v/>
      </c>
      <c r="R20">
        <f>IF(Q20="",0,SUMIFS(tbLancamentos[Valor],tbLancamentos[Categoria],Q20,tbLancamentos[Tipo],"&lt;&gt;Receita",tbLancamentos[Conta no mês?],"sim",tbLancamentos[Mês],$B$2,tbLancamentos[Ano],$B$3))</f>
        <v/>
      </c>
      <c r="S20">
        <f>IF(Q20="",-1,ROUND(R20,2)+(42)/10000000)</f>
        <v/>
      </c>
      <c r="AM20">
        <f>IF(19&lt;=$B$20,INDEX(Config!$B$6:$B$1000,19),IF(19-$B$20&lt;=$B$21,INDEX(Config!$D$6:$D$1000,MAX(1,19-$B$20)),IF(19-$B$20-$B$21&lt;=$B$27,INDEX(Config!$G$6:$G$1000,MAX(1,19-$B$20-$B$21)),"")))</f>
        <v/>
      </c>
      <c r="AO20">
        <f>IF(19&lt;=$B$22,INDEX(Config!$M$6:$M$1000,19),IF(19-$B$22&lt;=$B$23,INDEX(Config!$Q$6:$Q$1000,MAX(1,19-$B$22)),""))</f>
        <v/>
      </c>
      <c r="AQ20" t="n">
        <v>19</v>
      </c>
      <c r="AR20">
        <f t="array" ref="AR20">IFERROR(SMALL(IF(tbAtalhos[Recorrente?]="sim",ROW(tbAtalhos[Recorrente?])),AQ20),0)</f>
        <v/>
      </c>
    </row>
    <row r="21">
      <c r="A21" t="inlineStr">
        <is>
          <t>Qtde categorias gasto</t>
        </is>
      </c>
      <c r="B21">
        <f>SUMPRODUCT(--(LEN(Config!$D$6:$D$1000)&gt;0))</f>
        <v/>
      </c>
      <c r="Q21">
        <f>IF(20&lt;=$B$21,INDEX(Config!$D$6:$D$1000,20),"")</f>
        <v/>
      </c>
      <c r="R21">
        <f>IF(Q21="",0,SUMIFS(tbLancamentos[Valor],tbLancamentos[Categoria],Q21,tbLancamentos[Tipo],"&lt;&gt;Receita",tbLancamentos[Conta no mês?],"sim",tbLancamentos[Mês],$B$2,tbLancamentos[Ano],$B$3))</f>
        <v/>
      </c>
      <c r="S21">
        <f>IF(Q21="",-1,ROUND(R21,2)+(41)/10000000)</f>
        <v/>
      </c>
      <c r="AM21">
        <f>IF(20&lt;=$B$20,INDEX(Config!$B$6:$B$1000,20),IF(20-$B$20&lt;=$B$21,INDEX(Config!$D$6:$D$1000,MAX(1,20-$B$20)),IF(20-$B$20-$B$21&lt;=$B$27,INDEX(Config!$G$6:$G$1000,MAX(1,20-$B$20-$B$21)),"")))</f>
        <v/>
      </c>
      <c r="AO21">
        <f>IF(20&lt;=$B$22,INDEX(Config!$M$6:$M$1000,20),IF(20-$B$22&lt;=$B$23,INDEX(Config!$Q$6:$Q$1000,MAX(1,20-$B$22)),""))</f>
        <v/>
      </c>
      <c r="AQ21" t="n">
        <v>20</v>
      </c>
      <c r="AR21">
        <f t="array" ref="AR21">IFERROR(SMALL(IF(tbAtalhos[Recorrente?]="sim",ROW(tbAtalhos[Recorrente?])),AQ21),0)</f>
        <v/>
      </c>
    </row>
    <row r="22">
      <c r="A22" t="inlineStr">
        <is>
          <t>Qtde contas</t>
        </is>
      </c>
      <c r="B22">
        <f>SUMPRODUCT(--(LEN(Config!$M$6:$M$1000)&gt;0))</f>
        <v/>
      </c>
      <c r="Q22">
        <f>IF(21&lt;=$B$21,INDEX(Config!$D$6:$D$1000,21),"")</f>
        <v/>
      </c>
      <c r="R22">
        <f>IF(Q22="",0,SUMIFS(tbLancamentos[Valor],tbLancamentos[Categoria],Q22,tbLancamentos[Tipo],"&lt;&gt;Receita",tbLancamentos[Conta no mês?],"sim",tbLancamentos[Mês],$B$2,tbLancamentos[Ano],$B$3))</f>
        <v/>
      </c>
      <c r="S22">
        <f>IF(Q22="",-1,ROUND(R22,2)+(40)/10000000)</f>
        <v/>
      </c>
      <c r="AM22">
        <f>IF(21&lt;=$B$20,INDEX(Config!$B$6:$B$1000,21),IF(21-$B$20&lt;=$B$21,INDEX(Config!$D$6:$D$1000,MAX(1,21-$B$20)),IF(21-$B$20-$B$21&lt;=$B$27,INDEX(Config!$G$6:$G$1000,MAX(1,21-$B$20-$B$21)),"")))</f>
        <v/>
      </c>
      <c r="AO22">
        <f>IF(21&lt;=$B$22,INDEX(Config!$M$6:$M$1000,21),IF(21-$B$22&lt;=$B$23,INDEX(Config!$Q$6:$Q$1000,MAX(1,21-$B$22)),""))</f>
        <v/>
      </c>
      <c r="AQ22" t="n">
        <v>21</v>
      </c>
      <c r="AR22">
        <f t="array" ref="AR22">IFERROR(SMALL(IF(tbAtalhos[Recorrente?]="sim",ROW(tbAtalhos[Recorrente?])),AQ22),0)</f>
        <v/>
      </c>
    </row>
    <row r="23">
      <c r="A23" t="inlineStr">
        <is>
          <t>Qtde cartões</t>
        </is>
      </c>
      <c r="B23">
        <f>SUMPRODUCT(--(LEN(Config!$Q$6:$Q$1000)&gt;0))</f>
        <v/>
      </c>
      <c r="Q23">
        <f>IF(22&lt;=$B$21,INDEX(Config!$D$6:$D$1000,22),"")</f>
        <v/>
      </c>
      <c r="R23">
        <f>IF(Q23="",0,SUMIFS(tbLancamentos[Valor],tbLancamentos[Categoria],Q23,tbLancamentos[Tipo],"&lt;&gt;Receita",tbLancamentos[Conta no mês?],"sim",tbLancamentos[Mês],$B$2,tbLancamentos[Ano],$B$3))</f>
        <v/>
      </c>
      <c r="S23">
        <f>IF(Q23="",-1,ROUND(R23,2)+(39)/10000000)</f>
        <v/>
      </c>
      <c r="AM23">
        <f>IF(22&lt;=$B$20,INDEX(Config!$B$6:$B$1000,22),IF(22-$B$20&lt;=$B$21,INDEX(Config!$D$6:$D$1000,MAX(1,22-$B$20)),IF(22-$B$20-$B$21&lt;=$B$27,INDEX(Config!$G$6:$G$1000,MAX(1,22-$B$20-$B$21)),"")))</f>
        <v/>
      </c>
      <c r="AO23">
        <f>IF(22&lt;=$B$22,INDEX(Config!$M$6:$M$1000,22),IF(22-$B$22&lt;=$B$23,INDEX(Config!$Q$6:$Q$1000,MAX(1,22-$B$22)),""))</f>
        <v/>
      </c>
      <c r="AQ23" t="n">
        <v>22</v>
      </c>
      <c r="AR23">
        <f t="array" ref="AR23">IFERROR(SMALL(IF(tbAtalhos[Recorrente?]="sim",ROW(tbAtalhos[Recorrente?])),AQ23),0)</f>
        <v/>
      </c>
    </row>
    <row r="24">
      <c r="A24" t="inlineStr">
        <is>
          <t>Qtde categorias no orçamento</t>
        </is>
      </c>
      <c r="B24">
        <f>COUNTA(tbOrcamento[Categoria])</f>
        <v/>
      </c>
      <c r="Q24">
        <f>IF(23&lt;=$B$21,INDEX(Config!$D$6:$D$1000,23),"")</f>
        <v/>
      </c>
      <c r="R24">
        <f>IF(Q24="",0,SUMIFS(tbLancamentos[Valor],tbLancamentos[Categoria],Q24,tbLancamentos[Tipo],"&lt;&gt;Receita",tbLancamentos[Conta no mês?],"sim",tbLancamentos[Mês],$B$2,tbLancamentos[Ano],$B$3))</f>
        <v/>
      </c>
      <c r="S24">
        <f>IF(Q24="",-1,ROUND(R24,2)+(38)/10000000)</f>
        <v/>
      </c>
      <c r="AM24">
        <f>IF(23&lt;=$B$20,INDEX(Config!$B$6:$B$1000,23),IF(23-$B$20&lt;=$B$21,INDEX(Config!$D$6:$D$1000,MAX(1,23-$B$20)),IF(23-$B$20-$B$21&lt;=$B$27,INDEX(Config!$G$6:$G$1000,MAX(1,23-$B$20-$B$21)),"")))</f>
        <v/>
      </c>
      <c r="AO24">
        <f>IF(23&lt;=$B$22,INDEX(Config!$M$6:$M$1000,23),IF(23-$B$22&lt;=$B$23,INDEX(Config!$Q$6:$Q$1000,MAX(1,23-$B$22)),""))</f>
        <v/>
      </c>
      <c r="AQ24" t="n">
        <v>23</v>
      </c>
      <c r="AR24">
        <f t="array" ref="AR24">IFERROR(SMALL(IF(tbAtalhos[Recorrente?]="sim",ROW(tbAtalhos[Recorrente?])),AQ24),0)</f>
        <v/>
      </c>
    </row>
    <row r="25">
      <c r="A25" t="inlineStr">
        <is>
          <t>Diferença gastos vs. anterior</t>
        </is>
      </c>
      <c r="B25">
        <f>B10-B12</f>
        <v/>
      </c>
      <c r="Q25">
        <f>IF(24&lt;=$B$21,INDEX(Config!$D$6:$D$1000,24),"")</f>
        <v/>
      </c>
      <c r="R25">
        <f>IF(Q25="",0,SUMIFS(tbLancamentos[Valor],tbLancamentos[Categoria],Q25,tbLancamentos[Tipo],"&lt;&gt;Receita",tbLancamentos[Conta no mês?],"sim",tbLancamentos[Mês],$B$2,tbLancamentos[Ano],$B$3))</f>
        <v/>
      </c>
      <c r="S25">
        <f>IF(Q25="",-1,ROUND(R25,2)+(37)/10000000)</f>
        <v/>
      </c>
      <c r="AM25">
        <f>IF(24&lt;=$B$20,INDEX(Config!$B$6:$B$1000,24),IF(24-$B$20&lt;=$B$21,INDEX(Config!$D$6:$D$1000,MAX(1,24-$B$20)),IF(24-$B$20-$B$21&lt;=$B$27,INDEX(Config!$G$6:$G$1000,MAX(1,24-$B$20-$B$21)),"")))</f>
        <v/>
      </c>
      <c r="AO25">
        <f>IF(24&lt;=$B$22,INDEX(Config!$M$6:$M$1000,24),IF(24-$B$22&lt;=$B$23,INDEX(Config!$Q$6:$Q$1000,MAX(1,24-$B$22)),""))</f>
        <v/>
      </c>
      <c r="AQ25" t="n">
        <v>24</v>
      </c>
      <c r="AR25">
        <f t="array" ref="AR25">IFERROR(SMALL(IF(tbAtalhos[Recorrente?]="sim",ROW(tbAtalhos[Recorrente?])),AQ25),0)</f>
        <v/>
      </c>
    </row>
    <row r="26">
      <c r="A26" t="inlineStr">
        <is>
          <t>Meses com dados no ano</t>
        </is>
      </c>
      <c r="B26">
        <f>SUMPRODUCT(--(L2:L13+M2:M13&gt;0))</f>
        <v/>
      </c>
      <c r="Q26">
        <f>IF(25&lt;=$B$21,INDEX(Config!$D$6:$D$1000,25),"")</f>
        <v/>
      </c>
      <c r="R26">
        <f>IF(Q26="",0,SUMIFS(tbLancamentos[Valor],tbLancamentos[Categoria],Q26,tbLancamentos[Tipo],"&lt;&gt;Receita",tbLancamentos[Conta no mês?],"sim",tbLancamentos[Mês],$B$2,tbLancamentos[Ano],$B$3))</f>
        <v/>
      </c>
      <c r="S26">
        <f>IF(Q26="",-1,ROUND(R26,2)+(36)/10000000)</f>
        <v/>
      </c>
      <c r="AM26">
        <f>IF(25&lt;=$B$20,INDEX(Config!$B$6:$B$1000,25),IF(25-$B$20&lt;=$B$21,INDEX(Config!$D$6:$D$1000,MAX(1,25-$B$20)),IF(25-$B$20-$B$21&lt;=$B$27,INDEX(Config!$G$6:$G$1000,MAX(1,25-$B$20-$B$21)),"")))</f>
        <v/>
      </c>
      <c r="AO26">
        <f>IF(25&lt;=$B$22,INDEX(Config!$M$6:$M$1000,25),IF(25-$B$22&lt;=$B$23,INDEX(Config!$Q$6:$Q$1000,MAX(1,25-$B$22)),""))</f>
        <v/>
      </c>
      <c r="AQ26" t="n">
        <v>25</v>
      </c>
      <c r="AR26">
        <f t="array" ref="AR26">IFERROR(SMALL(IF(tbAtalhos[Recorrente?]="sim",ROW(tbAtalhos[Recorrente?])),AQ26),0)</f>
        <v/>
      </c>
    </row>
    <row r="27">
      <c r="A27" t="inlineStr">
        <is>
          <t>Qtde categorias outras</t>
        </is>
      </c>
      <c r="B27">
        <f>SUMPRODUCT(--(LEN(Config!$G$6:$G$1000)&gt;0))</f>
        <v/>
      </c>
      <c r="Q27">
        <f>IF(26&lt;=$B$21,INDEX(Config!$D$6:$D$1000,26),"")</f>
        <v/>
      </c>
      <c r="R27">
        <f>IF(Q27="",0,SUMIFS(tbLancamentos[Valor],tbLancamentos[Categoria],Q27,tbLancamentos[Tipo],"&lt;&gt;Receita",tbLancamentos[Conta no mês?],"sim",tbLancamentos[Mês],$B$2,tbLancamentos[Ano],$B$3))</f>
        <v/>
      </c>
      <c r="S27">
        <f>IF(Q27="",-1,ROUND(R27,2)+(35)/10000000)</f>
        <v/>
      </c>
      <c r="AM27">
        <f>IF(26&lt;=$B$20,INDEX(Config!$B$6:$B$1000,26),IF(26-$B$20&lt;=$B$21,INDEX(Config!$D$6:$D$1000,MAX(1,26-$B$20)),IF(26-$B$20-$B$21&lt;=$B$27,INDEX(Config!$G$6:$G$1000,MAX(1,26-$B$20-$B$21)),"")))</f>
        <v/>
      </c>
      <c r="AO27">
        <f>IF(26&lt;=$B$22,INDEX(Config!$M$6:$M$1000,26),IF(26-$B$22&lt;=$B$23,INDEX(Config!$Q$6:$Q$1000,MAX(1,26-$B$22)),""))</f>
        <v/>
      </c>
    </row>
    <row r="28">
      <c r="A28" t="inlineStr">
        <is>
          <t>A pagar no mês (pendentes)</t>
        </is>
      </c>
      <c r="B28">
        <f>SUMIFS(tbLancamentos[Valor],tbLancamentos[Situação],"Pendente",tbLancamentos[Tipo],"&lt;&gt;Receita",tbLancamentos[Mês],$B$2,tbLancamentos[Ano],$B$3)</f>
        <v/>
      </c>
      <c r="Q28">
        <f>IF(27&lt;=$B$21,INDEX(Config!$D$6:$D$1000,27),"")</f>
        <v/>
      </c>
      <c r="R28">
        <f>IF(Q28="",0,SUMIFS(tbLancamentos[Valor],tbLancamentos[Categoria],Q28,tbLancamentos[Tipo],"&lt;&gt;Receita",tbLancamentos[Conta no mês?],"sim",tbLancamentos[Mês],$B$2,tbLancamentos[Ano],$B$3))</f>
        <v/>
      </c>
      <c r="S28">
        <f>IF(Q28="",-1,ROUND(R28,2)+(34)/10000000)</f>
        <v/>
      </c>
      <c r="AM28">
        <f>IF(27&lt;=$B$20,INDEX(Config!$B$6:$B$1000,27),IF(27-$B$20&lt;=$B$21,INDEX(Config!$D$6:$D$1000,MAX(1,27-$B$20)),IF(27-$B$20-$B$21&lt;=$B$27,INDEX(Config!$G$6:$G$1000,MAX(1,27-$B$20-$B$21)),"")))</f>
        <v/>
      </c>
      <c r="AO28">
        <f>IF(27&lt;=$B$22,INDEX(Config!$M$6:$M$1000,27),IF(27-$B$22&lt;=$B$23,INDEX(Config!$Q$6:$Q$1000,MAX(1,27-$B$22)),""))</f>
        <v/>
      </c>
    </row>
    <row r="29">
      <c r="A29" t="inlineStr">
        <is>
          <t>Pendências atrasadas (qtde)</t>
        </is>
      </c>
      <c r="B29">
        <f t="array" ref="B29">SUM(IF((tbLancamentos[Situação]="Pendente")*(tbLancamentos[Tipo]&lt;&gt;"Receita"),IF(IF(tbLancamentos[Vencimento]&lt;&gt;"",tbLancamentos[Vencimento],tbLancamentos[Data])&lt;TODAY(),1,0),0))</f>
        <v/>
      </c>
      <c r="Q29">
        <f>IF(28&lt;=$B$21,INDEX(Config!$D$6:$D$1000,28),"")</f>
        <v/>
      </c>
      <c r="R29">
        <f>IF(Q29="",0,SUMIFS(tbLancamentos[Valor],tbLancamentos[Categoria],Q29,tbLancamentos[Tipo],"&lt;&gt;Receita",tbLancamentos[Conta no mês?],"sim",tbLancamentos[Mês],$B$2,tbLancamentos[Ano],$B$3))</f>
        <v/>
      </c>
      <c r="S29">
        <f>IF(Q29="",-1,ROUND(R29,2)+(33)/10000000)</f>
        <v/>
      </c>
      <c r="AM29">
        <f>IF(28&lt;=$B$20,INDEX(Config!$B$6:$B$1000,28),IF(28-$B$20&lt;=$B$21,INDEX(Config!$D$6:$D$1000,MAX(1,28-$B$20)),IF(28-$B$20-$B$21&lt;=$B$27,INDEX(Config!$G$6:$G$1000,MAX(1,28-$B$20-$B$21)),"")))</f>
        <v/>
      </c>
      <c r="AO29">
        <f>IF(28&lt;=$B$22,INDEX(Config!$M$6:$M$1000,28),IF(28-$B$22&lt;=$B$23,INDEX(Config!$Q$6:$Q$1000,MAX(1,28-$B$22)),""))</f>
        <v/>
      </c>
    </row>
    <row r="30">
      <c r="Q30">
        <f>IF(29&lt;=$B$21,INDEX(Config!$D$6:$D$1000,29),"")</f>
        <v/>
      </c>
      <c r="R30">
        <f>IF(Q30="",0,SUMIFS(tbLancamentos[Valor],tbLancamentos[Categoria],Q30,tbLancamentos[Tipo],"&lt;&gt;Receita",tbLancamentos[Conta no mês?],"sim",tbLancamentos[Mês],$B$2,tbLancamentos[Ano],$B$3))</f>
        <v/>
      </c>
      <c r="S30">
        <f>IF(Q30="",-1,ROUND(R30,2)+(32)/10000000)</f>
        <v/>
      </c>
      <c r="AM30">
        <f>IF(29&lt;=$B$20,INDEX(Config!$B$6:$B$1000,29),IF(29-$B$20&lt;=$B$21,INDEX(Config!$D$6:$D$1000,MAX(1,29-$B$20)),IF(29-$B$20-$B$21&lt;=$B$27,INDEX(Config!$G$6:$G$1000,MAX(1,29-$B$20-$B$21)),"")))</f>
        <v/>
      </c>
      <c r="AO30">
        <f>IF(29&lt;=$B$22,INDEX(Config!$M$6:$M$1000,29),IF(29-$B$22&lt;=$B$23,INDEX(Config!$Q$6:$Q$1000,MAX(1,29-$B$22)),""))</f>
        <v/>
      </c>
    </row>
    <row r="31">
      <c r="Q31">
        <f>IF(30&lt;=$B$21,INDEX(Config!$D$6:$D$1000,30),"")</f>
        <v/>
      </c>
      <c r="R31">
        <f>IF(Q31="",0,SUMIFS(tbLancamentos[Valor],tbLancamentos[Categoria],Q31,tbLancamentos[Tipo],"&lt;&gt;Receita",tbLancamentos[Conta no mês?],"sim",tbLancamentos[Mês],$B$2,tbLancamentos[Ano],$B$3))</f>
        <v/>
      </c>
      <c r="S31">
        <f>IF(Q31="",-1,ROUND(R31,2)+(31)/10000000)</f>
        <v/>
      </c>
      <c r="AM31">
        <f>IF(30&lt;=$B$20,INDEX(Config!$B$6:$B$1000,30),IF(30-$B$20&lt;=$B$21,INDEX(Config!$D$6:$D$1000,MAX(1,30-$B$20)),IF(30-$B$20-$B$21&lt;=$B$27,INDEX(Config!$G$6:$G$1000,MAX(1,30-$B$20-$B$21)),"")))</f>
        <v/>
      </c>
      <c r="AO31">
        <f>IF(30&lt;=$B$22,INDEX(Config!$M$6:$M$1000,30),IF(30-$B$22&lt;=$B$23,INDEX(Config!$Q$6:$Q$1000,MAX(1,30-$B$22)),""))</f>
        <v/>
      </c>
    </row>
    <row r="32">
      <c r="Q32">
        <f>IF(31&lt;=$B$21,INDEX(Config!$D$6:$D$1000,31),"")</f>
        <v/>
      </c>
      <c r="R32">
        <f>IF(Q32="",0,SUMIFS(tbLancamentos[Valor],tbLancamentos[Categoria],Q32,tbLancamentos[Tipo],"&lt;&gt;Receita",tbLancamentos[Conta no mês?],"sim",tbLancamentos[Mês],$B$2,tbLancamentos[Ano],$B$3))</f>
        <v/>
      </c>
      <c r="S32">
        <f>IF(Q32="",-1,ROUND(R32,2)+(30)/10000000)</f>
        <v/>
      </c>
      <c r="AM32">
        <f>IF(31&lt;=$B$20,INDEX(Config!$B$6:$B$1000,31),IF(31-$B$20&lt;=$B$21,INDEX(Config!$D$6:$D$1000,MAX(1,31-$B$20)),IF(31-$B$20-$B$21&lt;=$B$27,INDEX(Config!$G$6:$G$1000,MAX(1,31-$B$20-$B$21)),"")))</f>
        <v/>
      </c>
      <c r="AO32">
        <f>IF(31&lt;=$B$22,INDEX(Config!$M$6:$M$1000,31),IF(31-$B$22&lt;=$B$23,INDEX(Config!$Q$6:$Q$1000,MAX(1,31-$B$22)),""))</f>
        <v/>
      </c>
    </row>
    <row r="33">
      <c r="Q33">
        <f>IF(32&lt;=$B$21,INDEX(Config!$D$6:$D$1000,32),"")</f>
        <v/>
      </c>
      <c r="R33">
        <f>IF(Q33="",0,SUMIFS(tbLancamentos[Valor],tbLancamentos[Categoria],Q33,tbLancamentos[Tipo],"&lt;&gt;Receita",tbLancamentos[Conta no mês?],"sim",tbLancamentos[Mês],$B$2,tbLancamentos[Ano],$B$3))</f>
        <v/>
      </c>
      <c r="S33">
        <f>IF(Q33="",-1,ROUND(R33,2)+(29)/10000000)</f>
        <v/>
      </c>
      <c r="AM33">
        <f>IF(32&lt;=$B$20,INDEX(Config!$B$6:$B$1000,32),IF(32-$B$20&lt;=$B$21,INDEX(Config!$D$6:$D$1000,MAX(1,32-$B$20)),IF(32-$B$20-$B$21&lt;=$B$27,INDEX(Config!$G$6:$G$1000,MAX(1,32-$B$20-$B$21)),"")))</f>
        <v/>
      </c>
      <c r="AO33">
        <f>IF(32&lt;=$B$22,INDEX(Config!$M$6:$M$1000,32),IF(32-$B$22&lt;=$B$23,INDEX(Config!$Q$6:$Q$1000,MAX(1,32-$B$22)),""))</f>
        <v/>
      </c>
    </row>
    <row r="34">
      <c r="Q34">
        <f>IF(33&lt;=$B$21,INDEX(Config!$D$6:$D$1000,33),"")</f>
        <v/>
      </c>
      <c r="R34">
        <f>IF(Q34="",0,SUMIFS(tbLancamentos[Valor],tbLancamentos[Categoria],Q34,tbLancamentos[Tipo],"&lt;&gt;Receita",tbLancamentos[Conta no mês?],"sim",tbLancamentos[Mês],$B$2,tbLancamentos[Ano],$B$3))</f>
        <v/>
      </c>
      <c r="S34">
        <f>IF(Q34="",-1,ROUND(R34,2)+(28)/10000000)</f>
        <v/>
      </c>
      <c r="AM34">
        <f>IF(33&lt;=$B$20,INDEX(Config!$B$6:$B$1000,33),IF(33-$B$20&lt;=$B$21,INDEX(Config!$D$6:$D$1000,MAX(1,33-$B$20)),IF(33-$B$20-$B$21&lt;=$B$27,INDEX(Config!$G$6:$G$1000,MAX(1,33-$B$20-$B$21)),"")))</f>
        <v/>
      </c>
      <c r="AO34">
        <f>IF(33&lt;=$B$22,INDEX(Config!$M$6:$M$1000,33),IF(33-$B$22&lt;=$B$23,INDEX(Config!$Q$6:$Q$1000,MAX(1,33-$B$22)),""))</f>
        <v/>
      </c>
    </row>
    <row r="35">
      <c r="Q35">
        <f>IF(34&lt;=$B$21,INDEX(Config!$D$6:$D$1000,34),"")</f>
        <v/>
      </c>
      <c r="R35">
        <f>IF(Q35="",0,SUMIFS(tbLancamentos[Valor],tbLancamentos[Categoria],Q35,tbLancamentos[Tipo],"&lt;&gt;Receita",tbLancamentos[Conta no mês?],"sim",tbLancamentos[Mês],$B$2,tbLancamentos[Ano],$B$3))</f>
        <v/>
      </c>
      <c r="S35">
        <f>IF(Q35="",-1,ROUND(R35,2)+(27)/10000000)</f>
        <v/>
      </c>
      <c r="AM35">
        <f>IF(34&lt;=$B$20,INDEX(Config!$B$6:$B$1000,34),IF(34-$B$20&lt;=$B$21,INDEX(Config!$D$6:$D$1000,MAX(1,34-$B$20)),IF(34-$B$20-$B$21&lt;=$B$27,INDEX(Config!$G$6:$G$1000,MAX(1,34-$B$20-$B$21)),"")))</f>
        <v/>
      </c>
      <c r="AO35">
        <f>IF(34&lt;=$B$22,INDEX(Config!$M$6:$M$1000,34),IF(34-$B$22&lt;=$B$23,INDEX(Config!$Q$6:$Q$1000,MAX(1,34-$B$22)),""))</f>
        <v/>
      </c>
    </row>
    <row r="36">
      <c r="Q36">
        <f>IF(35&lt;=$B$21,INDEX(Config!$D$6:$D$1000,35),"")</f>
        <v/>
      </c>
      <c r="R36">
        <f>IF(Q36="",0,SUMIFS(tbLancamentos[Valor],tbLancamentos[Categoria],Q36,tbLancamentos[Tipo],"&lt;&gt;Receita",tbLancamentos[Conta no mês?],"sim",tbLancamentos[Mês],$B$2,tbLancamentos[Ano],$B$3))</f>
        <v/>
      </c>
      <c r="S36">
        <f>IF(Q36="",-1,ROUND(R36,2)+(26)/10000000)</f>
        <v/>
      </c>
      <c r="AM36">
        <f>IF(35&lt;=$B$20,INDEX(Config!$B$6:$B$1000,35),IF(35-$B$20&lt;=$B$21,INDEX(Config!$D$6:$D$1000,MAX(1,35-$B$20)),IF(35-$B$20-$B$21&lt;=$B$27,INDEX(Config!$G$6:$G$1000,MAX(1,35-$B$20-$B$21)),"")))</f>
        <v/>
      </c>
      <c r="AO36">
        <f>IF(35&lt;=$B$22,INDEX(Config!$M$6:$M$1000,35),IF(35-$B$22&lt;=$B$23,INDEX(Config!$Q$6:$Q$1000,MAX(1,35-$B$22)),""))</f>
        <v/>
      </c>
    </row>
    <row r="37">
      <c r="Q37">
        <f>IF(36&lt;=$B$21,INDEX(Config!$D$6:$D$1000,36),"")</f>
        <v/>
      </c>
      <c r="R37">
        <f>IF(Q37="",0,SUMIFS(tbLancamentos[Valor],tbLancamentos[Categoria],Q37,tbLancamentos[Tipo],"&lt;&gt;Receita",tbLancamentos[Conta no mês?],"sim",tbLancamentos[Mês],$B$2,tbLancamentos[Ano],$B$3))</f>
        <v/>
      </c>
      <c r="S37">
        <f>IF(Q37="",-1,ROUND(R37,2)+(25)/10000000)</f>
        <v/>
      </c>
      <c r="AM37">
        <f>IF(36&lt;=$B$20,INDEX(Config!$B$6:$B$1000,36),IF(36-$B$20&lt;=$B$21,INDEX(Config!$D$6:$D$1000,MAX(1,36-$B$20)),IF(36-$B$20-$B$21&lt;=$B$27,INDEX(Config!$G$6:$G$1000,MAX(1,36-$B$20-$B$21)),"")))</f>
        <v/>
      </c>
      <c r="AO37">
        <f>IF(36&lt;=$B$22,INDEX(Config!$M$6:$M$1000,36),IF(36-$B$22&lt;=$B$23,INDEX(Config!$Q$6:$Q$1000,MAX(1,36-$B$22)),""))</f>
        <v/>
      </c>
    </row>
    <row r="38">
      <c r="Q38">
        <f>IF(37&lt;=$B$21,INDEX(Config!$D$6:$D$1000,37),"")</f>
        <v/>
      </c>
      <c r="R38">
        <f>IF(Q38="",0,SUMIFS(tbLancamentos[Valor],tbLancamentos[Categoria],Q38,tbLancamentos[Tipo],"&lt;&gt;Receita",tbLancamentos[Conta no mês?],"sim",tbLancamentos[Mês],$B$2,tbLancamentos[Ano],$B$3))</f>
        <v/>
      </c>
      <c r="S38">
        <f>IF(Q38="",-1,ROUND(R38,2)+(24)/10000000)</f>
        <v/>
      </c>
      <c r="AM38">
        <f>IF(37&lt;=$B$20,INDEX(Config!$B$6:$B$1000,37),IF(37-$B$20&lt;=$B$21,INDEX(Config!$D$6:$D$1000,MAX(1,37-$B$20)),IF(37-$B$20-$B$21&lt;=$B$27,INDEX(Config!$G$6:$G$1000,MAX(1,37-$B$20-$B$21)),"")))</f>
        <v/>
      </c>
      <c r="AO38">
        <f>IF(37&lt;=$B$22,INDEX(Config!$M$6:$M$1000,37),IF(37-$B$22&lt;=$B$23,INDEX(Config!$Q$6:$Q$1000,MAX(1,37-$B$22)),""))</f>
        <v/>
      </c>
    </row>
    <row r="39">
      <c r="Q39">
        <f>IF(38&lt;=$B$21,INDEX(Config!$D$6:$D$1000,38),"")</f>
        <v/>
      </c>
      <c r="R39">
        <f>IF(Q39="",0,SUMIFS(tbLancamentos[Valor],tbLancamentos[Categoria],Q39,tbLancamentos[Tipo],"&lt;&gt;Receita",tbLancamentos[Conta no mês?],"sim",tbLancamentos[Mês],$B$2,tbLancamentos[Ano],$B$3))</f>
        <v/>
      </c>
      <c r="S39">
        <f>IF(Q39="",-1,ROUND(R39,2)+(23)/10000000)</f>
        <v/>
      </c>
      <c r="AM39">
        <f>IF(38&lt;=$B$20,INDEX(Config!$B$6:$B$1000,38),IF(38-$B$20&lt;=$B$21,INDEX(Config!$D$6:$D$1000,MAX(1,38-$B$20)),IF(38-$B$20-$B$21&lt;=$B$27,INDEX(Config!$G$6:$G$1000,MAX(1,38-$B$20-$B$21)),"")))</f>
        <v/>
      </c>
      <c r="AO39">
        <f>IF(38&lt;=$B$22,INDEX(Config!$M$6:$M$1000,38),IF(38-$B$22&lt;=$B$23,INDEX(Config!$Q$6:$Q$1000,MAX(1,38-$B$22)),""))</f>
        <v/>
      </c>
    </row>
    <row r="40">
      <c r="Q40">
        <f>IF(39&lt;=$B$21,INDEX(Config!$D$6:$D$1000,39),"")</f>
        <v/>
      </c>
      <c r="R40">
        <f>IF(Q40="",0,SUMIFS(tbLancamentos[Valor],tbLancamentos[Categoria],Q40,tbLancamentos[Tipo],"&lt;&gt;Receita",tbLancamentos[Conta no mês?],"sim",tbLancamentos[Mês],$B$2,tbLancamentos[Ano],$B$3))</f>
        <v/>
      </c>
      <c r="S40">
        <f>IF(Q40="",-1,ROUND(R40,2)+(22)/10000000)</f>
        <v/>
      </c>
      <c r="AM40">
        <f>IF(39&lt;=$B$20,INDEX(Config!$B$6:$B$1000,39),IF(39-$B$20&lt;=$B$21,INDEX(Config!$D$6:$D$1000,MAX(1,39-$B$20)),IF(39-$B$20-$B$21&lt;=$B$27,INDEX(Config!$G$6:$G$1000,MAX(1,39-$B$20-$B$21)),"")))</f>
        <v/>
      </c>
      <c r="AO40">
        <f>IF(39&lt;=$B$22,INDEX(Config!$M$6:$M$1000,39),IF(39-$B$22&lt;=$B$23,INDEX(Config!$Q$6:$Q$1000,MAX(1,39-$B$22)),""))</f>
        <v/>
      </c>
    </row>
    <row r="41">
      <c r="Q41">
        <f>IF(40&lt;=$B$21,INDEX(Config!$D$6:$D$1000,40),"")</f>
        <v/>
      </c>
      <c r="R41">
        <f>IF(Q41="",0,SUMIFS(tbLancamentos[Valor],tbLancamentos[Categoria],Q41,tbLancamentos[Tipo],"&lt;&gt;Receita",tbLancamentos[Conta no mês?],"sim",tbLancamentos[Mês],$B$2,tbLancamentos[Ano],$B$3))</f>
        <v/>
      </c>
      <c r="S41">
        <f>IF(Q41="",-1,ROUND(R41,2)+(21)/10000000)</f>
        <v/>
      </c>
      <c r="AM41">
        <f>IF(40&lt;=$B$20,INDEX(Config!$B$6:$B$1000,40),IF(40-$B$20&lt;=$B$21,INDEX(Config!$D$6:$D$1000,MAX(1,40-$B$20)),IF(40-$B$20-$B$21&lt;=$B$27,INDEX(Config!$G$6:$G$1000,MAX(1,40-$B$20-$B$21)),"")))</f>
        <v/>
      </c>
      <c r="AO41">
        <f>IF(40&lt;=$B$22,INDEX(Config!$M$6:$M$1000,40),IF(40-$B$22&lt;=$B$23,INDEX(Config!$Q$6:$Q$1000,MAX(1,40-$B$22)),""))</f>
        <v/>
      </c>
    </row>
    <row r="42">
      <c r="Q42">
        <f>IF(41&lt;=$B$21,INDEX(Config!$D$6:$D$1000,41),"")</f>
        <v/>
      </c>
      <c r="R42">
        <f>IF(Q42="",0,SUMIFS(tbLancamentos[Valor],tbLancamentos[Categoria],Q42,tbLancamentos[Tipo],"&lt;&gt;Receita",tbLancamentos[Conta no mês?],"sim",tbLancamentos[Mês],$B$2,tbLancamentos[Ano],$B$3))</f>
        <v/>
      </c>
      <c r="S42">
        <f>IF(Q42="",-1,ROUND(R42,2)+(20)/10000000)</f>
        <v/>
      </c>
      <c r="AM42">
        <f>IF(41&lt;=$B$20,INDEX(Config!$B$6:$B$1000,41),IF(41-$B$20&lt;=$B$21,INDEX(Config!$D$6:$D$1000,MAX(1,41-$B$20)),IF(41-$B$20-$B$21&lt;=$B$27,INDEX(Config!$G$6:$G$1000,MAX(1,41-$B$20-$B$21)),"")))</f>
        <v/>
      </c>
      <c r="AO42">
        <f>IF(41&lt;=$B$22,INDEX(Config!$M$6:$M$1000,41),IF(41-$B$22&lt;=$B$23,INDEX(Config!$Q$6:$Q$1000,MAX(1,41-$B$22)),""))</f>
        <v/>
      </c>
    </row>
    <row r="43">
      <c r="Q43">
        <f>IF(42&lt;=$B$21,INDEX(Config!$D$6:$D$1000,42),"")</f>
        <v/>
      </c>
      <c r="R43">
        <f>IF(Q43="",0,SUMIFS(tbLancamentos[Valor],tbLancamentos[Categoria],Q43,tbLancamentos[Tipo],"&lt;&gt;Receita",tbLancamentos[Conta no mês?],"sim",tbLancamentos[Mês],$B$2,tbLancamentos[Ano],$B$3))</f>
        <v/>
      </c>
      <c r="S43">
        <f>IF(Q43="",-1,ROUND(R43,2)+(19)/10000000)</f>
        <v/>
      </c>
      <c r="AM43">
        <f>IF(42&lt;=$B$20,INDEX(Config!$B$6:$B$1000,42),IF(42-$B$20&lt;=$B$21,INDEX(Config!$D$6:$D$1000,MAX(1,42-$B$20)),IF(42-$B$20-$B$21&lt;=$B$27,INDEX(Config!$G$6:$G$1000,MAX(1,42-$B$20-$B$21)),"")))</f>
        <v/>
      </c>
      <c r="AO43">
        <f>IF(42&lt;=$B$22,INDEX(Config!$M$6:$M$1000,42),IF(42-$B$22&lt;=$B$23,INDEX(Config!$Q$6:$Q$1000,MAX(1,42-$B$22)),""))</f>
        <v/>
      </c>
    </row>
    <row r="44">
      <c r="Q44">
        <f>IF(43&lt;=$B$21,INDEX(Config!$D$6:$D$1000,43),"")</f>
        <v/>
      </c>
      <c r="R44">
        <f>IF(Q44="",0,SUMIFS(tbLancamentos[Valor],tbLancamentos[Categoria],Q44,tbLancamentos[Tipo],"&lt;&gt;Receita",tbLancamentos[Conta no mês?],"sim",tbLancamentos[Mês],$B$2,tbLancamentos[Ano],$B$3))</f>
        <v/>
      </c>
      <c r="S44">
        <f>IF(Q44="",-1,ROUND(R44,2)+(18)/10000000)</f>
        <v/>
      </c>
      <c r="AM44">
        <f>IF(43&lt;=$B$20,INDEX(Config!$B$6:$B$1000,43),IF(43-$B$20&lt;=$B$21,INDEX(Config!$D$6:$D$1000,MAX(1,43-$B$20)),IF(43-$B$20-$B$21&lt;=$B$27,INDEX(Config!$G$6:$G$1000,MAX(1,43-$B$20-$B$21)),"")))</f>
        <v/>
      </c>
      <c r="AO44">
        <f>IF(43&lt;=$B$22,INDEX(Config!$M$6:$M$1000,43),IF(43-$B$22&lt;=$B$23,INDEX(Config!$Q$6:$Q$1000,MAX(1,43-$B$22)),""))</f>
        <v/>
      </c>
    </row>
    <row r="45">
      <c r="Q45">
        <f>IF(44&lt;=$B$21,INDEX(Config!$D$6:$D$1000,44),"")</f>
        <v/>
      </c>
      <c r="R45">
        <f>IF(Q45="",0,SUMIFS(tbLancamentos[Valor],tbLancamentos[Categoria],Q45,tbLancamentos[Tipo],"&lt;&gt;Receita",tbLancamentos[Conta no mês?],"sim",tbLancamentos[Mês],$B$2,tbLancamentos[Ano],$B$3))</f>
        <v/>
      </c>
      <c r="S45">
        <f>IF(Q45="",-1,ROUND(R45,2)+(17)/10000000)</f>
        <v/>
      </c>
      <c r="AM45">
        <f>IF(44&lt;=$B$20,INDEX(Config!$B$6:$B$1000,44),IF(44-$B$20&lt;=$B$21,INDEX(Config!$D$6:$D$1000,MAX(1,44-$B$20)),IF(44-$B$20-$B$21&lt;=$B$27,INDEX(Config!$G$6:$G$1000,MAX(1,44-$B$20-$B$21)),"")))</f>
        <v/>
      </c>
      <c r="AO45">
        <f>IF(44&lt;=$B$22,INDEX(Config!$M$6:$M$1000,44),IF(44-$B$22&lt;=$B$23,INDEX(Config!$Q$6:$Q$1000,MAX(1,44-$B$22)),""))</f>
        <v/>
      </c>
    </row>
    <row r="46">
      <c r="Q46">
        <f>IF(45&lt;=$B$21,INDEX(Config!$D$6:$D$1000,45),"")</f>
        <v/>
      </c>
      <c r="R46">
        <f>IF(Q46="",0,SUMIFS(tbLancamentos[Valor],tbLancamentos[Categoria],Q46,tbLancamentos[Tipo],"&lt;&gt;Receita",tbLancamentos[Conta no mês?],"sim",tbLancamentos[Mês],$B$2,tbLancamentos[Ano],$B$3))</f>
        <v/>
      </c>
      <c r="S46">
        <f>IF(Q46="",-1,ROUND(R46,2)+(16)/10000000)</f>
        <v/>
      </c>
      <c r="AM46">
        <f>IF(45&lt;=$B$20,INDEX(Config!$B$6:$B$1000,45),IF(45-$B$20&lt;=$B$21,INDEX(Config!$D$6:$D$1000,MAX(1,45-$B$20)),IF(45-$B$20-$B$21&lt;=$B$27,INDEX(Config!$G$6:$G$1000,MAX(1,45-$B$20-$B$21)),"")))</f>
        <v/>
      </c>
      <c r="AO46">
        <f>IF(45&lt;=$B$22,INDEX(Config!$M$6:$M$1000,45),IF(45-$B$22&lt;=$B$23,INDEX(Config!$Q$6:$Q$1000,MAX(1,45-$B$22)),""))</f>
        <v/>
      </c>
    </row>
    <row r="47">
      <c r="Q47">
        <f>IF(46&lt;=$B$21,INDEX(Config!$D$6:$D$1000,46),"")</f>
        <v/>
      </c>
      <c r="R47">
        <f>IF(Q47="",0,SUMIFS(tbLancamentos[Valor],tbLancamentos[Categoria],Q47,tbLancamentos[Tipo],"&lt;&gt;Receita",tbLancamentos[Conta no mês?],"sim",tbLancamentos[Mês],$B$2,tbLancamentos[Ano],$B$3))</f>
        <v/>
      </c>
      <c r="S47">
        <f>IF(Q47="",-1,ROUND(R47,2)+(15)/10000000)</f>
        <v/>
      </c>
      <c r="AM47">
        <f>IF(46&lt;=$B$20,INDEX(Config!$B$6:$B$1000,46),IF(46-$B$20&lt;=$B$21,INDEX(Config!$D$6:$D$1000,MAX(1,46-$B$20)),IF(46-$B$20-$B$21&lt;=$B$27,INDEX(Config!$G$6:$G$1000,MAX(1,46-$B$20-$B$21)),"")))</f>
        <v/>
      </c>
      <c r="AO47">
        <f>IF(46&lt;=$B$22,INDEX(Config!$M$6:$M$1000,46),IF(46-$B$22&lt;=$B$23,INDEX(Config!$Q$6:$Q$1000,MAX(1,46-$B$22)),""))</f>
        <v/>
      </c>
    </row>
    <row r="48">
      <c r="Q48">
        <f>IF(47&lt;=$B$21,INDEX(Config!$D$6:$D$1000,47),"")</f>
        <v/>
      </c>
      <c r="R48">
        <f>IF(Q48="",0,SUMIFS(tbLancamentos[Valor],tbLancamentos[Categoria],Q48,tbLancamentos[Tipo],"&lt;&gt;Receita",tbLancamentos[Conta no mês?],"sim",tbLancamentos[Mês],$B$2,tbLancamentos[Ano],$B$3))</f>
        <v/>
      </c>
      <c r="S48">
        <f>IF(Q48="",-1,ROUND(R48,2)+(14)/10000000)</f>
        <v/>
      </c>
      <c r="AM48">
        <f>IF(47&lt;=$B$20,INDEX(Config!$B$6:$B$1000,47),IF(47-$B$20&lt;=$B$21,INDEX(Config!$D$6:$D$1000,MAX(1,47-$B$20)),IF(47-$B$20-$B$21&lt;=$B$27,INDEX(Config!$G$6:$G$1000,MAX(1,47-$B$20-$B$21)),"")))</f>
        <v/>
      </c>
      <c r="AO48">
        <f>IF(47&lt;=$B$22,INDEX(Config!$M$6:$M$1000,47),IF(47-$B$22&lt;=$B$23,INDEX(Config!$Q$6:$Q$1000,MAX(1,47-$B$22)),""))</f>
        <v/>
      </c>
    </row>
    <row r="49">
      <c r="Q49">
        <f>IF(48&lt;=$B$21,INDEX(Config!$D$6:$D$1000,48),"")</f>
        <v/>
      </c>
      <c r="R49">
        <f>IF(Q49="",0,SUMIFS(tbLancamentos[Valor],tbLancamentos[Categoria],Q49,tbLancamentos[Tipo],"&lt;&gt;Receita",tbLancamentos[Conta no mês?],"sim",tbLancamentos[Mês],$B$2,tbLancamentos[Ano],$B$3))</f>
        <v/>
      </c>
      <c r="S49">
        <f>IF(Q49="",-1,ROUND(R49,2)+(13)/10000000)</f>
        <v/>
      </c>
      <c r="AM49">
        <f>IF(48&lt;=$B$20,INDEX(Config!$B$6:$B$1000,48),IF(48-$B$20&lt;=$B$21,INDEX(Config!$D$6:$D$1000,MAX(1,48-$B$20)),IF(48-$B$20-$B$21&lt;=$B$27,INDEX(Config!$G$6:$G$1000,MAX(1,48-$B$20-$B$21)),"")))</f>
        <v/>
      </c>
      <c r="AO49">
        <f>IF(48&lt;=$B$22,INDEX(Config!$M$6:$M$1000,48),IF(48-$B$22&lt;=$B$23,INDEX(Config!$Q$6:$Q$1000,MAX(1,48-$B$22)),""))</f>
        <v/>
      </c>
    </row>
    <row r="50">
      <c r="Q50">
        <f>IF(49&lt;=$B$21,INDEX(Config!$D$6:$D$1000,49),"")</f>
        <v/>
      </c>
      <c r="R50">
        <f>IF(Q50="",0,SUMIFS(tbLancamentos[Valor],tbLancamentos[Categoria],Q50,tbLancamentos[Tipo],"&lt;&gt;Receita",tbLancamentos[Conta no mês?],"sim",tbLancamentos[Mês],$B$2,tbLancamentos[Ano],$B$3))</f>
        <v/>
      </c>
      <c r="S50">
        <f>IF(Q50="",-1,ROUND(R50,2)+(12)/10000000)</f>
        <v/>
      </c>
      <c r="AM50">
        <f>IF(49&lt;=$B$20,INDEX(Config!$B$6:$B$1000,49),IF(49-$B$20&lt;=$B$21,INDEX(Config!$D$6:$D$1000,MAX(1,49-$B$20)),IF(49-$B$20-$B$21&lt;=$B$27,INDEX(Config!$G$6:$G$1000,MAX(1,49-$B$20-$B$21)),"")))</f>
        <v/>
      </c>
      <c r="AO50">
        <f>IF(49&lt;=$B$22,INDEX(Config!$M$6:$M$1000,49),IF(49-$B$22&lt;=$B$23,INDEX(Config!$Q$6:$Q$1000,MAX(1,49-$B$22)),""))</f>
        <v/>
      </c>
    </row>
    <row r="51">
      <c r="Q51">
        <f>IF(50&lt;=$B$21,INDEX(Config!$D$6:$D$1000,50),"")</f>
        <v/>
      </c>
      <c r="R51">
        <f>IF(Q51="",0,SUMIFS(tbLancamentos[Valor],tbLancamentos[Categoria],Q51,tbLancamentos[Tipo],"&lt;&gt;Receita",tbLancamentos[Conta no mês?],"sim",tbLancamentos[Mês],$B$2,tbLancamentos[Ano],$B$3))</f>
        <v/>
      </c>
      <c r="S51">
        <f>IF(Q51="",-1,ROUND(R51,2)+(11)/10000000)</f>
        <v/>
      </c>
      <c r="AM51">
        <f>IF(50&lt;=$B$20,INDEX(Config!$B$6:$B$1000,50),IF(50-$B$20&lt;=$B$21,INDEX(Config!$D$6:$D$1000,MAX(1,50-$B$20)),IF(50-$B$20-$B$21&lt;=$B$27,INDEX(Config!$G$6:$G$1000,MAX(1,50-$B$20-$B$21)),"")))</f>
        <v/>
      </c>
      <c r="AO51">
        <f>IF(50&lt;=$B$22,INDEX(Config!$M$6:$M$1000,50),IF(50-$B$22&lt;=$B$23,INDEX(Config!$Q$6:$Q$1000,MAX(1,50-$B$22)),""))</f>
        <v/>
      </c>
    </row>
    <row r="52">
      <c r="Q52">
        <f>IF(51&lt;=$B$21,INDEX(Config!$D$6:$D$1000,51),"")</f>
        <v/>
      </c>
      <c r="R52">
        <f>IF(Q52="",0,SUMIFS(tbLancamentos[Valor],tbLancamentos[Categoria],Q52,tbLancamentos[Tipo],"&lt;&gt;Receita",tbLancamentos[Conta no mês?],"sim",tbLancamentos[Mês],$B$2,tbLancamentos[Ano],$B$3))</f>
        <v/>
      </c>
      <c r="S52">
        <f>IF(Q52="",-1,ROUND(R52,2)+(10)/10000000)</f>
        <v/>
      </c>
      <c r="AM52">
        <f>IF(51&lt;=$B$20,INDEX(Config!$B$6:$B$1000,51),IF(51-$B$20&lt;=$B$21,INDEX(Config!$D$6:$D$1000,MAX(1,51-$B$20)),IF(51-$B$20-$B$21&lt;=$B$27,INDEX(Config!$G$6:$G$1000,MAX(1,51-$B$20-$B$21)),"")))</f>
        <v/>
      </c>
      <c r="AO52">
        <f>IF(51&lt;=$B$22,INDEX(Config!$M$6:$M$1000,51),IF(51-$B$22&lt;=$B$23,INDEX(Config!$Q$6:$Q$1000,MAX(1,51-$B$22)),""))</f>
        <v/>
      </c>
    </row>
    <row r="53">
      <c r="Q53">
        <f>IF(52&lt;=$B$21,INDEX(Config!$D$6:$D$1000,52),"")</f>
        <v/>
      </c>
      <c r="R53">
        <f>IF(Q53="",0,SUMIFS(tbLancamentos[Valor],tbLancamentos[Categoria],Q53,tbLancamentos[Tipo],"&lt;&gt;Receita",tbLancamentos[Conta no mês?],"sim",tbLancamentos[Mês],$B$2,tbLancamentos[Ano],$B$3))</f>
        <v/>
      </c>
      <c r="S53">
        <f>IF(Q53="",-1,ROUND(R53,2)+(9)/10000000)</f>
        <v/>
      </c>
      <c r="AM53">
        <f>IF(52&lt;=$B$20,INDEX(Config!$B$6:$B$1000,52),IF(52-$B$20&lt;=$B$21,INDEX(Config!$D$6:$D$1000,MAX(1,52-$B$20)),IF(52-$B$20-$B$21&lt;=$B$27,INDEX(Config!$G$6:$G$1000,MAX(1,52-$B$20-$B$21)),"")))</f>
        <v/>
      </c>
      <c r="AO53">
        <f>IF(52&lt;=$B$22,INDEX(Config!$M$6:$M$1000,52),IF(52-$B$22&lt;=$B$23,INDEX(Config!$Q$6:$Q$1000,MAX(1,52-$B$22)),""))</f>
        <v/>
      </c>
    </row>
    <row r="54">
      <c r="Q54">
        <f>IF(53&lt;=$B$21,INDEX(Config!$D$6:$D$1000,53),"")</f>
        <v/>
      </c>
      <c r="R54">
        <f>IF(Q54="",0,SUMIFS(tbLancamentos[Valor],tbLancamentos[Categoria],Q54,tbLancamentos[Tipo],"&lt;&gt;Receita",tbLancamentos[Conta no mês?],"sim",tbLancamentos[Mês],$B$2,tbLancamentos[Ano],$B$3))</f>
        <v/>
      </c>
      <c r="S54">
        <f>IF(Q54="",-1,ROUND(R54,2)+(8)/10000000)</f>
        <v/>
      </c>
      <c r="AM54">
        <f>IF(53&lt;=$B$20,INDEX(Config!$B$6:$B$1000,53),IF(53-$B$20&lt;=$B$21,INDEX(Config!$D$6:$D$1000,MAX(1,53-$B$20)),IF(53-$B$20-$B$21&lt;=$B$27,INDEX(Config!$G$6:$G$1000,MAX(1,53-$B$20-$B$21)),"")))</f>
        <v/>
      </c>
      <c r="AO54">
        <f>IF(53&lt;=$B$22,INDEX(Config!$M$6:$M$1000,53),IF(53-$B$22&lt;=$B$23,INDEX(Config!$Q$6:$Q$1000,MAX(1,53-$B$22)),""))</f>
        <v/>
      </c>
    </row>
    <row r="55">
      <c r="Q55">
        <f>IF(54&lt;=$B$21,INDEX(Config!$D$6:$D$1000,54),"")</f>
        <v/>
      </c>
      <c r="R55">
        <f>IF(Q55="",0,SUMIFS(tbLancamentos[Valor],tbLancamentos[Categoria],Q55,tbLancamentos[Tipo],"&lt;&gt;Receita",tbLancamentos[Conta no mês?],"sim",tbLancamentos[Mês],$B$2,tbLancamentos[Ano],$B$3))</f>
        <v/>
      </c>
      <c r="S55">
        <f>IF(Q55="",-1,ROUND(R55,2)+(7)/10000000)</f>
        <v/>
      </c>
      <c r="AM55">
        <f>IF(54&lt;=$B$20,INDEX(Config!$B$6:$B$1000,54),IF(54-$B$20&lt;=$B$21,INDEX(Config!$D$6:$D$1000,MAX(1,54-$B$20)),IF(54-$B$20-$B$21&lt;=$B$27,INDEX(Config!$G$6:$G$1000,MAX(1,54-$B$20-$B$21)),"")))</f>
        <v/>
      </c>
      <c r="AO55">
        <f>IF(54&lt;=$B$22,INDEX(Config!$M$6:$M$1000,54),IF(54-$B$22&lt;=$B$23,INDEX(Config!$Q$6:$Q$1000,MAX(1,54-$B$22)),""))</f>
        <v/>
      </c>
    </row>
    <row r="56">
      <c r="Q56">
        <f>IF(55&lt;=$B$21,INDEX(Config!$D$6:$D$1000,55),"")</f>
        <v/>
      </c>
      <c r="R56">
        <f>IF(Q56="",0,SUMIFS(tbLancamentos[Valor],tbLancamentos[Categoria],Q56,tbLancamentos[Tipo],"&lt;&gt;Receita",tbLancamentos[Conta no mês?],"sim",tbLancamentos[Mês],$B$2,tbLancamentos[Ano],$B$3))</f>
        <v/>
      </c>
      <c r="S56">
        <f>IF(Q56="",-1,ROUND(R56,2)+(6)/10000000)</f>
        <v/>
      </c>
      <c r="AM56">
        <f>IF(55&lt;=$B$20,INDEX(Config!$B$6:$B$1000,55),IF(55-$B$20&lt;=$B$21,INDEX(Config!$D$6:$D$1000,MAX(1,55-$B$20)),IF(55-$B$20-$B$21&lt;=$B$27,INDEX(Config!$G$6:$G$1000,MAX(1,55-$B$20-$B$21)),"")))</f>
        <v/>
      </c>
      <c r="AO56">
        <f>IF(55&lt;=$B$22,INDEX(Config!$M$6:$M$1000,55),IF(55-$B$22&lt;=$B$23,INDEX(Config!$Q$6:$Q$1000,MAX(1,55-$B$22)),""))</f>
        <v/>
      </c>
    </row>
    <row r="57">
      <c r="Q57">
        <f>IF(56&lt;=$B$21,INDEX(Config!$D$6:$D$1000,56),"")</f>
        <v/>
      </c>
      <c r="R57">
        <f>IF(Q57="",0,SUMIFS(tbLancamentos[Valor],tbLancamentos[Categoria],Q57,tbLancamentos[Tipo],"&lt;&gt;Receita",tbLancamentos[Conta no mês?],"sim",tbLancamentos[Mês],$B$2,tbLancamentos[Ano],$B$3))</f>
        <v/>
      </c>
      <c r="S57">
        <f>IF(Q57="",-1,ROUND(R57,2)+(5)/10000000)</f>
        <v/>
      </c>
      <c r="AM57">
        <f>IF(56&lt;=$B$20,INDEX(Config!$B$6:$B$1000,56),IF(56-$B$20&lt;=$B$21,INDEX(Config!$D$6:$D$1000,MAX(1,56-$B$20)),IF(56-$B$20-$B$21&lt;=$B$27,INDEX(Config!$G$6:$G$1000,MAX(1,56-$B$20-$B$21)),"")))</f>
        <v/>
      </c>
      <c r="AO57">
        <f>IF(56&lt;=$B$22,INDEX(Config!$M$6:$M$1000,56),IF(56-$B$22&lt;=$B$23,INDEX(Config!$Q$6:$Q$1000,MAX(1,56-$B$22)),""))</f>
        <v/>
      </c>
    </row>
    <row r="58">
      <c r="Q58">
        <f>IF(57&lt;=$B$21,INDEX(Config!$D$6:$D$1000,57),"")</f>
        <v/>
      </c>
      <c r="R58">
        <f>IF(Q58="",0,SUMIFS(tbLancamentos[Valor],tbLancamentos[Categoria],Q58,tbLancamentos[Tipo],"&lt;&gt;Receita",tbLancamentos[Conta no mês?],"sim",tbLancamentos[Mês],$B$2,tbLancamentos[Ano],$B$3))</f>
        <v/>
      </c>
      <c r="S58">
        <f>IF(Q58="",-1,ROUND(R58,2)+(4)/10000000)</f>
        <v/>
      </c>
      <c r="AM58">
        <f>IF(57&lt;=$B$20,INDEX(Config!$B$6:$B$1000,57),IF(57-$B$20&lt;=$B$21,INDEX(Config!$D$6:$D$1000,MAX(1,57-$B$20)),IF(57-$B$20-$B$21&lt;=$B$27,INDEX(Config!$G$6:$G$1000,MAX(1,57-$B$20-$B$21)),"")))</f>
        <v/>
      </c>
      <c r="AO58">
        <f>IF(57&lt;=$B$22,INDEX(Config!$M$6:$M$1000,57),IF(57-$B$22&lt;=$B$23,INDEX(Config!$Q$6:$Q$1000,MAX(1,57-$B$22)),""))</f>
        <v/>
      </c>
    </row>
    <row r="59">
      <c r="Q59">
        <f>IF(58&lt;=$B$21,INDEX(Config!$D$6:$D$1000,58),"")</f>
        <v/>
      </c>
      <c r="R59">
        <f>IF(Q59="",0,SUMIFS(tbLancamentos[Valor],tbLancamentos[Categoria],Q59,tbLancamentos[Tipo],"&lt;&gt;Receita",tbLancamentos[Conta no mês?],"sim",tbLancamentos[Mês],$B$2,tbLancamentos[Ano],$B$3))</f>
        <v/>
      </c>
      <c r="S59">
        <f>IF(Q59="",-1,ROUND(R59,2)+(3)/10000000)</f>
        <v/>
      </c>
      <c r="AM59">
        <f>IF(58&lt;=$B$20,INDEX(Config!$B$6:$B$1000,58),IF(58-$B$20&lt;=$B$21,INDEX(Config!$D$6:$D$1000,MAX(1,58-$B$20)),IF(58-$B$20-$B$21&lt;=$B$27,INDEX(Config!$G$6:$G$1000,MAX(1,58-$B$20-$B$21)),"")))</f>
        <v/>
      </c>
      <c r="AO59">
        <f>IF(58&lt;=$B$22,INDEX(Config!$M$6:$M$1000,58),IF(58-$B$22&lt;=$B$23,INDEX(Config!$Q$6:$Q$1000,MAX(1,58-$B$22)),""))</f>
        <v/>
      </c>
    </row>
    <row r="60">
      <c r="Q60">
        <f>IF(59&lt;=$B$21,INDEX(Config!$D$6:$D$1000,59),"")</f>
        <v/>
      </c>
      <c r="R60">
        <f>IF(Q60="",0,SUMIFS(tbLancamentos[Valor],tbLancamentos[Categoria],Q60,tbLancamentos[Tipo],"&lt;&gt;Receita",tbLancamentos[Conta no mês?],"sim",tbLancamentos[Mês],$B$2,tbLancamentos[Ano],$B$3))</f>
        <v/>
      </c>
      <c r="S60">
        <f>IF(Q60="",-1,ROUND(R60,2)+(2)/10000000)</f>
        <v/>
      </c>
      <c r="AM60">
        <f>IF(59&lt;=$B$20,INDEX(Config!$B$6:$B$1000,59),IF(59-$B$20&lt;=$B$21,INDEX(Config!$D$6:$D$1000,MAX(1,59-$B$20)),IF(59-$B$20-$B$21&lt;=$B$27,INDEX(Config!$G$6:$G$1000,MAX(1,59-$B$20-$B$21)),"")))</f>
        <v/>
      </c>
      <c r="AO60">
        <f>IF(59&lt;=$B$22,INDEX(Config!$M$6:$M$1000,59),IF(59-$B$22&lt;=$B$23,INDEX(Config!$Q$6:$Q$1000,MAX(1,59-$B$22)),""))</f>
        <v/>
      </c>
    </row>
    <row r="61">
      <c r="Q61">
        <f>IF(60&lt;=$B$21,INDEX(Config!$D$6:$D$1000,60),"")</f>
        <v/>
      </c>
      <c r="R61">
        <f>IF(Q61="",0,SUMIFS(tbLancamentos[Valor],tbLancamentos[Categoria],Q61,tbLancamentos[Tipo],"&lt;&gt;Receita",tbLancamentos[Conta no mês?],"sim",tbLancamentos[Mês],$B$2,tbLancamentos[Ano],$B$3))</f>
        <v/>
      </c>
      <c r="S61">
        <f>IF(Q61="",-1,ROUND(R61,2)+(1)/10000000)</f>
        <v/>
      </c>
      <c r="AM61">
        <f>IF(60&lt;=$B$20,INDEX(Config!$B$6:$B$1000,60),IF(60-$B$20&lt;=$B$21,INDEX(Config!$D$6:$D$1000,MAX(1,60-$B$20)),IF(60-$B$20-$B$21&lt;=$B$27,INDEX(Config!$G$6:$G$1000,MAX(1,60-$B$20-$B$21)),"")))</f>
        <v/>
      </c>
      <c r="AO61">
        <f>IF(60&lt;=$B$22,INDEX(Config!$M$6:$M$1000,60),IF(60-$B$22&lt;=$B$23,INDEX(Config!$Q$6:$Q$1000,MAX(1,60-$B$22)),""))</f>
        <v/>
      </c>
    </row>
    <row r="62">
      <c r="AM62">
        <f>IF(61&lt;=$B$20,INDEX(Config!$B$6:$B$1000,61),IF(61-$B$20&lt;=$B$21,INDEX(Config!$D$6:$D$1000,MAX(1,61-$B$20)),IF(61-$B$20-$B$21&lt;=$B$27,INDEX(Config!$G$6:$G$1000,MAX(1,61-$B$20-$B$21)),"")))</f>
        <v/>
      </c>
    </row>
    <row r="63">
      <c r="AM63">
        <f>IF(62&lt;=$B$20,INDEX(Config!$B$6:$B$1000,62),IF(62-$B$20&lt;=$B$21,INDEX(Config!$D$6:$D$1000,MAX(1,62-$B$20)),IF(62-$B$20-$B$21&lt;=$B$27,INDEX(Config!$G$6:$G$1000,MAX(1,62-$B$20-$B$21)),"")))</f>
        <v/>
      </c>
    </row>
    <row r="64">
      <c r="AM64">
        <f>IF(63&lt;=$B$20,INDEX(Config!$B$6:$B$1000,63),IF(63-$B$20&lt;=$B$21,INDEX(Config!$D$6:$D$1000,MAX(1,63-$B$20)),IF(63-$B$20-$B$21&lt;=$B$27,INDEX(Config!$G$6:$G$1000,MAX(1,63-$B$20-$B$21)),"")))</f>
        <v/>
      </c>
    </row>
    <row r="65">
      <c r="AM65">
        <f>IF(64&lt;=$B$20,INDEX(Config!$B$6:$B$1000,64),IF(64-$B$20&lt;=$B$21,INDEX(Config!$D$6:$D$1000,MAX(1,64-$B$20)),IF(64-$B$20-$B$21&lt;=$B$27,INDEX(Config!$G$6:$G$1000,MAX(1,64-$B$20-$B$21)),"")))</f>
        <v/>
      </c>
    </row>
    <row r="66">
      <c r="AM66">
        <f>IF(65&lt;=$B$20,INDEX(Config!$B$6:$B$1000,65),IF(65-$B$20&lt;=$B$21,INDEX(Config!$D$6:$D$1000,MAX(1,65-$B$20)),IF(65-$B$20-$B$21&lt;=$B$27,INDEX(Config!$G$6:$G$1000,MAX(1,65-$B$20-$B$21)),"")))</f>
        <v/>
      </c>
    </row>
    <row r="67">
      <c r="AM67">
        <f>IF(66&lt;=$B$20,INDEX(Config!$B$6:$B$1000,66),IF(66-$B$20&lt;=$B$21,INDEX(Config!$D$6:$D$1000,MAX(1,66-$B$20)),IF(66-$B$20-$B$21&lt;=$B$27,INDEX(Config!$G$6:$G$1000,MAX(1,66-$B$20-$B$21)),"")))</f>
        <v/>
      </c>
    </row>
    <row r="68">
      <c r="AM68">
        <f>IF(67&lt;=$B$20,INDEX(Config!$B$6:$B$1000,67),IF(67-$B$20&lt;=$B$21,INDEX(Config!$D$6:$D$1000,MAX(1,67-$B$20)),IF(67-$B$20-$B$21&lt;=$B$27,INDEX(Config!$G$6:$G$1000,MAX(1,67-$B$20-$B$21)),"")))</f>
        <v/>
      </c>
    </row>
    <row r="69">
      <c r="AM69">
        <f>IF(68&lt;=$B$20,INDEX(Config!$B$6:$B$1000,68),IF(68-$B$20&lt;=$B$21,INDEX(Config!$D$6:$D$1000,MAX(1,68-$B$20)),IF(68-$B$20-$B$21&lt;=$B$27,INDEX(Config!$G$6:$G$1000,MAX(1,68-$B$20-$B$21)),"")))</f>
        <v/>
      </c>
    </row>
    <row r="70">
      <c r="AM70">
        <f>IF(69&lt;=$B$20,INDEX(Config!$B$6:$B$1000,69),IF(69-$B$20&lt;=$B$21,INDEX(Config!$D$6:$D$1000,MAX(1,69-$B$20)),IF(69-$B$20-$B$21&lt;=$B$27,INDEX(Config!$G$6:$G$1000,MAX(1,69-$B$20-$B$21)),"")))</f>
        <v/>
      </c>
    </row>
    <row r="71">
      <c r="AM71">
        <f>IF(70&lt;=$B$20,INDEX(Config!$B$6:$B$1000,70),IF(70-$B$20&lt;=$B$21,INDEX(Config!$D$6:$D$1000,MAX(1,70-$B$20)),IF(70-$B$20-$B$21&lt;=$B$27,INDEX(Config!$G$6:$G$1000,MAX(1,70-$B$20-$B$21)),"")))</f>
        <v/>
      </c>
    </row>
    <row r="72">
      <c r="AM72">
        <f>IF(71&lt;=$B$20,INDEX(Config!$B$6:$B$1000,71),IF(71-$B$20&lt;=$B$21,INDEX(Config!$D$6:$D$1000,MAX(1,71-$B$20)),IF(71-$B$20-$B$21&lt;=$B$27,INDEX(Config!$G$6:$G$1000,MAX(1,71-$B$20-$B$21)),"")))</f>
        <v/>
      </c>
    </row>
    <row r="73">
      <c r="AM73">
        <f>IF(72&lt;=$B$20,INDEX(Config!$B$6:$B$1000,72),IF(72-$B$20&lt;=$B$21,INDEX(Config!$D$6:$D$1000,MAX(1,72-$B$20)),IF(72-$B$20-$B$21&lt;=$B$27,INDEX(Config!$G$6:$G$1000,MAX(1,72-$B$20-$B$21)),"")))</f>
        <v/>
      </c>
    </row>
    <row r="74">
      <c r="AM74">
        <f>IF(73&lt;=$B$20,INDEX(Config!$B$6:$B$1000,73),IF(73-$B$20&lt;=$B$21,INDEX(Config!$D$6:$D$1000,MAX(1,73-$B$20)),IF(73-$B$20-$B$21&lt;=$B$27,INDEX(Config!$G$6:$G$1000,MAX(1,73-$B$20-$B$21)),"")))</f>
        <v/>
      </c>
    </row>
    <row r="75">
      <c r="AM75">
        <f>IF(74&lt;=$B$20,INDEX(Config!$B$6:$B$1000,74),IF(74-$B$20&lt;=$B$21,INDEX(Config!$D$6:$D$1000,MAX(1,74-$B$20)),IF(74-$B$20-$B$21&lt;=$B$27,INDEX(Config!$G$6:$G$1000,MAX(1,74-$B$20-$B$21)),"")))</f>
        <v/>
      </c>
    </row>
    <row r="76">
      <c r="AM76">
        <f>IF(75&lt;=$B$20,INDEX(Config!$B$6:$B$1000,75),IF(75-$B$20&lt;=$B$21,INDEX(Config!$D$6:$D$1000,MAX(1,75-$B$20)),IF(75-$B$20-$B$21&lt;=$B$27,INDEX(Config!$G$6:$G$1000,MAX(1,75-$B$20-$B$21)),"")))</f>
        <v/>
      </c>
    </row>
    <row r="77">
      <c r="AM77">
        <f>IF(76&lt;=$B$20,INDEX(Config!$B$6:$B$1000,76),IF(76-$B$20&lt;=$B$21,INDEX(Config!$D$6:$D$1000,MAX(1,76-$B$20)),IF(76-$B$20-$B$21&lt;=$B$27,INDEX(Config!$G$6:$G$1000,MAX(1,76-$B$20-$B$21)),"")))</f>
        <v/>
      </c>
    </row>
    <row r="78">
      <c r="AM78">
        <f>IF(77&lt;=$B$20,INDEX(Config!$B$6:$B$1000,77),IF(77-$B$20&lt;=$B$21,INDEX(Config!$D$6:$D$1000,MAX(1,77-$B$20)),IF(77-$B$20-$B$21&lt;=$B$27,INDEX(Config!$G$6:$G$1000,MAX(1,77-$B$20-$B$21)),"")))</f>
        <v/>
      </c>
    </row>
    <row r="79">
      <c r="AM79">
        <f>IF(78&lt;=$B$20,INDEX(Config!$B$6:$B$1000,78),IF(78-$B$20&lt;=$B$21,INDEX(Config!$D$6:$D$1000,MAX(1,78-$B$20)),IF(78-$B$20-$B$21&lt;=$B$27,INDEX(Config!$G$6:$G$1000,MAX(1,78-$B$20-$B$21)),"")))</f>
        <v/>
      </c>
    </row>
    <row r="80">
      <c r="AM80">
        <f>IF(79&lt;=$B$20,INDEX(Config!$B$6:$B$1000,79),IF(79-$B$20&lt;=$B$21,INDEX(Config!$D$6:$D$1000,MAX(1,79-$B$20)),IF(79-$B$20-$B$21&lt;=$B$27,INDEX(Config!$G$6:$G$1000,MAX(1,79-$B$20-$B$21)),"")))</f>
        <v/>
      </c>
    </row>
    <row r="81">
      <c r="AM81">
        <f>IF(80&lt;=$B$20,INDEX(Config!$B$6:$B$1000,80),IF(80-$B$20&lt;=$B$21,INDEX(Config!$D$6:$D$1000,MAX(1,80-$B$20)),IF(80-$B$20-$B$21&lt;=$B$27,INDEX(Config!$G$6:$G$1000,MAX(1,80-$B$20-$B$21)),"")))</f>
        <v/>
      </c>
    </row>
    <row r="82">
      <c r="AM82">
        <f>IF(81&lt;=$B$20,INDEX(Config!$B$6:$B$1000,81),IF(81-$B$20&lt;=$B$21,INDEX(Config!$D$6:$D$1000,MAX(1,81-$B$20)),IF(81-$B$20-$B$21&lt;=$B$27,INDEX(Config!$G$6:$G$1000,MAX(1,81-$B$20-$B$21)),"")))</f>
        <v/>
      </c>
    </row>
    <row r="83">
      <c r="AM83">
        <f>IF(82&lt;=$B$20,INDEX(Config!$B$6:$B$1000,82),IF(82-$B$20&lt;=$B$21,INDEX(Config!$D$6:$D$1000,MAX(1,82-$B$20)),IF(82-$B$20-$B$21&lt;=$B$27,INDEX(Config!$G$6:$G$1000,MAX(1,82-$B$20-$B$21)),"")))</f>
        <v/>
      </c>
    </row>
    <row r="84">
      <c r="AM84">
        <f>IF(83&lt;=$B$20,INDEX(Config!$B$6:$B$1000,83),IF(83-$B$20&lt;=$B$21,INDEX(Config!$D$6:$D$1000,MAX(1,83-$B$20)),IF(83-$B$20-$B$21&lt;=$B$27,INDEX(Config!$G$6:$G$1000,MAX(1,83-$B$20-$B$21)),"")))</f>
        <v/>
      </c>
    </row>
    <row r="85">
      <c r="AM85">
        <f>IF(84&lt;=$B$20,INDEX(Config!$B$6:$B$1000,84),IF(84-$B$20&lt;=$B$21,INDEX(Config!$D$6:$D$1000,MAX(1,84-$B$20)),IF(84-$B$20-$B$21&lt;=$B$27,INDEX(Config!$G$6:$G$1000,MAX(1,84-$B$20-$B$21)),"")))</f>
        <v/>
      </c>
    </row>
    <row r="86">
      <c r="AM86">
        <f>IF(85&lt;=$B$20,INDEX(Config!$B$6:$B$1000,85),IF(85-$B$20&lt;=$B$21,INDEX(Config!$D$6:$D$1000,MAX(1,85-$B$20)),IF(85-$B$20-$B$21&lt;=$B$27,INDEX(Config!$G$6:$G$1000,MAX(1,85-$B$20-$B$21)),"")))</f>
        <v/>
      </c>
    </row>
    <row r="87">
      <c r="AM87">
        <f>IF(86&lt;=$B$20,INDEX(Config!$B$6:$B$1000,86),IF(86-$B$20&lt;=$B$21,INDEX(Config!$D$6:$D$1000,MAX(1,86-$B$20)),IF(86-$B$20-$B$21&lt;=$B$27,INDEX(Config!$G$6:$G$1000,MAX(1,86-$B$20-$B$21)),"")))</f>
        <v/>
      </c>
    </row>
    <row r="88">
      <c r="AM88">
        <f>IF(87&lt;=$B$20,INDEX(Config!$B$6:$B$1000,87),IF(87-$B$20&lt;=$B$21,INDEX(Config!$D$6:$D$1000,MAX(1,87-$B$20)),IF(87-$B$20-$B$21&lt;=$B$27,INDEX(Config!$G$6:$G$1000,MAX(1,87-$B$20-$B$21)),"")))</f>
        <v/>
      </c>
    </row>
    <row r="89">
      <c r="AM89">
        <f>IF(88&lt;=$B$20,INDEX(Config!$B$6:$B$1000,88),IF(88-$B$20&lt;=$B$21,INDEX(Config!$D$6:$D$1000,MAX(1,88-$B$20)),IF(88-$B$20-$B$21&lt;=$B$27,INDEX(Config!$G$6:$G$1000,MAX(1,88-$B$20-$B$21)),"")))</f>
        <v/>
      </c>
    </row>
    <row r="90">
      <c r="AM90">
        <f>IF(89&lt;=$B$20,INDEX(Config!$B$6:$B$1000,89),IF(89-$B$20&lt;=$B$21,INDEX(Config!$D$6:$D$1000,MAX(1,89-$B$20)),IF(89-$B$20-$B$21&lt;=$B$27,INDEX(Config!$G$6:$G$1000,MAX(1,89-$B$20-$B$21)),"")))</f>
        <v/>
      </c>
    </row>
    <row r="91">
      <c r="AM91">
        <f>IF(90&lt;=$B$20,INDEX(Config!$B$6:$B$1000,90),IF(90-$B$20&lt;=$B$21,INDEX(Config!$D$6:$D$1000,MAX(1,90-$B$20)),IF(90-$B$20-$B$21&lt;=$B$27,INDEX(Config!$G$6:$G$1000,MAX(1,90-$B$20-$B$21)),"")))</f>
        <v/>
      </c>
    </row>
    <row r="92">
      <c r="AM92">
        <f>IF(91&lt;=$B$20,INDEX(Config!$B$6:$B$1000,91),IF(91-$B$20&lt;=$B$21,INDEX(Config!$D$6:$D$1000,MAX(1,91-$B$20)),IF(91-$B$20-$B$21&lt;=$B$27,INDEX(Config!$G$6:$G$1000,MAX(1,91-$B$20-$B$21)),"")))</f>
        <v/>
      </c>
    </row>
    <row r="93">
      <c r="AM93">
        <f>IF(92&lt;=$B$20,INDEX(Config!$B$6:$B$1000,92),IF(92-$B$20&lt;=$B$21,INDEX(Config!$D$6:$D$1000,MAX(1,92-$B$20)),IF(92-$B$20-$B$21&lt;=$B$27,INDEX(Config!$G$6:$G$1000,MAX(1,92-$B$20-$B$21)),"")))</f>
        <v/>
      </c>
    </row>
    <row r="94">
      <c r="AM94">
        <f>IF(93&lt;=$B$20,INDEX(Config!$B$6:$B$1000,93),IF(93-$B$20&lt;=$B$21,INDEX(Config!$D$6:$D$1000,MAX(1,93-$B$20)),IF(93-$B$20-$B$21&lt;=$B$27,INDEX(Config!$G$6:$G$1000,MAX(1,93-$B$20-$B$21)),"")))</f>
        <v/>
      </c>
    </row>
    <row r="95">
      <c r="AM95">
        <f>IF(94&lt;=$B$20,INDEX(Config!$B$6:$B$1000,94),IF(94-$B$20&lt;=$B$21,INDEX(Config!$D$6:$D$1000,MAX(1,94-$B$20)),IF(94-$B$20-$B$21&lt;=$B$27,INDEX(Config!$G$6:$G$1000,MAX(1,94-$B$20-$B$21)),"")))</f>
        <v/>
      </c>
    </row>
    <row r="96">
      <c r="AM96">
        <f>IF(95&lt;=$B$20,INDEX(Config!$B$6:$B$1000,95),IF(95-$B$20&lt;=$B$21,INDEX(Config!$D$6:$D$1000,MAX(1,95-$B$20)),IF(95-$B$20-$B$21&lt;=$B$27,INDEX(Config!$G$6:$G$1000,MAX(1,95-$B$20-$B$21)),"")))</f>
        <v/>
      </c>
    </row>
    <row r="97">
      <c r="AM97">
        <f>IF(96&lt;=$B$20,INDEX(Config!$B$6:$B$1000,96),IF(96-$B$20&lt;=$B$21,INDEX(Config!$D$6:$D$1000,MAX(1,96-$B$20)),IF(96-$B$20-$B$21&lt;=$B$27,INDEX(Config!$G$6:$G$1000,MAX(1,96-$B$20-$B$21)),"")))</f>
        <v/>
      </c>
    </row>
    <row r="98">
      <c r="AM98">
        <f>IF(97&lt;=$B$20,INDEX(Config!$B$6:$B$1000,97),IF(97-$B$20&lt;=$B$21,INDEX(Config!$D$6:$D$1000,MAX(1,97-$B$20)),IF(97-$B$20-$B$21&lt;=$B$27,INDEX(Config!$G$6:$G$1000,MAX(1,97-$B$20-$B$21)),"")))</f>
        <v/>
      </c>
    </row>
    <row r="99">
      <c r="AM99">
        <f>IF(98&lt;=$B$20,INDEX(Config!$B$6:$B$1000,98),IF(98-$B$20&lt;=$B$21,INDEX(Config!$D$6:$D$1000,MAX(1,98-$B$20)),IF(98-$B$20-$B$21&lt;=$B$27,INDEX(Config!$G$6:$G$1000,MAX(1,98-$B$20-$B$21)),"")))</f>
        <v/>
      </c>
    </row>
    <row r="100">
      <c r="AM100">
        <f>IF(99&lt;=$B$20,INDEX(Config!$B$6:$B$1000,99),IF(99-$B$20&lt;=$B$21,INDEX(Config!$D$6:$D$1000,MAX(1,99-$B$20)),IF(99-$B$20-$B$21&lt;=$B$27,INDEX(Config!$G$6:$G$1000,MAX(1,99-$B$20-$B$21)),"")))</f>
        <v/>
      </c>
    </row>
    <row r="101">
      <c r="AM101">
        <f>IF(100&lt;=$B$20,INDEX(Config!$B$6:$B$1000,100),IF(100-$B$20&lt;=$B$21,INDEX(Config!$D$6:$D$1000,MAX(1,100-$B$20)),IF(100-$B$20-$B$21&lt;=$B$27,INDEX(Config!$G$6:$G$1000,MAX(1,100-$B$20-$B$21)),"")))</f>
        <v/>
      </c>
    </row>
    <row r="102">
      <c r="AM102">
        <f>IF(101&lt;=$B$20,INDEX(Config!$B$6:$B$1000,101),IF(101-$B$20&lt;=$B$21,INDEX(Config!$D$6:$D$1000,MAX(1,101-$B$20)),IF(101-$B$20-$B$21&lt;=$B$27,INDEX(Config!$G$6:$G$1000,MAX(1,101-$B$20-$B$21)),"")))</f>
        <v/>
      </c>
    </row>
    <row r="103">
      <c r="AM103">
        <f>IF(102&lt;=$B$20,INDEX(Config!$B$6:$B$1000,102),IF(102-$B$20&lt;=$B$21,INDEX(Config!$D$6:$D$1000,MAX(1,102-$B$20)),IF(102-$B$20-$B$21&lt;=$B$27,INDEX(Config!$G$6:$G$1000,MAX(1,102-$B$20-$B$21)),"")))</f>
        <v/>
      </c>
    </row>
    <row r="104">
      <c r="AM104">
        <f>IF(103&lt;=$B$20,INDEX(Config!$B$6:$B$1000,103),IF(103-$B$20&lt;=$B$21,INDEX(Config!$D$6:$D$1000,MAX(1,103-$B$20)),IF(103-$B$20-$B$21&lt;=$B$27,INDEX(Config!$G$6:$G$1000,MAX(1,103-$B$20-$B$21)),"")))</f>
        <v/>
      </c>
    </row>
    <row r="105">
      <c r="AM105">
        <f>IF(104&lt;=$B$20,INDEX(Config!$B$6:$B$1000,104),IF(104-$B$20&lt;=$B$21,INDEX(Config!$D$6:$D$1000,MAX(1,104-$B$20)),IF(104-$B$20-$B$21&lt;=$B$27,INDEX(Config!$G$6:$G$1000,MAX(1,104-$B$20-$B$21)),"")))</f>
        <v/>
      </c>
    </row>
    <row r="106">
      <c r="AM106">
        <f>IF(105&lt;=$B$20,INDEX(Config!$B$6:$B$1000,105),IF(105-$B$20&lt;=$B$21,INDEX(Config!$D$6:$D$1000,MAX(1,105-$B$20)),IF(105-$B$20-$B$21&lt;=$B$27,INDEX(Config!$G$6:$G$1000,MAX(1,105-$B$20-$B$21)),"")))</f>
        <v/>
      </c>
    </row>
    <row r="107">
      <c r="AM107">
        <f>IF(106&lt;=$B$20,INDEX(Config!$B$6:$B$1000,106),IF(106-$B$20&lt;=$B$21,INDEX(Config!$D$6:$D$1000,MAX(1,106-$B$20)),IF(106-$B$20-$B$21&lt;=$B$27,INDEX(Config!$G$6:$G$1000,MAX(1,106-$B$20-$B$21)),"")))</f>
        <v/>
      </c>
    </row>
    <row r="108">
      <c r="AM108">
        <f>IF(107&lt;=$B$20,INDEX(Config!$B$6:$B$1000,107),IF(107-$B$20&lt;=$B$21,INDEX(Config!$D$6:$D$1000,MAX(1,107-$B$20)),IF(107-$B$20-$B$21&lt;=$B$27,INDEX(Config!$G$6:$G$1000,MAX(1,107-$B$20-$B$21)),"")))</f>
        <v/>
      </c>
    </row>
    <row r="109">
      <c r="AM109">
        <f>IF(108&lt;=$B$20,INDEX(Config!$B$6:$B$1000,108),IF(108-$B$20&lt;=$B$21,INDEX(Config!$D$6:$D$1000,MAX(1,108-$B$20)),IF(108-$B$20-$B$21&lt;=$B$27,INDEX(Config!$G$6:$G$1000,MAX(1,108-$B$20-$B$21)),"")))</f>
        <v/>
      </c>
    </row>
    <row r="110">
      <c r="AM110">
        <f>IF(109&lt;=$B$20,INDEX(Config!$B$6:$B$1000,109),IF(109-$B$20&lt;=$B$21,INDEX(Config!$D$6:$D$1000,MAX(1,109-$B$20)),IF(109-$B$20-$B$21&lt;=$B$27,INDEX(Config!$G$6:$G$1000,MAX(1,109-$B$20-$B$21)),"")))</f>
        <v/>
      </c>
    </row>
    <row r="111">
      <c r="AM111">
        <f>IF(110&lt;=$B$20,INDEX(Config!$B$6:$B$1000,110),IF(110-$B$20&lt;=$B$21,INDEX(Config!$D$6:$D$1000,MAX(1,110-$B$20)),IF(110-$B$20-$B$21&lt;=$B$27,INDEX(Config!$G$6:$G$1000,MAX(1,110-$B$20-$B$21)),"")))</f>
        <v/>
      </c>
    </row>
    <row r="112">
      <c r="AM112">
        <f>IF(111&lt;=$B$20,INDEX(Config!$B$6:$B$1000,111),IF(111-$B$20&lt;=$B$21,INDEX(Config!$D$6:$D$1000,MAX(1,111-$B$20)),IF(111-$B$20-$B$21&lt;=$B$27,INDEX(Config!$G$6:$G$1000,MAX(1,111-$B$20-$B$21)),"")))</f>
        <v/>
      </c>
    </row>
    <row r="113">
      <c r="AM113">
        <f>IF(112&lt;=$B$20,INDEX(Config!$B$6:$B$1000,112),IF(112-$B$20&lt;=$B$21,INDEX(Config!$D$6:$D$1000,MAX(1,112-$B$20)),IF(112-$B$20-$B$21&lt;=$B$27,INDEX(Config!$G$6:$G$1000,MAX(1,112-$B$20-$B$21)),"")))</f>
        <v/>
      </c>
    </row>
    <row r="114">
      <c r="AM114">
        <f>IF(113&lt;=$B$20,INDEX(Config!$B$6:$B$1000,113),IF(113-$B$20&lt;=$B$21,INDEX(Config!$D$6:$D$1000,MAX(1,113-$B$20)),IF(113-$B$20-$B$21&lt;=$B$27,INDEX(Config!$G$6:$G$1000,MAX(1,113-$B$20-$B$21)),"")))</f>
        <v/>
      </c>
    </row>
    <row r="115">
      <c r="AM115">
        <f>IF(114&lt;=$B$20,INDEX(Config!$B$6:$B$1000,114),IF(114-$B$20&lt;=$B$21,INDEX(Config!$D$6:$D$1000,MAX(1,114-$B$20)),IF(114-$B$20-$B$21&lt;=$B$27,INDEX(Config!$G$6:$G$1000,MAX(1,114-$B$20-$B$21)),"")))</f>
        <v/>
      </c>
    </row>
    <row r="116">
      <c r="AM116">
        <f>IF(115&lt;=$B$20,INDEX(Config!$B$6:$B$1000,115),IF(115-$B$20&lt;=$B$21,INDEX(Config!$D$6:$D$1000,MAX(1,115-$B$20)),IF(115-$B$20-$B$21&lt;=$B$27,INDEX(Config!$G$6:$G$1000,MAX(1,115-$B$20-$B$21)),"")))</f>
        <v/>
      </c>
    </row>
    <row r="117">
      <c r="AM117">
        <f>IF(116&lt;=$B$20,INDEX(Config!$B$6:$B$1000,116),IF(116-$B$20&lt;=$B$21,INDEX(Config!$D$6:$D$1000,MAX(1,116-$B$20)),IF(116-$B$20-$B$21&lt;=$B$27,INDEX(Config!$G$6:$G$1000,MAX(1,116-$B$20-$B$21)),"")))</f>
        <v/>
      </c>
    </row>
    <row r="118">
      <c r="AM118">
        <f>IF(117&lt;=$B$20,INDEX(Config!$B$6:$B$1000,117),IF(117-$B$20&lt;=$B$21,INDEX(Config!$D$6:$D$1000,MAX(1,117-$B$20)),IF(117-$B$20-$B$21&lt;=$B$27,INDEX(Config!$G$6:$G$1000,MAX(1,117-$B$20-$B$21)),"")))</f>
        <v/>
      </c>
    </row>
    <row r="119">
      <c r="AM119">
        <f>IF(118&lt;=$B$20,INDEX(Config!$B$6:$B$1000,118),IF(118-$B$20&lt;=$B$21,INDEX(Config!$D$6:$D$1000,MAX(1,118-$B$20)),IF(118-$B$20-$B$21&lt;=$B$27,INDEX(Config!$G$6:$G$1000,MAX(1,118-$B$20-$B$21)),"")))</f>
        <v/>
      </c>
    </row>
    <row r="120">
      <c r="AM120">
        <f>IF(119&lt;=$B$20,INDEX(Config!$B$6:$B$1000,119),IF(119-$B$20&lt;=$B$21,INDEX(Config!$D$6:$D$1000,MAX(1,119-$B$20)),IF(119-$B$20-$B$21&lt;=$B$27,INDEX(Config!$G$6:$G$1000,MAX(1,119-$B$20-$B$21)),"")))</f>
        <v/>
      </c>
    </row>
    <row r="121">
      <c r="AM121">
        <f>IF(120&lt;=$B$20,INDEX(Config!$B$6:$B$1000,120),IF(120-$B$20&lt;=$B$21,INDEX(Config!$D$6:$D$1000,MAX(1,120-$B$20)),IF(120-$B$20-$B$21&lt;=$B$27,INDEX(Config!$G$6:$G$1000,MAX(1,120-$B$20-$B$21)),"")))</f>
        <v/>
      </c>
    </row>
    <row r="122">
      <c r="AM122">
        <f>IF(121&lt;=$B$20,INDEX(Config!$B$6:$B$1000,121),IF(121-$B$20&lt;=$B$21,INDEX(Config!$D$6:$D$1000,MAX(1,121-$B$20)),IF(121-$B$20-$B$21&lt;=$B$27,INDEX(Config!$G$6:$G$1000,MAX(1,121-$B$20-$B$21)),"")))</f>
        <v/>
      </c>
    </row>
    <row r="123">
      <c r="AM123">
        <f>IF(122&lt;=$B$20,INDEX(Config!$B$6:$B$1000,122),IF(122-$B$20&lt;=$B$21,INDEX(Config!$D$6:$D$1000,MAX(1,122-$B$20)),IF(122-$B$20-$B$21&lt;=$B$27,INDEX(Config!$G$6:$G$1000,MAX(1,122-$B$20-$B$21)),"")))</f>
        <v/>
      </c>
    </row>
    <row r="124">
      <c r="AM124">
        <f>IF(123&lt;=$B$20,INDEX(Config!$B$6:$B$1000,123),IF(123-$B$20&lt;=$B$21,INDEX(Config!$D$6:$D$1000,MAX(1,123-$B$20)),IF(123-$B$20-$B$21&lt;=$B$27,INDEX(Config!$G$6:$G$1000,MAX(1,123-$B$20-$B$21)),"")))</f>
        <v/>
      </c>
    </row>
    <row r="125">
      <c r="AM125">
        <f>IF(124&lt;=$B$20,INDEX(Config!$B$6:$B$1000,124),IF(124-$B$20&lt;=$B$21,INDEX(Config!$D$6:$D$1000,MAX(1,124-$B$20)),IF(124-$B$20-$B$21&lt;=$B$27,INDEX(Config!$G$6:$G$1000,MAX(1,124-$B$20-$B$21)),"")))</f>
        <v/>
      </c>
    </row>
    <row r="126">
      <c r="AM126">
        <f>IF(125&lt;=$B$20,INDEX(Config!$B$6:$B$1000,125),IF(125-$B$20&lt;=$B$21,INDEX(Config!$D$6:$D$1000,MAX(1,125-$B$20)),IF(125-$B$20-$B$21&lt;=$B$27,INDEX(Config!$G$6:$G$1000,MAX(1,125-$B$20-$B$21)),"")))</f>
        <v/>
      </c>
    </row>
    <row r="127">
      <c r="AM127">
        <f>IF(126&lt;=$B$20,INDEX(Config!$B$6:$B$1000,126),IF(126-$B$20&lt;=$B$21,INDEX(Config!$D$6:$D$1000,MAX(1,126-$B$20)),IF(126-$B$20-$B$21&lt;=$B$27,INDEX(Config!$G$6:$G$1000,MAX(1,126-$B$20-$B$21)),"")))</f>
        <v/>
      </c>
    </row>
    <row r="128">
      <c r="AM128">
        <f>IF(127&lt;=$B$20,INDEX(Config!$B$6:$B$1000,127),IF(127-$B$20&lt;=$B$21,INDEX(Config!$D$6:$D$1000,MAX(1,127-$B$20)),IF(127-$B$20-$B$21&lt;=$B$27,INDEX(Config!$G$6:$G$1000,MAX(1,127-$B$20-$B$21)),"")))</f>
        <v/>
      </c>
    </row>
    <row r="129">
      <c r="AM129">
        <f>IF(128&lt;=$B$20,INDEX(Config!$B$6:$B$1000,128),IF(128-$B$20&lt;=$B$21,INDEX(Config!$D$6:$D$1000,MAX(1,128-$B$20)),IF(128-$B$20-$B$21&lt;=$B$27,INDEX(Config!$G$6:$G$1000,MAX(1,128-$B$20-$B$21)),"")))</f>
        <v/>
      </c>
    </row>
    <row r="130">
      <c r="AM130">
        <f>IF(129&lt;=$B$20,INDEX(Config!$B$6:$B$1000,129),IF(129-$B$20&lt;=$B$21,INDEX(Config!$D$6:$D$1000,MAX(1,129-$B$20)),IF(129-$B$20-$B$21&lt;=$B$27,INDEX(Config!$G$6:$G$1000,MAX(1,129-$B$20-$B$21)),"")))</f>
        <v/>
      </c>
    </row>
    <row r="131">
      <c r="AM131">
        <f>IF(130&lt;=$B$20,INDEX(Config!$B$6:$B$1000,130),IF(130-$B$20&lt;=$B$21,INDEX(Config!$D$6:$D$1000,MAX(1,130-$B$20)),IF(130-$B$20-$B$21&lt;=$B$27,INDEX(Config!$G$6:$G$1000,MAX(1,130-$B$20-$B$21)),"")))</f>
        <v/>
      </c>
    </row>
    <row r="132">
      <c r="AM132">
        <f>IF(131&lt;=$B$20,INDEX(Config!$B$6:$B$1000,131),IF(131-$B$20&lt;=$B$21,INDEX(Config!$D$6:$D$1000,MAX(1,131-$B$20)),IF(131-$B$20-$B$21&lt;=$B$27,INDEX(Config!$G$6:$G$1000,MAX(1,131-$B$20-$B$21)),"")))</f>
        <v/>
      </c>
    </row>
    <row r="133">
      <c r="AM133">
        <f>IF(132&lt;=$B$20,INDEX(Config!$B$6:$B$1000,132),IF(132-$B$20&lt;=$B$21,INDEX(Config!$D$6:$D$1000,MAX(1,132-$B$20)),IF(132-$B$20-$B$21&lt;=$B$27,INDEX(Config!$G$6:$G$1000,MAX(1,132-$B$20-$B$21)),"")))</f>
        <v/>
      </c>
    </row>
    <row r="134">
      <c r="AM134">
        <f>IF(133&lt;=$B$20,INDEX(Config!$B$6:$B$1000,133),IF(133-$B$20&lt;=$B$21,INDEX(Config!$D$6:$D$1000,MAX(1,133-$B$20)),IF(133-$B$20-$B$21&lt;=$B$27,INDEX(Config!$G$6:$G$1000,MAX(1,133-$B$20-$B$21)),"")))</f>
        <v/>
      </c>
    </row>
    <row r="135">
      <c r="AM135">
        <f>IF(134&lt;=$B$20,INDEX(Config!$B$6:$B$1000,134),IF(134-$B$20&lt;=$B$21,INDEX(Config!$D$6:$D$1000,MAX(1,134-$B$20)),IF(134-$B$20-$B$21&lt;=$B$27,INDEX(Config!$G$6:$G$1000,MAX(1,134-$B$20-$B$21)),"")))</f>
        <v/>
      </c>
    </row>
    <row r="136">
      <c r="AM136">
        <f>IF(135&lt;=$B$20,INDEX(Config!$B$6:$B$1000,135),IF(135-$B$20&lt;=$B$21,INDEX(Config!$D$6:$D$1000,MAX(1,135-$B$20)),IF(135-$B$20-$B$21&lt;=$B$27,INDEX(Config!$G$6:$G$1000,MAX(1,135-$B$20-$B$21)),"")))</f>
        <v/>
      </c>
    </row>
    <row r="137">
      <c r="AM137">
        <f>IF(136&lt;=$B$20,INDEX(Config!$B$6:$B$1000,136),IF(136-$B$20&lt;=$B$21,INDEX(Config!$D$6:$D$1000,MAX(1,136-$B$20)),IF(136-$B$20-$B$21&lt;=$B$27,INDEX(Config!$G$6:$G$1000,MAX(1,136-$B$20-$B$21)),"")))</f>
        <v/>
      </c>
    </row>
    <row r="138">
      <c r="AM138">
        <f>IF(137&lt;=$B$20,INDEX(Config!$B$6:$B$1000,137),IF(137-$B$20&lt;=$B$21,INDEX(Config!$D$6:$D$1000,MAX(1,137-$B$20)),IF(137-$B$20-$B$21&lt;=$B$27,INDEX(Config!$G$6:$G$1000,MAX(1,137-$B$20-$B$21)),"")))</f>
        <v/>
      </c>
    </row>
    <row r="139">
      <c r="AM139">
        <f>IF(138&lt;=$B$20,INDEX(Config!$B$6:$B$1000,138),IF(138-$B$20&lt;=$B$21,INDEX(Config!$D$6:$D$1000,MAX(1,138-$B$20)),IF(138-$B$20-$B$21&lt;=$B$27,INDEX(Config!$G$6:$G$1000,MAX(1,138-$B$20-$B$21)),"")))</f>
        <v/>
      </c>
    </row>
    <row r="140">
      <c r="AM140">
        <f>IF(139&lt;=$B$20,INDEX(Config!$B$6:$B$1000,139),IF(139-$B$20&lt;=$B$21,INDEX(Config!$D$6:$D$1000,MAX(1,139-$B$20)),IF(139-$B$20-$B$21&lt;=$B$27,INDEX(Config!$G$6:$G$1000,MAX(1,139-$B$20-$B$21)),"")))</f>
        <v/>
      </c>
    </row>
    <row r="141">
      <c r="AM141">
        <f>IF(140&lt;=$B$20,INDEX(Config!$B$6:$B$1000,140),IF(140-$B$20&lt;=$B$21,INDEX(Config!$D$6:$D$1000,MAX(1,140-$B$20)),IF(140-$B$20-$B$21&lt;=$B$27,INDEX(Config!$G$6:$G$1000,MAX(1,140-$B$20-$B$21)),"")))</f>
        <v/>
      </c>
    </row>
    <row r="142">
      <c r="AM142">
        <f>IF(141&lt;=$B$20,INDEX(Config!$B$6:$B$1000,141),IF(141-$B$20&lt;=$B$21,INDEX(Config!$D$6:$D$1000,MAX(1,141-$B$20)),IF(141-$B$20-$B$21&lt;=$B$27,INDEX(Config!$G$6:$G$1000,MAX(1,141-$B$20-$B$21)),"")))</f>
        <v/>
      </c>
    </row>
    <row r="143">
      <c r="AM143">
        <f>IF(142&lt;=$B$20,INDEX(Config!$B$6:$B$1000,142),IF(142-$B$20&lt;=$B$21,INDEX(Config!$D$6:$D$1000,MAX(1,142-$B$20)),IF(142-$B$20-$B$21&lt;=$B$27,INDEX(Config!$G$6:$G$1000,MAX(1,142-$B$20-$B$21)),"")))</f>
        <v/>
      </c>
    </row>
    <row r="144">
      <c r="AM144">
        <f>IF(143&lt;=$B$20,INDEX(Config!$B$6:$B$1000,143),IF(143-$B$20&lt;=$B$21,INDEX(Config!$D$6:$D$1000,MAX(1,143-$B$20)),IF(143-$B$20-$B$21&lt;=$B$27,INDEX(Config!$G$6:$G$1000,MAX(1,143-$B$20-$B$21)),"")))</f>
        <v/>
      </c>
    </row>
    <row r="145">
      <c r="AM145">
        <f>IF(144&lt;=$B$20,INDEX(Config!$B$6:$B$1000,144),IF(144-$B$20&lt;=$B$21,INDEX(Config!$D$6:$D$1000,MAX(1,144-$B$20)),IF(144-$B$20-$B$21&lt;=$B$27,INDEX(Config!$G$6:$G$1000,MAX(1,144-$B$20-$B$21)),"")))</f>
        <v/>
      </c>
    </row>
    <row r="146">
      <c r="AM146">
        <f>IF(145&lt;=$B$20,INDEX(Config!$B$6:$B$1000,145),IF(145-$B$20&lt;=$B$21,INDEX(Config!$D$6:$D$1000,MAX(1,145-$B$20)),IF(145-$B$20-$B$21&lt;=$B$27,INDEX(Config!$G$6:$G$1000,MAX(1,145-$B$20-$B$21)),"")))</f>
        <v/>
      </c>
    </row>
    <row r="147">
      <c r="AM147">
        <f>IF(146&lt;=$B$20,INDEX(Config!$B$6:$B$1000,146),IF(146-$B$20&lt;=$B$21,INDEX(Config!$D$6:$D$1000,MAX(1,146-$B$20)),IF(146-$B$20-$B$21&lt;=$B$27,INDEX(Config!$G$6:$G$1000,MAX(1,146-$B$20-$B$21)),"")))</f>
        <v/>
      </c>
    </row>
    <row r="148">
      <c r="AM148">
        <f>IF(147&lt;=$B$20,INDEX(Config!$B$6:$B$1000,147),IF(147-$B$20&lt;=$B$21,INDEX(Config!$D$6:$D$1000,MAX(1,147-$B$20)),IF(147-$B$20-$B$21&lt;=$B$27,INDEX(Config!$G$6:$G$1000,MAX(1,147-$B$20-$B$21)),"")))</f>
        <v/>
      </c>
    </row>
    <row r="149">
      <c r="AM149">
        <f>IF(148&lt;=$B$20,INDEX(Config!$B$6:$B$1000,148),IF(148-$B$20&lt;=$B$21,INDEX(Config!$D$6:$D$1000,MAX(1,148-$B$20)),IF(148-$B$20-$B$21&lt;=$B$27,INDEX(Config!$G$6:$G$1000,MAX(1,148-$B$20-$B$21)),"")))</f>
        <v/>
      </c>
    </row>
    <row r="150">
      <c r="AM150">
        <f>IF(149&lt;=$B$20,INDEX(Config!$B$6:$B$1000,149),IF(149-$B$20&lt;=$B$21,INDEX(Config!$D$6:$D$1000,MAX(1,149-$B$20)),IF(149-$B$20-$B$21&lt;=$B$27,INDEX(Config!$G$6:$G$1000,MAX(1,149-$B$20-$B$21)),"")))</f>
        <v/>
      </c>
    </row>
    <row r="151">
      <c r="AM151">
        <f>IF(150&lt;=$B$20,INDEX(Config!$B$6:$B$1000,150),IF(150-$B$20&lt;=$B$21,INDEX(Config!$D$6:$D$1000,MAX(1,150-$B$20)),IF(150-$B$20-$B$21&lt;=$B$27,INDEX(Config!$G$6:$G$1000,MAX(1,150-$B$20-$B$21)),"")))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2026-09-29T14:06:09Z</dcterms:created>
  <dcterms:modified xmlns:dcterms="http://purl.org/dc/terms/" xmlns:xsi="http://www.w3.org/2001/XMLSchema-instance" xsi:type="dcterms:W3CDTF">2026-09-29T14:06:10Z</dcterms:modified>
</cp:coreProperties>
</file>