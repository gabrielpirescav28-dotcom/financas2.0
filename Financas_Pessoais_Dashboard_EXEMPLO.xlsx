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Parcelar" sheetId="4" state="visible" r:id="rId4"/>
    <sheet xmlns:r="http://schemas.openxmlformats.org/officeDocument/2006/relationships" name="Investimentos" sheetId="5" state="visible" r:id="rId5"/>
    <sheet xmlns:r="http://schemas.openxmlformats.org/officeDocument/2006/relationships" name="Planos" sheetId="6" state="visible" r:id="rId6"/>
    <sheet xmlns:r="http://schemas.openxmlformats.org/officeDocument/2006/relationships" name="Visão do ano" sheetId="7" state="visible" r:id="rId7"/>
    <sheet xmlns:r="http://schemas.openxmlformats.org/officeDocument/2006/relationships" name="Categorizar" sheetId="8" state="visible" r:id="rId8"/>
    <sheet xmlns:r="http://schemas.openxmlformats.org/officeDocument/2006/relationships" name="Atalhos" sheetId="9" state="visible" r:id="rId9"/>
    <sheet xmlns:r="http://schemas.openxmlformats.org/officeDocument/2006/relationships" name="Config" sheetId="10" state="hidden" r:id="rId10"/>
    <sheet xmlns:r="http://schemas.openxmlformats.org/officeDocument/2006/relationships" name="Calc" sheetId="11" state="hidden" r:id="rId11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dd/mm/yyyy"/>
    <numFmt numFmtId="166" formatCode="mm/yyyy"/>
    <numFmt numFmtId="167" formatCode="yyyy-mm-dd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11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0" pivotButton="0" quotePrefix="0" xfId="0"/>
    <xf numFmtId="0" fontId="19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20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1" fillId="2" borderId="11" applyAlignment="1" pivotButton="0" quotePrefix="0" xfId="0">
      <alignment horizontal="right" vertical="center" indent="1"/>
    </xf>
    <xf numFmtId="164" fontId="22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1" fillId="2" borderId="2" applyAlignment="1" pivotButton="0" quotePrefix="0" xfId="0">
      <alignment horizontal="right" vertical="center" indent="1"/>
    </xf>
    <xf numFmtId="165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164" fontId="18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170" fontId="1" fillId="2" borderId="2" applyAlignment="1" pivotButton="0" quotePrefix="0" xfId="0">
      <alignment horizontal="right" vertical="center" indent="1"/>
    </xf>
    <xf numFmtId="0" fontId="7" fillId="2" borderId="0" pivotButton="0" quotePrefix="0" xfId="0"/>
    <xf numFmtId="164" fontId="18" fillId="2" borderId="11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5" fontId="1" fillId="2" borderId="2" applyAlignment="1" pivotButton="0" quotePrefix="0" xfId="0">
      <alignment horizontal="left" vertical="center" indent="1"/>
    </xf>
    <xf numFmtId="166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5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6" fontId="0" fillId="2" borderId="0" pivotButton="0" quotePrefix="0" xfId="0"/>
    <xf numFmtId="0" fontId="4" fillId="2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165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left" vertical="center" indent="1"/>
    </xf>
    <xf numFmtId="0" fontId="1" fillId="5" borderId="2" applyAlignment="1" pivotButton="0" quotePrefix="0" xfId="0">
      <alignment horizontal="center" vertical="center"/>
    </xf>
    <xf numFmtId="164" fontId="1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left" vertical="center" indent="1"/>
    </xf>
    <xf numFmtId="165" fontId="9" fillId="5" borderId="9" applyAlignment="1" pivotButton="0" quotePrefix="0" xfId="0">
      <alignment horizontal="left" vertical="center" indent="1"/>
    </xf>
    <xf numFmtId="164" fontId="18" fillId="2" borderId="0" applyAlignment="1" pivotButton="0" quotePrefix="0" xfId="0">
      <alignment horizontal="left" vertical="center" indent="1"/>
    </xf>
    <xf numFmtId="166" fontId="18" fillId="2" borderId="0" applyAlignment="1" pivotButton="0" quotePrefix="0" xfId="0">
      <alignment horizontal="left" vertical="center" indent="1"/>
    </xf>
    <xf numFmtId="0" fontId="0" fillId="2" borderId="5" pivotButton="0" quotePrefix="0" xfId="0"/>
    <xf numFmtId="0" fontId="18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164" fontId="21" fillId="2" borderId="0" applyAlignment="1" pivotButton="0" quotePrefix="0" xfId="0">
      <alignment horizontal="right" vertical="center" indent="1"/>
    </xf>
    <xf numFmtId="164" fontId="18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2" fillId="2" borderId="0" applyAlignment="1" pivotButton="0" quotePrefix="0" xfId="0">
      <alignment horizontal="right" vertical="center" indent="1"/>
    </xf>
    <xf numFmtId="168" fontId="18" fillId="2" borderId="0" applyAlignment="1" pivotButton="0" quotePrefix="0" xfId="0">
      <alignment horizontal="right" vertical="center" indent="1"/>
    </xf>
    <xf numFmtId="10" fontId="18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5" fontId="3" fillId="2" borderId="2" applyAlignment="1" pivotButton="0" quotePrefix="0" xfId="0">
      <alignment horizontal="center" vertical="center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6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18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18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6" fontId="30" fillId="5" borderId="0" applyAlignment="1" pivotButton="0" quotePrefix="0" xfId="0">
      <alignment horizontal="right" vertical="center" indent="1"/>
    </xf>
    <xf numFmtId="165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5" fontId="4" fillId="2" borderId="0" pivotButton="0" quotePrefix="0" xfId="0"/>
    <xf numFmtId="165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7" fillId="2" borderId="0" pivotButton="0" quotePrefix="0" xfId="0"/>
    <xf numFmtId="0" fontId="23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indent="1"/>
    </xf>
    <xf numFmtId="0" fontId="24" fillId="5" borderId="0" pivotButton="0" quotePrefix="0" xfId="0"/>
    <xf numFmtId="0" fontId="1" fillId="2" borderId="2" pivotButton="0" quotePrefix="0" xfId="0"/>
    <xf numFmtId="170" fontId="24" fillId="5" borderId="12" applyAlignment="1" pivotButton="0" quotePrefix="0" xfId="0">
      <alignment horizontal="left" vertical="center" indent="1"/>
    </xf>
    <xf numFmtId="170" fontId="24" fillId="5" borderId="12" applyAlignment="1" pivotButton="0" quotePrefix="0" xfId="0">
      <alignment horizontal="right" vertical="center" indent="1"/>
    </xf>
    <xf numFmtId="170" fontId="24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18" fillId="5" borderId="11" applyAlignment="1" pivotButton="0" quotePrefix="0" xfId="0">
      <alignment horizontal="left" vertical="center" indent="1"/>
    </xf>
    <xf numFmtId="170" fontId="18" fillId="5" borderId="11" applyAlignment="1" pivotButton="0" quotePrefix="0" xfId="0">
      <alignment horizontal="right" vertical="center" indent="1"/>
    </xf>
    <xf numFmtId="170" fontId="18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6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5" fontId="15" fillId="5" borderId="2" applyAlignment="1" pivotButton="0" quotePrefix="0" xfId="0">
      <alignment horizontal="center" vertical="center"/>
    </xf>
    <xf numFmtId="166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5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ill>
        <patternFill patternType="solid">
          <fgColor rgb="FFF4EDDD"/>
          <bgColor rgb="FFF4EDDD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266" headerRowCount="1">
  <autoFilter ref="B4:T26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P18" headerRowCount="1">
  <autoFilter ref="B15:P1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IFERROR(INDEX(tbLancamentos[Valor],MATCH(tbAtalhos[[#This Row],[Descrição]],tbLancamentos[Descrição],0)),"")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4.5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trabalho. Para mudar uma conta (Pendente → Pago, valor), clique no ✎ da linha; para voltar, 📒 Mês no topo de Lançamentos.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24">
        <f>IF($N7=0,"",HYPERLINK("#Lancamentos!G"&amp;MOD($N7,100000),"✎"))</f>
        <v/>
      </c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24">
        <f>IF($N8=0,"",HYPERLINK("#Lancamentos!G"&amp;MOD($N8,100000),"✎"))</f>
        <v/>
      </c>
      <c r="J8" s="16" t="inlineStr">
        <is>
          <t>Resultado do mês</t>
        </is>
      </c>
      <c r="K8" s="25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24">
        <f>IF($N9=0,"",HYPERLINK("#Lancamentos!G"&amp;MOD($N9,100000),"✎"))</f>
        <v/>
      </c>
      <c r="J9" s="23" t="inlineStr">
        <is>
          <t>% comprometido da renda</t>
        </is>
      </c>
      <c r="K9" s="26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24">
        <f>IF($N10=0,"",HYPERLINK("#Lancamentos!G"&amp;MOD($N10,100000),"✎"))</f>
        <v/>
      </c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24">
        <f>IF($N11=0,"",HYPERLINK("#Lancamentos!G"&amp;MOD($N11,100000),"✎"))</f>
        <v/>
      </c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24">
        <f>IF($N12=0,"",HYPERLINK("#Lancamentos!G"&amp;MOD($N12,100000),"✎"))</f>
        <v/>
      </c>
      <c r="J12" s="16" t="inlineStr">
        <is>
          <t>Saldo livre do mês</t>
        </is>
      </c>
      <c r="K12" s="25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24">
        <f>IF($N13=0,"",HYPERLINK("#Lancamentos!G"&amp;MOD($N13,100000),"✎"))</f>
        <v/>
      </c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24">
        <f>IF($N14=0,"",HYPERLINK("#Lancamentos!G"&amp;MOD($N14,100000),"✎"))</f>
        <v/>
      </c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24">
        <f>IF($N15=0,"",HYPERLINK("#Lancamentos!G"&amp;MOD($N15,100000),"✎"))</f>
        <v/>
      </c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24">
        <f>IF($N16=0,"",HYPERLINK("#Lancamentos!G"&amp;MOD($N16,100000),"✎"))</f>
        <v/>
      </c>
      <c r="J16" s="23" t="inlineStr">
        <is>
          <t>A pagar (previsto, fora do total)</t>
        </is>
      </c>
      <c r="K16" s="27">
        <f>Calc!B42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24">
        <f>IF($N17=0,"",HYPERLINK("#Lancamentos!G"&amp;MOD($N17,100000),"✎"))</f>
        <v/>
      </c>
      <c r="J17" s="23" t="inlineStr">
        <is>
          <t>A receber (previsto)</t>
        </is>
      </c>
      <c r="K17" s="27">
        <f>Calc!B43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19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24">
        <f>IF($N18=0,"",HYPERLINK("#Lancamentos!G"&amp;MOD($N18,100000),"✎"))</f>
        <v/>
      </c>
      <c r="J18" s="4" t="n"/>
      <c r="K18" s="4" t="n"/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22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24">
        <f>IF($N19=0,"",HYPERLINK("#Lancamentos!G"&amp;MOD($N19,100000),"✎"))</f>
        <v/>
      </c>
      <c r="J19" s="12" t="inlineStr">
        <is>
          <t>CONFERÊNCIA DO MÊS</t>
        </is>
      </c>
      <c r="K19" s="13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0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24">
        <f>IF($N20=0,"",HYPERLINK("#Lancamentos!G"&amp;MOD($N20,100000),"✎"))</f>
        <v/>
      </c>
      <c r="J20" s="23" t="inlineStr">
        <is>
          <t>Pendências vencidas</t>
        </is>
      </c>
      <c r="K20" s="28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24">
        <f>IF($N21=0,"",HYPERLINK("#Lancamentos!G"&amp;MOD($N21,100000),"✎"))</f>
        <v/>
      </c>
      <c r="J21" s="23" t="inlineStr">
        <is>
          <t>Sem categoria</t>
        </is>
      </c>
      <c r="K21" s="28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24">
        <f>IF($N22=0,"",HYPERLINK("#Lancamentos!G"&amp;MOD($N22,100000),"✎"))</f>
        <v/>
      </c>
      <c r="J22" s="23" t="inlineStr">
        <is>
          <t>Lançamentos sem data (não entram em mês nenhum)</t>
        </is>
      </c>
      <c r="K22" s="28">
        <f>COUNTIFS(tbLancamentos[Data],"",tbLancamentos[Competência],"",tbLancamentos[Descrição],"&lt;&gt;")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24">
        <f>IF($N23=0,"",HYPERLINK("#Lancamentos!G"&amp;MOD($N23,100000),"✎"))</f>
        <v/>
      </c>
      <c r="J23" s="23" t="inlineStr">
        <is>
          <t>A categorizar (aba Categorizar)</t>
        </is>
      </c>
      <c r="K23" s="28">
        <f>COUNTIFS(tbRevisaoCat[Descrição],"&lt;&gt;",tbRevisaoCat[Categoria certa],"")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24">
        <f>IF($N24=0,"",HYPERLINK("#Lancamentos!G"&amp;MOD($N24,100000),"✎"))</f>
        <v/>
      </c>
      <c r="J24" s="23" t="inlineStr">
        <is>
          <t>Descontar Depois sem nome</t>
        </is>
      </c>
      <c r="K24" s="28">
        <f>COUNTIFS(tbLancamentos[Situação],"Descontar Depois",tbLancamentos[Descontar de],"",tbLancamentos[Mês],MesNum,tbLancamentos[Ano],AnoSelecionado)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24">
        <f>IF($N25=0,"",HYPERLINK("#Lancamentos!G"&amp;MOD($N25,100000),"✎"))</f>
        <v/>
      </c>
      <c r="J25" s="23" t="inlineStr">
        <is>
          <t>Possíveis em dobro</t>
        </is>
      </c>
      <c r="K25" s="28">
        <f>SUM(O7:O115)/2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24">
        <f>IF($N26=0,"",HYPERLINK("#Lancamentos!G"&amp;MOD($N26,100000),"✎"))</f>
        <v/>
      </c>
      <c r="J26" s="23" t="inlineStr">
        <is>
          <t>Gastos vs. mês anterior</t>
        </is>
      </c>
      <c r="K26" s="29">
        <f>Calc!B16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24">
        <f>IF($N27=0,"",HYPERLINK("#Lancamentos!G"&amp;MOD($N27,100000),"✎"))</f>
        <v/>
      </c>
      <c r="J27" s="23" t="inlineStr">
        <is>
          <t>Mês conferido em</t>
        </is>
      </c>
      <c r="K27" s="30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2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24">
        <f>IF($N28=0,"",HYPERLINK("#Lancamentos!G"&amp;MOD($N28,100000),"✎"))</f>
        <v/>
      </c>
      <c r="J28" s="31">
        <f>HYPERLINK("#'Visão do ano'!J"&amp;IFERROR(MATCH(DATE(AnoSelecionado,MesNum,1),'Visão do ano'!$B$6:$B$1000,0)+5,6),"✔  Marcar o mês como conferido ➜")</f>
        <v/>
      </c>
      <c r="K28" s="4" t="n"/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19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24">
        <f>IF($N29=0,"",HYPERLINK("#Lancamentos!G"&amp;MOD($N29,100000),"✎"))</f>
        <v/>
      </c>
      <c r="J29" s="4" t="n"/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22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24">
        <f>IF($N30=0,"",HYPERLINK("#Lancamentos!G"&amp;MOD($N30,100000),"✎"))</f>
        <v/>
      </c>
      <c r="J30" s="12" t="inlineStr">
        <is>
          <t>PRÓXIMOS VENCIMENTOS E ATRASADOS</t>
        </is>
      </c>
      <c r="K30" s="13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0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24">
        <f>IF($N31=0,"",HYPERLINK("#Lancamentos!G"&amp;MOD($N31,100000),"✎"))</f>
        <v/>
      </c>
      <c r="J31" s="19">
        <f>IF(Calc!AX2="","",TEXT(Calc!AW2,"dd/mm")&amp;"   "&amp;Calc!AX2&amp;IF(Calc!AZ2="Atrasada","  (atrasada)",""))</f>
        <v/>
      </c>
      <c r="K31" s="32">
        <f>Calc!AY2</f>
        <v/>
      </c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3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IF(Calc!AX3="","",TEXT(Calc!AW3,"dd/mm")&amp;"   "&amp;Calc!AX3&amp;IF(Calc!AZ3="Atrasada","  (atrasada)",""))</f>
        <v/>
      </c>
      <c r="K32" s="32">
        <f>Calc!AY3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IF(Calc!AX4="","",TEXT(Calc!AW4,"dd/mm")&amp;"   "&amp;Calc!AX4&amp;IF(Calc!AZ4="Atrasada","  (atrasada)",""))</f>
        <v/>
      </c>
      <c r="K33" s="32">
        <f>Calc!AY4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4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IF(Calc!AX5="","",TEXT(Calc!AW5,"dd/mm")&amp;"   "&amp;Calc!AX5&amp;IF(Calc!AZ5="Atrasada","  (atrasada)",""))</f>
        <v/>
      </c>
      <c r="K34" s="32">
        <f>Calc!AY5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IF(Calc!AX6="","",TEXT(Calc!AW6,"dd/mm")&amp;"   "&amp;Calc!AX6&amp;IF(Calc!AZ6="Atrasada","  (atrasada)",""))</f>
        <v/>
      </c>
      <c r="K35" s="32">
        <f>Calc!AY6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24">
        <f>IF($N36=0,"",HYPERLINK("#Lancamentos!G"&amp;MOD($N36,100000),"✎"))</f>
        <v/>
      </c>
      <c r="J36" s="19">
        <f>IF(Calc!AX7="","",TEXT(Calc!AW7,"dd/mm")&amp;"   "&amp;Calc!AX7&amp;IF(Calc!AZ7="Atrasada","  (atrasada)",""))</f>
        <v/>
      </c>
      <c r="K36" s="32">
        <f>Calc!AY7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24">
        <f>IF($N37=0,"",HYPERLINK("#Lancamentos!G"&amp;MOD($N37,100000),"✎"))</f>
        <v/>
      </c>
      <c r="J37" s="19">
        <f>IF(Calc!AX8="","",TEXT(Calc!AW8,"dd/mm")&amp;"   "&amp;Calc!AX8&amp;IF(Calc!AZ8="Atrasada","  (atrasada)",""))</f>
        <v/>
      </c>
      <c r="K37" s="32">
        <f>Calc!AY8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24">
        <f>IF($N38=0,"",HYPERLINK("#Lancamentos!G"&amp;MOD($N38,100000),"✎"))</f>
        <v/>
      </c>
      <c r="J38" s="19">
        <f>IF(Calc!AX9="","",TEXT(Calc!AW9,"dd/mm")&amp;"   "&amp;Calc!AX9&amp;IF(Calc!AZ9="Atrasada","  (atrasada)",""))</f>
        <v/>
      </c>
      <c r="K38" s="32">
        <f>Calc!AY9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19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24">
        <f>IF($N39=0,"",HYPERLINK("#Lancamentos!G"&amp;MOD($N39,100000),"✎"))</f>
        <v/>
      </c>
      <c r="J39" s="4" t="n"/>
      <c r="K39" s="4" t="n"/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22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24">
        <f>IF($N40=0,"",HYPERLINK("#Lancamentos!G"&amp;MOD($N40,100000),"✎"))</f>
        <v/>
      </c>
      <c r="J40" s="12" t="inlineStr">
        <is>
          <t>DESCONTAR DEPOIS NO MÊS (só informação)</t>
        </is>
      </c>
      <c r="K40" s="13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0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24">
        <f>IF($N41=0,"",HYPERLINK("#Lancamentos!G"&amp;MOD($N41,100000),"✎"))</f>
        <v/>
      </c>
      <c r="J41" s="23">
        <f>IFERROR(INDEX(PessoasDescontar,1)&amp;"","")</f>
        <v/>
      </c>
      <c r="K41" s="32">
        <f>IF(J41="","",SUMIFS(tbLancamentos[Valor],tbLancamentos[Situação],"Descontar Depois",tbLancamentos[Descontar de],J41,tbLancamentos[Mês],MesNum,tbLancamentos[Ano],AnoSelecionado))</f>
        <v/>
      </c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24">
        <f>IF($N42=0,"",HYPERLINK("#Lancamentos!G"&amp;MOD($N42,100000),"✎"))</f>
        <v/>
      </c>
      <c r="J42" s="23">
        <f>IFERROR(INDEX(PessoasDescontar,2)&amp;"","")</f>
        <v/>
      </c>
      <c r="K42" s="32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24">
        <f>IF($N43=0,"",HYPERLINK("#Lancamentos!G"&amp;MOD($N43,100000),"✎"))</f>
        <v/>
      </c>
      <c r="J43" s="23" t="inlineStr">
        <is>
          <t>sem nome</t>
        </is>
      </c>
      <c r="K43" s="32">
        <f>SUMIFS(tbLancamentos[Valor],tbLancamentos[Situação],"Descontar Depois",tbLancamentos[Descontar de],"",tbLancamentos[Mês],MesNum,tbLancamentos[Ano],AnoSelecionado)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19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24">
        <f>IF($N44=0,"",HYPERLINK("#Lancamentos!G"&amp;MOD($N44,100000),"✎"))</f>
        <v/>
      </c>
      <c r="J44" s="4" t="n"/>
      <c r="K44" s="4" t="n"/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22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24">
        <f>IF($N45=0,"",HYPERLINK("#Lancamentos!G"&amp;MOD($N45,100000),"✎"))</f>
        <v/>
      </c>
      <c r="J45" s="12" t="inlineStr">
        <is>
          <t>SEMÁFORO</t>
        </is>
      </c>
      <c r="K45" s="13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19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24">
        <f>IF($N46=0,"",HYPERLINK("#Lancamentos!G"&amp;MOD($N46,100000),"✎"))</f>
        <v/>
      </c>
      <c r="J46" s="35" t="inlineStr">
        <is>
          <t>●  Pago / recebido</t>
        </is>
      </c>
      <c r="K46" s="4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24">
        <f>IF($N47=0,"",HYPERLINK("#Lancamentos!G"&amp;MOD($N47,100000),"✎"))</f>
        <v/>
      </c>
      <c r="J47" s="36" t="inlineStr">
        <is>
          <t>●  Pendente — vence em até 3 dias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24">
        <f>IF($N48=0,"",HYPERLINK("#Lancamentos!G"&amp;MOD($N48,100000),"✎"))</f>
        <v/>
      </c>
      <c r="J48" s="37" t="inlineStr">
        <is>
          <t>●  Pendente — vencido (atrasado)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24">
        <f>IF($N49=0,"",HYPERLINK("#Lancamentos!G"&amp;MOD($N49,100000),"✎"))</f>
        <v/>
      </c>
      <c r="J49" s="38" t="inlineStr">
        <is>
          <t>●  Pendente — mais tarde (não soma no total)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24">
        <f>IF($N50=0,"",HYPERLINK("#Lancamentos!G"&amp;MOD($N50,100000),"✎"))</f>
        <v/>
      </c>
      <c r="J50" s="39" t="inlineStr">
        <is>
          <t>●  Descontar Depois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24">
        <f>IF($N51=0,"",HYPERLINK("#Lancamentos!G"&amp;MOD($N51,100000),"✎"))</f>
        <v/>
      </c>
      <c r="J51" s="4" t="n"/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24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24">
        <f>IF($N52=0,"",HYPERLINK("#Lancamentos!G"&amp;MOD($N52,100000),"✎"))</f>
        <v/>
      </c>
      <c r="J52" s="40">
        <f>HYPERLINK("#Lancamentos!B"&amp;IF(COUNTA(Lancamentos!$C$15:$C$54)&lt;40,15+COUNTA(Lancamentos!$C$15:$C$54),ROWS(tbLancamentos[Data])+5),"✚  Novo lançamento")</f>
        <v/>
      </c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19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24">
        <f>IF($N53=0,"",HYPERLINK("#Lancamentos!G"&amp;MOD($N53,100000),"✎"))</f>
        <v/>
      </c>
      <c r="J53" s="4" t="n"/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24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24">
        <f>IF($N54=0,"",HYPERLINK("#Lancamentos!G"&amp;MOD($N54,100000),"✎"))</f>
        <v/>
      </c>
      <c r="J54" s="40">
        <f>HYPERLINK("#Parcelar!A1","⟳  Parcelar")</f>
        <v/>
      </c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19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24">
        <f>IF($N55=0,"",HYPERLINK("#Lancamentos!G"&amp;MOD($N55,100000),"✎"))</f>
        <v/>
      </c>
      <c r="J55" s="4" t="n"/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24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24">
        <f>IF($N56=0,"",HYPERLINK("#Lancamentos!G"&amp;MOD($N56,100000),"✎"))</f>
        <v/>
      </c>
      <c r="J56" s="40">
        <f>HYPERLINK("#Investimentos!A1","◉  Investimentos")</f>
        <v/>
      </c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19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24">
        <f>IF($N57=0,"",HYPERLINK("#Lancamentos!G"&amp;MOD($N57,100000),"✎"))</f>
        <v/>
      </c>
      <c r="J57" s="4" t="n"/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24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24">
        <f>IF($N58=0,"",HYPERLINK("#Lancamentos!G"&amp;MOD($N58,100000),"✎"))</f>
        <v/>
      </c>
      <c r="J58" s="40">
        <f>HYPERLINK("#Planos!A1","◎  Planos 1 e 2")</f>
        <v/>
      </c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19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24">
        <f>IF($N59=0,"",HYPERLINK("#Lancamentos!G"&amp;MOD($N59,100000),"✎"))</f>
        <v/>
      </c>
      <c r="J59" s="4" t="n"/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24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24">
        <f>IF($N60=0,"",HYPERLINK("#Lancamentos!G"&amp;MOD($N60,100000),"✎"))</f>
        <v/>
      </c>
      <c r="J60" s="40">
        <f>HYPERLINK("#'Visão do ano'!A1","▦  Visão do ano")</f>
        <v/>
      </c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19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24">
        <f>IF($N61=0,"",HYPERLINK("#Lancamentos!G"&amp;MOD($N61,100000),"✎"))</f>
        <v/>
      </c>
      <c r="J61" s="4" t="n"/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24">
        <f>IF($N62=0,"",HYPERLINK("#Lancamentos!G"&amp;MOD($N62,100000),"✎"))</f>
        <v/>
      </c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24">
        <f>IF($N63=0,"",HYPERLINK("#Lancamentos!G"&amp;MOD($N63,100000),"✎"))</f>
        <v/>
      </c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24">
        <f>IF($N64=0,"",HYPERLINK("#Lancamentos!G"&amp;MOD($N64,100000),"✎"))</f>
        <v/>
      </c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24">
        <f>IF($N65=0,"",HYPERLINK("#Lancamentos!G"&amp;MOD($N65,100000),"✎"))</f>
        <v/>
      </c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24">
        <f>IF($N66=0,"",HYPERLINK("#Lancamentos!G"&amp;MOD($N66,100000),"✎"))</f>
        <v/>
      </c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24">
        <f>IF($N67=0,"",HYPERLINK("#Lancamentos!G"&amp;MOD($N67,100000),"✎"))</f>
        <v/>
      </c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24">
        <f>IF($N68=0,"",HYPERLINK("#Lancamentos!G"&amp;MOD($N68,100000),"✎"))</f>
        <v/>
      </c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24">
        <f>IF($N69=0,"",HYPERLINK("#Lancamentos!G"&amp;MOD($N69,100000),"✎"))</f>
        <v/>
      </c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24">
        <f>IF($N70=0,"",HYPERLINK("#Lancamentos!G"&amp;MOD($N70,100000),"✎"))</f>
        <v/>
      </c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24">
        <f>IF($N71=0,"",HYPERLINK("#Lancamentos!G"&amp;MOD($N71,100000),"✎"))</f>
        <v/>
      </c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24">
        <f>IF($N72=0,"",HYPERLINK("#Lancamentos!G"&amp;MOD($N72,100000),"✎"))</f>
        <v/>
      </c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24">
        <f>IF($N73=0,"",HYPERLINK("#Lancamentos!G"&amp;MOD($N73,100000),"✎"))</f>
        <v/>
      </c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24">
        <f>IF($N74=0,"",HYPERLINK("#Lancamentos!G"&amp;MOD($N74,100000),"✎"))</f>
        <v/>
      </c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24">
        <f>IF($N75=0,"",HYPERLINK("#Lancamentos!G"&amp;MOD($N75,100000),"✎"))</f>
        <v/>
      </c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24">
        <f>IF($N76=0,"",HYPERLINK("#Lancamentos!G"&amp;MOD($N76,100000),"✎"))</f>
        <v/>
      </c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24">
        <f>IF($N77=0,"",HYPERLINK("#Lancamentos!G"&amp;MOD($N77,100000),"✎"))</f>
        <v/>
      </c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24">
        <f>IF($N78=0,"",HYPERLINK("#Lancamentos!G"&amp;MOD($N78,100000),"✎"))</f>
        <v/>
      </c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24">
        <f>IF($N79=0,"",HYPERLINK("#Lancamentos!G"&amp;MOD($N79,100000),"✎"))</f>
        <v/>
      </c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24">
        <f>IF($N80=0,"",HYPERLINK("#Lancamentos!G"&amp;MOD($N80,100000),"✎"))</f>
        <v/>
      </c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24">
        <f>IF($N81=0,"",HYPERLINK("#Lancamentos!G"&amp;MOD($N81,100000),"✎"))</f>
        <v/>
      </c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24">
        <f>IF($N82=0,"",HYPERLINK("#Lancamentos!G"&amp;MOD($N82,100000),"✎"))</f>
        <v/>
      </c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24">
        <f>IF($N83=0,"",HYPERLINK("#Lancamentos!G"&amp;MOD($N83,100000),"✎"))</f>
        <v/>
      </c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24">
        <f>IF($N84=0,"",HYPERLINK("#Lancamentos!G"&amp;MOD($N84,100000),"✎"))</f>
        <v/>
      </c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24">
        <f>IF($N85=0,"",HYPERLINK("#Lancamentos!G"&amp;MOD($N85,100000),"✎"))</f>
        <v/>
      </c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24">
        <f>IF($N86=0,"",HYPERLINK("#Lancamentos!G"&amp;MOD($N86,100000),"✎"))</f>
        <v/>
      </c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24">
        <f>IF($N87=0,"",HYPERLINK("#Lancamentos!G"&amp;MOD($N87,100000),"✎"))</f>
        <v/>
      </c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24">
        <f>IF($N88=0,"",HYPERLINK("#Lancamentos!G"&amp;MOD($N88,100000),"✎"))</f>
        <v/>
      </c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24">
        <f>IF($N89=0,"",HYPERLINK("#Lancamentos!G"&amp;MOD($N89,100000),"✎"))</f>
        <v/>
      </c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24">
        <f>IF($N90=0,"",HYPERLINK("#Lancamentos!G"&amp;MOD($N90,100000),"✎"))</f>
        <v/>
      </c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24">
        <f>IF($N91=0,"",HYPERLINK("#Lancamentos!G"&amp;MOD($N91,100000),"✎"))</f>
        <v/>
      </c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24">
        <f>IF($N92=0,"",HYPERLINK("#Lancamentos!G"&amp;MOD($N92,100000),"✎"))</f>
        <v/>
      </c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24">
        <f>IF($N93=0,"",HYPERLINK("#Lancamentos!G"&amp;MOD($N93,100000),"✎"))</f>
        <v/>
      </c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24">
        <f>IF($N94=0,"",HYPERLINK("#Lancamentos!G"&amp;MOD($N94,100000),"✎"))</f>
        <v/>
      </c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24">
        <f>IF($N95=0,"",HYPERLINK("#Lancamentos!G"&amp;MOD($N95,100000),"✎"))</f>
        <v/>
      </c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24">
        <f>IF($N96=0,"",HYPERLINK("#Lancamentos!G"&amp;MOD($N96,100000),"✎"))</f>
        <v/>
      </c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24">
        <f>IF($N97=0,"",HYPERLINK("#Lancamentos!G"&amp;MOD($N97,100000),"✎"))</f>
        <v/>
      </c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24">
        <f>IF($N98=0,"",HYPERLINK("#Lancamentos!G"&amp;MOD($N98,100000),"✎"))</f>
        <v/>
      </c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24">
        <f>IF($N99=0,"",HYPERLINK("#Lancamentos!G"&amp;MOD($N99,100000),"✎"))</f>
        <v/>
      </c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24">
        <f>IF($N100=0,"",HYPERLINK("#Lancamentos!G"&amp;MOD($N100,100000),"✎"))</f>
        <v/>
      </c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24">
        <f>IF($N101=0,"",HYPERLINK("#Lancamentos!G"&amp;MOD($N101,100000),"✎"))</f>
        <v/>
      </c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24">
        <f>IF($N102=0,"",HYPERLINK("#Lancamentos!G"&amp;MOD($N102,100000),"✎"))</f>
        <v/>
      </c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24">
        <f>IF($N103=0,"",HYPERLINK("#Lancamentos!G"&amp;MOD($N103,100000),"✎"))</f>
        <v/>
      </c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24">
        <f>IF($N104=0,"",HYPERLINK("#Lancamentos!G"&amp;MOD($N104,100000),"✎"))</f>
        <v/>
      </c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24">
        <f>IF($N105=0,"",HYPERLINK("#Lancamentos!G"&amp;MOD($N105,100000),"✎"))</f>
        <v/>
      </c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24">
        <f>IF($N106=0,"",HYPERLINK("#Lancamentos!G"&amp;MOD($N106,100000),"✎"))</f>
        <v/>
      </c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24">
        <f>IF($N107=0,"",HYPERLINK("#Lancamentos!G"&amp;MOD($N107,100000),"✎"))</f>
        <v/>
      </c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24">
        <f>IF($N108=0,"",HYPERLINK("#Lancamentos!G"&amp;MOD($N108,100000),"✎"))</f>
        <v/>
      </c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24">
        <f>IF($N109=0,"",HYPERLINK("#Lancamentos!G"&amp;MOD($N109,100000),"✎"))</f>
        <v/>
      </c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24">
        <f>IF($N110=0,"",HYPERLINK("#Lancamentos!G"&amp;MOD($N110,100000),"✎"))</f>
        <v/>
      </c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24">
        <f>IF($N111=0,"",HYPERLINK("#Lancamentos!G"&amp;MOD($N111,100000),"✎"))</f>
        <v/>
      </c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24">
        <f>IF($N112=0,"",HYPERLINK("#Lancamentos!G"&amp;MOD($N112,100000),"✎"))</f>
        <v/>
      </c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24">
        <f>IF($N113=0,"",HYPERLINK("#Lancamentos!G"&amp;MOD($N113,100000),"✎"))</f>
        <v/>
      </c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24">
        <f>IF($N114=0,"",HYPERLINK("#Lancamentos!G"&amp;MOD($N114,100000),"✎"))</f>
        <v/>
      </c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24">
        <f>IF($N115=0,"",HYPERLINK("#Lancamentos!G"&amp;MOD($N115,100000),"✎"))</f>
        <v/>
      </c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3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2">
    <mergeCell ref="J50:K50"/>
    <mergeCell ref="J46:K46"/>
    <mergeCell ref="J2:K2"/>
    <mergeCell ref="J54:K54"/>
    <mergeCell ref="J60:K60"/>
    <mergeCell ref="J49:K49"/>
    <mergeCell ref="J28:K28"/>
    <mergeCell ref="J58:K58"/>
    <mergeCell ref="J52:K52"/>
    <mergeCell ref="J47:K47"/>
    <mergeCell ref="J48:K48"/>
    <mergeCell ref="J56:K56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0">
    <cfRule type="expression" priority="19" dxfId="7">
      <formula>K20&gt;0</formula>
    </cfRule>
  </conditionalFormatting>
  <conditionalFormatting sqref="K21">
    <cfRule type="expression" priority="20" dxfId="7">
      <formula>K21&gt;0</formula>
    </cfRule>
  </conditionalFormatting>
  <conditionalFormatting sqref="K25">
    <cfRule type="expression" priority="21" dxfId="7">
      <formula>K25&gt;0</formula>
    </cfRule>
  </conditionalFormatting>
  <conditionalFormatting sqref="K22">
    <cfRule type="expression" priority="22" dxfId="7">
      <formula>K22&gt;0</formula>
    </cfRule>
  </conditionalFormatting>
  <conditionalFormatting sqref="K23">
    <cfRule type="expression" priority="23" dxfId="7">
      <formula>K23&gt;0</formula>
    </cfRule>
  </conditionalFormatting>
  <conditionalFormatting sqref="K24">
    <cfRule type="expression" priority="24" dxfId="7">
      <formula>K24&gt;0</formula>
    </cfRule>
  </conditionalFormatting>
  <conditionalFormatting sqref="K27">
    <cfRule type="expression" priority="25" dxfId="6">
      <formula>K27="ainda não"</formula>
    </cfRule>
  </conditionalFormatting>
  <conditionalFormatting sqref="J31:K38">
    <cfRule type="expression" priority="26" dxfId="7">
      <formula>ISNUMBER(SEARCH("atrasada",$J31))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1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2" t="n"/>
      <c r="C6" s="43" t="n"/>
      <c r="D6" s="42" t="n"/>
      <c r="E6" s="4" t="n"/>
      <c r="F6" s="4" t="n"/>
    </row>
    <row r="7">
      <c r="A7" s="4" t="n"/>
      <c r="B7" s="44" t="n"/>
      <c r="C7" s="44" t="n"/>
      <c r="D7" s="44" t="n"/>
      <c r="E7" s="4" t="n"/>
      <c r="F7" s="4" t="n"/>
    </row>
    <row r="8">
      <c r="A8" s="4" t="n"/>
      <c r="B8" s="44" t="n"/>
      <c r="C8" s="44" t="n"/>
      <c r="D8" s="44" t="n"/>
      <c r="E8" s="4" t="n"/>
      <c r="F8" s="4" t="n"/>
    </row>
    <row r="9">
      <c r="A9" s="4" t="n"/>
      <c r="B9" s="44" t="n"/>
      <c r="C9" s="44" t="n"/>
      <c r="D9" s="44" t="n"/>
      <c r="E9" s="4" t="n"/>
      <c r="F9" s="4" t="n"/>
    </row>
    <row r="10">
      <c r="A10" s="4" t="n"/>
      <c r="B10" s="44" t="n"/>
      <c r="C10" s="44" t="n"/>
      <c r="D10" s="44" t="n"/>
      <c r="E10" s="4" t="n"/>
      <c r="F10" s="4" t="n"/>
    </row>
    <row r="11">
      <c r="A11" s="4" t="n"/>
      <c r="B11" s="44" t="n"/>
      <c r="C11" s="44" t="n"/>
      <c r="D11" s="44" t="n"/>
      <c r="E11" s="4" t="n"/>
      <c r="F11" s="4" t="n"/>
    </row>
    <row r="12">
      <c r="A12" s="4" t="n"/>
      <c r="B12" s="44" t="n"/>
      <c r="C12" s="44" t="n"/>
      <c r="D12" s="44" t="n"/>
      <c r="E12" s="4" t="n"/>
      <c r="F12" s="4" t="n"/>
    </row>
    <row r="13">
      <c r="A13" s="4" t="n"/>
      <c r="B13" s="44" t="n"/>
      <c r="C13" s="44" t="n"/>
      <c r="D13" s="44" t="n"/>
      <c r="E13" s="4" t="n"/>
      <c r="F13" s="4" t="n"/>
    </row>
    <row r="14">
      <c r="A14" s="4" t="n"/>
      <c r="B14" s="44" t="n"/>
      <c r="C14" s="44" t="n"/>
      <c r="D14" s="44" t="n"/>
      <c r="E14" s="4" t="n"/>
      <c r="F14" s="4" t="n"/>
    </row>
    <row r="15">
      <c r="A15" s="4" t="n"/>
      <c r="B15" s="44" t="n"/>
      <c r="C15" s="44" t="n"/>
      <c r="D15" s="44" t="n"/>
      <c r="E15" s="4" t="n"/>
      <c r="F15" s="4" t="n"/>
    </row>
    <row r="16">
      <c r="A16" s="4" t="n"/>
      <c r="B16" s="44" t="n"/>
      <c r="C16" s="44" t="n"/>
      <c r="D16" s="44" t="n"/>
      <c r="E16" s="4" t="n"/>
      <c r="F16" s="4" t="n"/>
    </row>
    <row r="17">
      <c r="A17" s="4" t="n"/>
      <c r="B17" s="44" t="n"/>
      <c r="C17" s="44" t="n"/>
      <c r="D17" s="44" t="n"/>
      <c r="E17" s="4" t="n"/>
      <c r="F17" s="4" t="n"/>
    </row>
    <row r="18">
      <c r="A18" s="4" t="n"/>
      <c r="B18" s="44" t="n"/>
      <c r="C18" s="44" t="n"/>
      <c r="D18" s="44" t="n"/>
      <c r="E18" s="4" t="n"/>
      <c r="F18" s="4" t="n"/>
    </row>
    <row r="19">
      <c r="A19" s="4" t="n"/>
      <c r="B19" s="44" t="n"/>
      <c r="C19" s="44" t="n"/>
      <c r="D19" s="44" t="n"/>
      <c r="E19" s="4" t="n"/>
      <c r="F19" s="4" t="n"/>
    </row>
    <row r="20">
      <c r="A20" s="4" t="n"/>
      <c r="B20" s="44" t="n"/>
      <c r="C20" s="44" t="n"/>
      <c r="D20" s="44" t="n"/>
      <c r="E20" s="4" t="n"/>
      <c r="F20" s="4" t="n"/>
    </row>
    <row r="21">
      <c r="A21" s="4" t="n"/>
      <c r="B21" s="44" t="n"/>
      <c r="C21" s="44" t="n"/>
      <c r="D21" s="44" t="n"/>
      <c r="E21" s="4" t="n"/>
      <c r="F21" s="4" t="n"/>
    </row>
    <row r="22">
      <c r="A22" s="4" t="n"/>
      <c r="B22" s="44" t="n"/>
      <c r="C22" s="44" t="n"/>
      <c r="D22" s="44" t="n"/>
      <c r="E22" s="4" t="n"/>
      <c r="F22" s="4" t="n"/>
    </row>
    <row r="23">
      <c r="A23" s="4" t="n"/>
      <c r="B23" s="44" t="n"/>
      <c r="C23" s="44" t="n"/>
      <c r="D23" s="44" t="n"/>
      <c r="E23" s="4" t="n"/>
      <c r="F23" s="4" t="n"/>
    </row>
    <row r="24">
      <c r="A24" s="4" t="n"/>
      <c r="B24" s="44" t="n"/>
      <c r="C24" s="44" t="n"/>
      <c r="D24" s="44" t="n"/>
      <c r="E24" s="4" t="n"/>
      <c r="F24" s="4" t="n"/>
    </row>
    <row r="25">
      <c r="A25" s="4" t="n"/>
      <c r="B25" s="44" t="n"/>
      <c r="C25" s="44" t="n"/>
      <c r="D25" s="44" t="n"/>
      <c r="E25" s="4" t="n"/>
      <c r="F25" s="4" t="n"/>
    </row>
    <row r="26">
      <c r="A26" s="4" t="n"/>
      <c r="B26" s="44" t="n"/>
      <c r="C26" s="44" t="n"/>
      <c r="D26" s="44" t="n"/>
      <c r="E26" s="4" t="n"/>
      <c r="F26" s="4" t="n"/>
    </row>
    <row r="27">
      <c r="A27" s="4" t="n"/>
      <c r="B27" s="44" t="n"/>
      <c r="C27" s="44" t="n"/>
      <c r="D27" s="44" t="n"/>
      <c r="E27" s="4" t="n"/>
      <c r="F27" s="4" t="n"/>
    </row>
    <row r="28">
      <c r="A28" s="4" t="n"/>
      <c r="B28" s="44" t="n"/>
      <c r="C28" s="44" t="n"/>
      <c r="D28" s="44" t="n"/>
      <c r="E28" s="4" t="n"/>
      <c r="F28" s="4" t="n"/>
    </row>
    <row r="29">
      <c r="A29" s="4" t="n"/>
      <c r="B29" s="44" t="n"/>
      <c r="C29" s="44" t="n"/>
      <c r="D29" s="44" t="n"/>
      <c r="E29" s="4" t="n"/>
      <c r="F29" s="4" t="n"/>
    </row>
    <row r="30">
      <c r="A30" s="4" t="n"/>
      <c r="B30" s="44" t="n"/>
      <c r="C30" s="44" t="n"/>
      <c r="D30" s="44" t="n"/>
      <c r="E30" s="4" t="n"/>
      <c r="F30" s="4" t="n"/>
    </row>
    <row r="31">
      <c r="A31" s="4" t="n"/>
      <c r="B31" s="44" t="n"/>
      <c r="C31" s="44" t="n"/>
      <c r="D31" s="44" t="n"/>
      <c r="E31" s="4" t="n"/>
      <c r="F31" s="4" t="n"/>
    </row>
    <row r="32">
      <c r="A32" s="4" t="n"/>
      <c r="B32" s="44" t="n"/>
      <c r="C32" s="44" t="n"/>
      <c r="D32" s="44" t="n"/>
      <c r="E32" s="4" t="n"/>
      <c r="F32" s="4" t="n"/>
    </row>
    <row r="33">
      <c r="A33" s="4" t="n"/>
      <c r="B33" s="44" t="n"/>
      <c r="C33" s="44" t="n"/>
      <c r="D33" s="44" t="n"/>
      <c r="E33" s="4" t="n"/>
      <c r="F33" s="4" t="n"/>
    </row>
    <row r="34">
      <c r="A34" s="4" t="n"/>
      <c r="B34" s="44" t="n"/>
      <c r="C34" s="44" t="n"/>
      <c r="D34" s="44" t="n"/>
      <c r="E34" s="4" t="n"/>
      <c r="F34" s="4" t="n"/>
    </row>
    <row r="35">
      <c r="A35" s="4" t="n"/>
      <c r="B35" s="44" t="n"/>
      <c r="C35" s="44" t="n"/>
      <c r="D35" s="44" t="n"/>
      <c r="E35" s="4" t="n"/>
      <c r="F35" s="4" t="n"/>
    </row>
    <row r="36">
      <c r="A36" s="4" t="n"/>
      <c r="B36" s="44" t="n"/>
      <c r="C36" s="44" t="n"/>
      <c r="D36" s="44" t="n"/>
      <c r="E36" s="4" t="n"/>
      <c r="F36" s="4" t="n"/>
    </row>
    <row r="37">
      <c r="A37" s="4" t="n"/>
      <c r="B37" s="44" t="n"/>
      <c r="C37" s="44" t="n"/>
      <c r="D37" s="44" t="n"/>
      <c r="E37" s="4" t="n"/>
      <c r="F37" s="4" t="n"/>
    </row>
    <row r="38">
      <c r="A38" s="4" t="n"/>
      <c r="B38" s="44" t="n"/>
      <c r="C38" s="44" t="n"/>
      <c r="D38" s="44" t="n"/>
      <c r="E38" s="4" t="n"/>
      <c r="F38" s="4" t="n"/>
    </row>
    <row r="39">
      <c r="A39" s="4" t="n"/>
      <c r="B39" s="44" t="n"/>
      <c r="C39" s="44" t="n"/>
      <c r="D39" s="44" t="n"/>
      <c r="E39" s="4" t="n"/>
      <c r="F39" s="4" t="n"/>
    </row>
    <row r="40">
      <c r="A40" s="4" t="n"/>
      <c r="B40" s="44" t="n"/>
      <c r="C40" s="44" t="n"/>
      <c r="D40" s="44" t="n"/>
      <c r="E40" s="4" t="n"/>
      <c r="F40" s="4" t="n"/>
    </row>
    <row r="41">
      <c r="A41" s="4" t="n"/>
      <c r="B41" s="44" t="n"/>
      <c r="C41" s="44" t="n"/>
      <c r="D41" s="44" t="n"/>
      <c r="E41" s="4" t="n"/>
      <c r="F41" s="4" t="n"/>
    </row>
    <row r="42">
      <c r="A42" s="4" t="n"/>
      <c r="B42" s="44" t="n"/>
      <c r="C42" s="44" t="n"/>
      <c r="D42" s="44" t="n"/>
      <c r="E42" s="4" t="n"/>
      <c r="F42" s="4" t="n"/>
    </row>
    <row r="43">
      <c r="A43" s="4" t="n"/>
      <c r="B43" s="44" t="n"/>
      <c r="C43" s="44" t="n"/>
      <c r="D43" s="44" t="n"/>
      <c r="E43" s="4" t="n"/>
      <c r="F43" s="4" t="n"/>
    </row>
    <row r="44">
      <c r="A44" s="4" t="n"/>
      <c r="B44" s="44" t="n"/>
      <c r="C44" s="44" t="n"/>
      <c r="D44" s="44" t="n"/>
      <c r="E44" s="4" t="n"/>
      <c r="F44" s="4" t="n"/>
    </row>
    <row r="45">
      <c r="A45" s="4" t="n"/>
      <c r="B45" s="44" t="n"/>
      <c r="C45" s="44" t="n"/>
      <c r="D45" s="44" t="n"/>
      <c r="E45" s="4" t="n"/>
      <c r="F45" s="4" t="n"/>
    </row>
    <row r="46">
      <c r="A46" s="4" t="n"/>
      <c r="B46" s="44" t="n"/>
      <c r="C46" s="44" t="n"/>
      <c r="D46" s="44" t="n"/>
      <c r="E46" s="4" t="n"/>
      <c r="F46" s="4" t="n"/>
    </row>
    <row r="47">
      <c r="A47" s="4" t="n"/>
      <c r="B47" s="44" t="n"/>
      <c r="C47" s="44" t="n"/>
      <c r="D47" s="44" t="n"/>
      <c r="E47" s="4" t="n"/>
      <c r="F47" s="4" t="n"/>
    </row>
    <row r="48">
      <c r="A48" s="4" t="n"/>
      <c r="B48" s="44" t="n"/>
      <c r="C48" s="44" t="n"/>
      <c r="D48" s="44" t="n"/>
      <c r="E48" s="4" t="n"/>
      <c r="F48" s="4" t="n"/>
    </row>
    <row r="49">
      <c r="A49" s="4" t="n"/>
      <c r="B49" s="44" t="n"/>
      <c r="C49" s="44" t="n"/>
      <c r="D49" s="44" t="n"/>
      <c r="E49" s="4" t="n"/>
      <c r="F49" s="4" t="n"/>
    </row>
    <row r="50">
      <c r="A50" s="4" t="n"/>
      <c r="B50" s="44" t="n"/>
      <c r="C50" s="44" t="n"/>
      <c r="D50" s="44" t="n"/>
      <c r="E50" s="4" t="n"/>
      <c r="F50" s="4" t="n"/>
    </row>
    <row r="51">
      <c r="A51" s="4" t="n"/>
      <c r="B51" s="44" t="n"/>
      <c r="C51" s="44" t="n"/>
      <c r="D51" s="44" t="n"/>
      <c r="E51" s="4" t="n"/>
      <c r="F51" s="4" t="n"/>
    </row>
    <row r="52">
      <c r="A52" s="4" t="n"/>
      <c r="B52" s="44" t="n"/>
      <c r="C52" s="44" t="n"/>
      <c r="D52" s="44" t="n"/>
      <c r="E52" s="4" t="n"/>
      <c r="F52" s="4" t="n"/>
    </row>
    <row r="53">
      <c r="A53" s="4" t="n"/>
      <c r="B53" s="44" t="n"/>
      <c r="C53" s="44" t="n"/>
      <c r="D53" s="44" t="n"/>
      <c r="E53" s="4" t="n"/>
      <c r="F53" s="4" t="n"/>
    </row>
    <row r="54">
      <c r="A54" s="4" t="n"/>
      <c r="B54" s="44" t="n"/>
      <c r="C54" s="44" t="n"/>
      <c r="D54" s="44" t="n"/>
      <c r="E54" s="4" t="n"/>
      <c r="F54" s="4" t="n"/>
    </row>
    <row r="55">
      <c r="A55" s="4" t="n"/>
      <c r="B55" s="44" t="n"/>
      <c r="C55" s="44" t="n"/>
      <c r="D55" s="44" t="n"/>
      <c r="E55" s="4" t="n"/>
      <c r="F55" s="4" t="n"/>
    </row>
    <row r="56">
      <c r="A56" s="4" t="n"/>
      <c r="B56" s="44" t="n"/>
      <c r="C56" s="44" t="n"/>
      <c r="D56" s="44" t="n"/>
      <c r="E56" s="4" t="n"/>
      <c r="F56" s="4" t="n"/>
    </row>
    <row r="57">
      <c r="A57" s="4" t="n"/>
      <c r="B57" s="44" t="n"/>
      <c r="C57" s="44" t="n"/>
      <c r="D57" s="44" t="n"/>
      <c r="E57" s="4" t="n"/>
      <c r="F57" s="4" t="n"/>
    </row>
    <row r="58">
      <c r="A58" s="4" t="n"/>
      <c r="B58" s="44" t="n"/>
      <c r="C58" s="44" t="n"/>
      <c r="D58" s="44" t="n"/>
      <c r="E58" s="4" t="n"/>
      <c r="F58" s="4" t="n"/>
    </row>
    <row r="59">
      <c r="A59" s="4" t="n"/>
      <c r="B59" s="44" t="n"/>
      <c r="C59" s="44" t="n"/>
      <c r="D59" s="44" t="n"/>
      <c r="E59" s="4" t="n"/>
      <c r="F59" s="4" t="n"/>
    </row>
    <row r="60">
      <c r="A60" s="4" t="n"/>
      <c r="B60" s="44" t="n"/>
      <c r="C60" s="44" t="n"/>
      <c r="D60" s="44" t="n"/>
      <c r="E60" s="4" t="n"/>
      <c r="F60" s="4" t="n"/>
    </row>
    <row r="61">
      <c r="A61" s="4" t="n"/>
      <c r="B61" s="44" t="n"/>
      <c r="C61" s="44" t="n"/>
      <c r="D61" s="44" t="n"/>
      <c r="E61" s="4" t="n"/>
      <c r="F61" s="4" t="n"/>
    </row>
    <row r="62">
      <c r="A62" s="4" t="n"/>
      <c r="B62" s="44" t="n"/>
      <c r="C62" s="44" t="n"/>
      <c r="D62" s="44" t="n"/>
      <c r="E62" s="4" t="n"/>
      <c r="F62" s="4" t="n"/>
    </row>
    <row r="63">
      <c r="A63" s="4" t="n"/>
      <c r="B63" s="44" t="n"/>
      <c r="C63" s="44" t="n"/>
      <c r="D63" s="44" t="n"/>
      <c r="E63" s="4" t="n"/>
      <c r="F63" s="4" t="n"/>
    </row>
    <row r="64">
      <c r="A64" s="4" t="n"/>
      <c r="B64" s="44" t="n"/>
      <c r="C64" s="44" t="n"/>
      <c r="D64" s="44" t="n"/>
      <c r="E64" s="4" t="n"/>
      <c r="F64" s="4" t="n"/>
    </row>
    <row r="65">
      <c r="A65" s="4" t="n"/>
      <c r="B65" s="44" t="n"/>
      <c r="C65" s="44" t="n"/>
      <c r="D65" s="44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26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1" t="inlineStr">
        <is>
          <t>Lançamentos</t>
        </is>
      </c>
      <c r="C2" s="1" t="n"/>
      <c r="D2" s="40">
        <f>HYPERLINK("#Lancamentos!B"&amp;IF(COUNTA(Lancamentos!$C$15:$C$54)&lt;40,15+COUNTA(Lancamentos!$C$15:$C$54),ROWS(tbLancamentos[Data])+5),"✚  Lançar algo novo")</f>
        <v/>
      </c>
      <c r="E2" s="4" t="n"/>
      <c r="F2" s="4" t="n"/>
      <c r="G2" s="1" t="n"/>
      <c r="H2" s="45">
        <f>HYPERLINK("#'Mês'!A1","📒  Mês")</f>
        <v/>
      </c>
      <c r="I2" s="4" t="n"/>
      <c r="J2" s="45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6" t="inlineStr">
        <is>
          <t>Valor</t>
        </is>
      </c>
      <c r="F4" s="14" t="inlineStr">
        <is>
          <t>Vencimento</t>
        </is>
      </c>
      <c r="G4" s="46" t="inlineStr">
        <is>
          <t>Situação</t>
        </is>
      </c>
      <c r="H4" s="46" t="inlineStr">
        <is>
          <t>Tipo</t>
        </is>
      </c>
      <c r="I4" s="46" t="inlineStr">
        <is>
          <t>Categoria</t>
        </is>
      </c>
      <c r="J4" s="46" t="inlineStr">
        <is>
          <t>Pote</t>
        </is>
      </c>
      <c r="K4" s="46" t="inlineStr">
        <is>
          <t>Quem</t>
        </is>
      </c>
      <c r="L4" s="14" t="inlineStr">
        <is>
          <t>Descontar de</t>
        </is>
      </c>
      <c r="M4" s="46" t="inlineStr">
        <is>
          <t>Conta</t>
        </is>
      </c>
      <c r="N4" s="46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7" t="n">
        <v>46298</v>
      </c>
      <c r="C5" s="19" t="inlineStr">
        <is>
          <t>Plano de saúde familiar</t>
        </is>
      </c>
      <c r="D5" s="20" t="n"/>
      <c r="E5" s="21" t="n">
        <v>890</v>
      </c>
      <c r="F5" s="47" t="n">
        <v>46298</v>
      </c>
      <c r="G5" s="19" t="inlineStr">
        <is>
          <t>Pendente</t>
        </is>
      </c>
      <c r="H5" s="19" t="inlineStr">
        <is>
          <t>Despesa</t>
        </is>
      </c>
      <c r="I5" s="19" t="inlineStr">
        <is>
          <t>Saúde</t>
        </is>
      </c>
      <c r="J5" s="19" t="inlineStr">
        <is>
          <t>Essenciais</t>
        </is>
      </c>
      <c r="K5" s="19" t="n"/>
      <c r="L5" s="19" t="n"/>
      <c r="M5" s="19" t="inlineStr">
        <is>
          <t>Conta corrente Itaú</t>
        </is>
      </c>
      <c r="N5" s="19" t="inlineStr">
        <is>
          <t>Débito automático</t>
        </is>
      </c>
      <c r="O5" s="48" t="n"/>
      <c r="P5" s="19" t="n"/>
      <c r="Q5" s="49" t="inlineStr">
        <is>
          <t>prevista (conta fixa)</t>
        </is>
      </c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7" t="n">
        <v>46300</v>
      </c>
      <c r="C6" s="19" t="inlineStr">
        <is>
          <t>Salário — cônjuge</t>
        </is>
      </c>
      <c r="D6" s="20" t="n"/>
      <c r="E6" s="21" t="n">
        <v>5200</v>
      </c>
      <c r="F6" s="47" t="n">
        <v>46300</v>
      </c>
      <c r="G6" s="19" t="inlineStr">
        <is>
          <t>Pendente</t>
        </is>
      </c>
      <c r="H6" s="19" t="inlineStr">
        <is>
          <t>Receita</t>
        </is>
      </c>
      <c r="I6" s="19" t="inlineStr">
        <is>
          <t>Salário</t>
        </is>
      </c>
      <c r="J6" s="19" t="n"/>
      <c r="K6" s="19" t="n"/>
      <c r="L6" s="19" t="n"/>
      <c r="M6" s="19" t="inlineStr">
        <is>
          <t>Conta Nubank</t>
        </is>
      </c>
      <c r="N6" s="19" t="inlineStr">
        <is>
          <t>Transferência</t>
        </is>
      </c>
      <c r="O6" s="48" t="n"/>
      <c r="P6" s="19" t="n"/>
      <c r="Q6" s="49" t="inlineStr">
        <is>
          <t>prevista (conta fixa)</t>
        </is>
      </c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7" t="n">
        <v>46300</v>
      </c>
      <c r="C7" s="19" t="inlineStr">
        <is>
          <t>Salário — titular</t>
        </is>
      </c>
      <c r="D7" s="20" t="n"/>
      <c r="E7" s="21" t="n">
        <v>7800</v>
      </c>
      <c r="F7" s="47" t="n">
        <v>46300</v>
      </c>
      <c r="G7" s="19" t="inlineStr">
        <is>
          <t>Pendente</t>
        </is>
      </c>
      <c r="H7" s="19" t="inlineStr">
        <is>
          <t>Receita</t>
        </is>
      </c>
      <c r="I7" s="19" t="inlineStr">
        <is>
          <t>Salário</t>
        </is>
      </c>
      <c r="J7" s="19" t="n"/>
      <c r="K7" s="19" t="n"/>
      <c r="L7" s="19" t="n"/>
      <c r="M7" s="19" t="inlineStr">
        <is>
          <t>Conta corrente Itaú</t>
        </is>
      </c>
      <c r="N7" s="19" t="inlineStr">
        <is>
          <t>Transferência</t>
        </is>
      </c>
      <c r="O7" s="48" t="n"/>
      <c r="P7" s="19" t="n"/>
      <c r="Q7" s="49" t="inlineStr">
        <is>
          <t>prevista (conta fixa)</t>
        </is>
      </c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7" t="n">
        <v>46302</v>
      </c>
      <c r="C8" s="19" t="inlineStr">
        <is>
          <t>Mercado do mês</t>
        </is>
      </c>
      <c r="D8" s="20" t="n"/>
      <c r="E8" s="21" t="n">
        <v>934.1799999999999</v>
      </c>
      <c r="F8" s="47" t="n">
        <v>46302</v>
      </c>
      <c r="G8" s="19" t="inlineStr">
        <is>
          <t>Pendente</t>
        </is>
      </c>
      <c r="H8" s="19" t="inlineStr">
        <is>
          <t>Despesa</t>
        </is>
      </c>
      <c r="I8" s="19" t="inlineStr">
        <is>
          <t>Alimentação</t>
        </is>
      </c>
      <c r="J8" s="19" t="inlineStr">
        <is>
          <t>Essenciais</t>
        </is>
      </c>
      <c r="K8" s="19" t="n"/>
      <c r="L8" s="19" t="n"/>
      <c r="M8" s="19" t="inlineStr">
        <is>
          <t>Cartão Nubank</t>
        </is>
      </c>
      <c r="N8" s="19" t="inlineStr">
        <is>
          <t>Cartão de crédito</t>
        </is>
      </c>
      <c r="O8" s="48" t="n"/>
      <c r="P8" s="19" t="n"/>
      <c r="Q8" s="49" t="inlineStr">
        <is>
          <t>prevista (conta fixa)</t>
        </is>
      </c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7" t="n">
        <v>46303</v>
      </c>
      <c r="C9" s="19" t="inlineStr">
        <is>
          <t>Mensalidade escolar</t>
        </is>
      </c>
      <c r="D9" s="20" t="n"/>
      <c r="E9" s="21" t="n">
        <v>1450</v>
      </c>
      <c r="F9" s="47" t="n">
        <v>46303</v>
      </c>
      <c r="G9" s="19" t="inlineStr">
        <is>
          <t>Pendente</t>
        </is>
      </c>
      <c r="H9" s="19" t="inlineStr">
        <is>
          <t>Despesa</t>
        </is>
      </c>
      <c r="I9" s="19" t="inlineStr">
        <is>
          <t>Educação</t>
        </is>
      </c>
      <c r="J9" s="19" t="inlineStr">
        <is>
          <t>Essenciais</t>
        </is>
      </c>
      <c r="K9" s="19" t="n"/>
      <c r="L9" s="19" t="n"/>
      <c r="M9" s="19" t="inlineStr">
        <is>
          <t>Conta corrente Itaú</t>
        </is>
      </c>
      <c r="N9" s="19" t="inlineStr">
        <is>
          <t>Boleto</t>
        </is>
      </c>
      <c r="O9" s="48" t="n"/>
      <c r="P9" s="19" t="n"/>
      <c r="Q9" s="49" t="inlineStr">
        <is>
          <t>prevista (conta fixa)</t>
        </is>
      </c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7" t="n">
        <v>46305</v>
      </c>
      <c r="C10" s="19" t="inlineStr">
        <is>
          <t>Aluguel do apartamento</t>
        </is>
      </c>
      <c r="D10" s="20" t="n"/>
      <c r="E10" s="21" t="n">
        <v>2350</v>
      </c>
      <c r="F10" s="47" t="n">
        <v>46305</v>
      </c>
      <c r="G10" s="19" t="inlineStr">
        <is>
          <t>Pendente</t>
        </is>
      </c>
      <c r="H10" s="19" t="inlineStr">
        <is>
          <t>Despesa</t>
        </is>
      </c>
      <c r="I10" s="19" t="inlineStr">
        <is>
          <t>Moradia</t>
        </is>
      </c>
      <c r="J10" s="19" t="inlineStr">
        <is>
          <t>Essenciais</t>
        </is>
      </c>
      <c r="K10" s="19" t="n"/>
      <c r="L10" s="19" t="n"/>
      <c r="M10" s="19" t="inlineStr">
        <is>
          <t>Conta corrente Itaú</t>
        </is>
      </c>
      <c r="N10" s="19" t="inlineStr">
        <is>
          <t>Boleto</t>
        </is>
      </c>
      <c r="O10" s="48" t="n"/>
      <c r="P10" s="19" t="n"/>
      <c r="Q10" s="49" t="inlineStr">
        <is>
          <t>prevista (conta fixa)</t>
        </is>
      </c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7" t="n">
        <v>46305</v>
      </c>
      <c r="C11" s="19" t="inlineStr">
        <is>
          <t>Conta de energia</t>
        </is>
      </c>
      <c r="D11" s="20" t="n"/>
      <c r="E11" s="21" t="n">
        <v>347.1</v>
      </c>
      <c r="F11" s="47" t="n">
        <v>46305</v>
      </c>
      <c r="G11" s="19" t="inlineStr">
        <is>
          <t>Pendente</t>
        </is>
      </c>
      <c r="H11" s="19" t="inlineStr">
        <is>
          <t>Despesa</t>
        </is>
      </c>
      <c r="I11" s="19" t="inlineStr">
        <is>
          <t>Contas da casa</t>
        </is>
      </c>
      <c r="J11" s="19" t="inlineStr">
        <is>
          <t>Essenciais</t>
        </is>
      </c>
      <c r="K11" s="19" t="n"/>
      <c r="L11" s="19" t="n"/>
      <c r="M11" s="19" t="inlineStr">
        <is>
          <t>Conta corrente Itaú</t>
        </is>
      </c>
      <c r="N11" s="19" t="inlineStr">
        <is>
          <t>Débito automático</t>
        </is>
      </c>
      <c r="O11" s="48" t="n"/>
      <c r="P11" s="19" t="n"/>
      <c r="Q11" s="49" t="inlineStr">
        <is>
          <t>prevista (conta fixa)</t>
        </is>
      </c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7" t="n">
        <v>46307</v>
      </c>
      <c r="C12" s="19" t="inlineStr">
        <is>
          <t>Streaming + academia</t>
        </is>
      </c>
      <c r="D12" s="20" t="n"/>
      <c r="E12" s="21" t="n">
        <v>174.8</v>
      </c>
      <c r="F12" s="47" t="n">
        <v>46307</v>
      </c>
      <c r="G12" s="19" t="inlineStr">
        <is>
          <t>Pendente</t>
        </is>
      </c>
      <c r="H12" s="19" t="inlineStr">
        <is>
          <t>Despesa</t>
        </is>
      </c>
      <c r="I12" s="19" t="inlineStr">
        <is>
          <t>Assinaturas</t>
        </is>
      </c>
      <c r="J12" s="19" t="inlineStr">
        <is>
          <t>Essenciais</t>
        </is>
      </c>
      <c r="K12" s="19" t="n"/>
      <c r="L12" s="19" t="n"/>
      <c r="M12" s="19" t="inlineStr">
        <is>
          <t>Cartão Nubank</t>
        </is>
      </c>
      <c r="N12" s="19" t="inlineStr">
        <is>
          <t>Cartão de crédito</t>
        </is>
      </c>
      <c r="O12" s="48" t="n"/>
      <c r="P12" s="19" t="n"/>
      <c r="Q12" s="49" t="inlineStr">
        <is>
          <t>prevista (conta fixa)</t>
        </is>
      </c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7" t="n">
        <v>46310</v>
      </c>
      <c r="C13" s="19" t="inlineStr">
        <is>
          <t>Combustível</t>
        </is>
      </c>
      <c r="D13" s="20" t="n"/>
      <c r="E13" s="21" t="n">
        <v>362.8</v>
      </c>
      <c r="F13" s="47" t="n">
        <v>46310</v>
      </c>
      <c r="G13" s="19" t="inlineStr">
        <is>
          <t>Pendente</t>
        </is>
      </c>
      <c r="H13" s="19" t="inlineStr">
        <is>
          <t>Despesa</t>
        </is>
      </c>
      <c r="I13" s="19" t="inlineStr">
        <is>
          <t>Transporte</t>
        </is>
      </c>
      <c r="J13" s="19" t="inlineStr">
        <is>
          <t>Essenciais</t>
        </is>
      </c>
      <c r="K13" s="19" t="n"/>
      <c r="L13" s="19" t="n"/>
      <c r="M13" s="19" t="inlineStr">
        <is>
          <t>Cartão Itaú</t>
        </is>
      </c>
      <c r="N13" s="19" t="inlineStr">
        <is>
          <t>Cartão de crédito</t>
        </is>
      </c>
      <c r="O13" s="48" t="n"/>
      <c r="P13" s="19" t="n"/>
      <c r="Q13" s="49" t="inlineStr">
        <is>
          <t>prevista (conta fixa)</t>
        </is>
      </c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7" t="n">
        <v>46322</v>
      </c>
      <c r="C14" s="19" t="inlineStr">
        <is>
          <t>Cinema / passeio</t>
        </is>
      </c>
      <c r="D14" s="20" t="n"/>
      <c r="E14" s="21" t="n">
        <v>188</v>
      </c>
      <c r="F14" s="47" t="n">
        <v>46322</v>
      </c>
      <c r="G14" s="19" t="inlineStr">
        <is>
          <t>Pendente</t>
        </is>
      </c>
      <c r="H14" s="19" t="inlineStr">
        <is>
          <t>Despesa</t>
        </is>
      </c>
      <c r="I14" s="19" t="inlineStr">
        <is>
          <t>Lazer</t>
        </is>
      </c>
      <c r="J14" s="19" t="inlineStr">
        <is>
          <t>Lazer</t>
        </is>
      </c>
      <c r="K14" s="19" t="n"/>
      <c r="L14" s="19" t="n"/>
      <c r="M14" s="19" t="inlineStr">
        <is>
          <t>Conta Nubank</t>
        </is>
      </c>
      <c r="N14" s="19" t="inlineStr">
        <is>
          <t>PIX</t>
        </is>
      </c>
      <c r="O14" s="48" t="n"/>
      <c r="P14" s="19" t="n"/>
      <c r="Q14" s="49" t="inlineStr">
        <is>
          <t>prevista (conta fixa)</t>
        </is>
      </c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7" t="n"/>
      <c r="C15" s="19" t="n"/>
      <c r="D15" s="20" t="n"/>
      <c r="E15" s="21">
        <f>IF(tbLancamentos[[#This Row],[Descrição]]="","",IFERROR(1/(1/INDEX(tbAtalhos[Valor padrão],MATCH(tbLancamentos[[#This Row],[Descrição]],tbAtalhos[Descrição],0))),""))</f>
        <v/>
      </c>
      <c r="F15" s="47" t="n"/>
      <c r="G15" s="19">
        <f>IF(tbLancamentos[[#This Row],[Descrição]]="","",IF(tbLancamentos[[#This Row],[Tipo]]="Receita","Recebido","Pago"))</f>
        <v/>
      </c>
      <c r="H15" s="19">
        <f>IF(tbLancamentos[[#This Row],[Descrição]]="","",IFERROR(INDEX(tbAtalhos[Tipo],MATCH(tbLancamentos[[#This Row],[Descrição]],tbAtalhos[Descrição],0))&amp;"","Despesa"))</f>
        <v/>
      </c>
      <c r="I15" s="19">
        <f>IF(tbLancamentos[[#This Row],[Descrição]]="","",IFERROR(INDEX(tbAtalhos[Categoria],MATCH(tbLancamentos[[#This Row],[Descrição]],tbAtalhos[Descrição],0))&amp;"",""))</f>
        <v/>
      </c>
      <c r="J1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5" s="19" t="n"/>
      <c r="M15" s="19">
        <f>IF(tbLancamentos[[#This Row],[Descrição]]="","",IFERROR(INDEX(tbAtalhos[Conta],MATCH(tbLancamentos[[#This Row],[Descrição]],tbAtalhos[Descrição],0))&amp;"",""))</f>
        <v/>
      </c>
      <c r="N15" s="19">
        <f>IF(tbLancamentos[[#This Row],[Descrição]]="","",IFERROR(INDEX(tbAtalhos[Forma de pagamento],MATCH(tbLancamentos[[#This Row],[Descrição]],tbAtalhos[Descrição],0))&amp;"",""))</f>
        <v/>
      </c>
      <c r="O15" s="48" t="n"/>
      <c r="P15" s="19" t="n"/>
      <c r="Q15" s="19" t="n"/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7" t="n"/>
      <c r="C16" s="19" t="n"/>
      <c r="D16" s="20" t="n"/>
      <c r="E16" s="21">
        <f>IF(tbLancamentos[[#This Row],[Descrição]]="","",IFERROR(1/(1/INDEX(tbAtalhos[Valor padrão],MATCH(tbLancamentos[[#This Row],[Descrição]],tbAtalhos[Descrição],0))),""))</f>
        <v/>
      </c>
      <c r="F16" s="47" t="n"/>
      <c r="G16" s="19">
        <f>IF(tbLancamentos[[#This Row],[Descrição]]="","",IF(tbLancamentos[[#This Row],[Tipo]]="Receita","Recebido","Pago"))</f>
        <v/>
      </c>
      <c r="H16" s="19">
        <f>IF(tbLancamentos[[#This Row],[Descrição]]="","",IFERROR(INDEX(tbAtalhos[Tipo],MATCH(tbLancamentos[[#This Row],[Descrição]],tbAtalhos[Descrição],0))&amp;"","Despesa"))</f>
        <v/>
      </c>
      <c r="I16" s="19">
        <f>IF(tbLancamentos[[#This Row],[Descrição]]="","",IFERROR(INDEX(tbAtalhos[Categoria],MATCH(tbLancamentos[[#This Row],[Descrição]],tbAtalhos[Descrição],0))&amp;"",""))</f>
        <v/>
      </c>
      <c r="J1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6" s="19" t="n"/>
      <c r="M16" s="19">
        <f>IF(tbLancamentos[[#This Row],[Descrição]]="","",IFERROR(INDEX(tbAtalhos[Conta],MATCH(tbLancamentos[[#This Row],[Descrição]],tbAtalhos[Descrição],0))&amp;"",""))</f>
        <v/>
      </c>
      <c r="N16" s="19">
        <f>IF(tbLancamentos[[#This Row],[Descrição]]="","",IFERROR(INDEX(tbAtalhos[Forma de pagamento],MATCH(tbLancamentos[[#This Row],[Descrição]],tbAtalhos[Descrição],0))&amp;"",""))</f>
        <v/>
      </c>
      <c r="O16" s="48" t="n"/>
      <c r="P16" s="19" t="n"/>
      <c r="Q16" s="19" t="n"/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7" t="n"/>
      <c r="C17" s="19" t="n"/>
      <c r="D17" s="20" t="n"/>
      <c r="E17" s="21">
        <f>IF(tbLancamentos[[#This Row],[Descrição]]="","",IFERROR(1/(1/INDEX(tbAtalhos[Valor padrão],MATCH(tbLancamentos[[#This Row],[Descrição]],tbAtalhos[Descrição],0))),""))</f>
        <v/>
      </c>
      <c r="F17" s="47" t="n"/>
      <c r="G17" s="19">
        <f>IF(tbLancamentos[[#This Row],[Descrição]]="","",IF(tbLancamentos[[#This Row],[Tipo]]="Receita","Recebido","Pago"))</f>
        <v/>
      </c>
      <c r="H17" s="19">
        <f>IF(tbLancamentos[[#This Row],[Descrição]]="","",IFERROR(INDEX(tbAtalhos[Tipo],MATCH(tbLancamentos[[#This Row],[Descrição]],tbAtalhos[Descrição],0))&amp;"","Despesa"))</f>
        <v/>
      </c>
      <c r="I17" s="19">
        <f>IF(tbLancamentos[[#This Row],[Descrição]]="","",IFERROR(INDEX(tbAtalhos[Categoria],MATCH(tbLancamentos[[#This Row],[Descrição]],tbAtalhos[Descrição],0))&amp;"",""))</f>
        <v/>
      </c>
      <c r="J1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7" s="19" t="n"/>
      <c r="M17" s="19">
        <f>IF(tbLancamentos[[#This Row],[Descrição]]="","",IFERROR(INDEX(tbAtalhos[Conta],MATCH(tbLancamentos[[#This Row],[Descrição]],tbAtalhos[Descrição],0))&amp;"",""))</f>
        <v/>
      </c>
      <c r="N17" s="19">
        <f>IF(tbLancamentos[[#This Row],[Descrição]]="","",IFERROR(INDEX(tbAtalhos[Forma de pagamento],MATCH(tbLancamentos[[#This Row],[Descrição]],tbAtalhos[Descrição],0))&amp;"",""))</f>
        <v/>
      </c>
      <c r="O17" s="48" t="n"/>
      <c r="P17" s="19" t="n"/>
      <c r="Q17" s="19" t="n"/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7" t="n"/>
      <c r="C18" s="19" t="n"/>
      <c r="D18" s="20" t="n"/>
      <c r="E18" s="21">
        <f>IF(tbLancamentos[[#This Row],[Descrição]]="","",IFERROR(1/(1/INDEX(tbAtalhos[Valor padrão],MATCH(tbLancamentos[[#This Row],[Descrição]],tbAtalhos[Descrição],0))),""))</f>
        <v/>
      </c>
      <c r="F18" s="47" t="n"/>
      <c r="G18" s="19">
        <f>IF(tbLancamentos[[#This Row],[Descrição]]="","",IF(tbLancamentos[[#This Row],[Tipo]]="Receita","Recebido","Pago"))</f>
        <v/>
      </c>
      <c r="H18" s="19">
        <f>IF(tbLancamentos[[#This Row],[Descrição]]="","",IFERROR(INDEX(tbAtalhos[Tipo],MATCH(tbLancamentos[[#This Row],[Descrição]],tbAtalhos[Descrição],0))&amp;"","Despesa"))</f>
        <v/>
      </c>
      <c r="I18" s="19">
        <f>IF(tbLancamentos[[#This Row],[Descrição]]="","",IFERROR(INDEX(tbAtalhos[Categoria],MATCH(tbLancamentos[[#This Row],[Descrição]],tbAtalhos[Descrição],0))&amp;"",""))</f>
        <v/>
      </c>
      <c r="J1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8" s="19" t="n"/>
      <c r="M18" s="19">
        <f>IF(tbLancamentos[[#This Row],[Descrição]]="","",IFERROR(INDEX(tbAtalhos[Conta],MATCH(tbLancamentos[[#This Row],[Descrição]],tbAtalhos[Descrição],0))&amp;"",""))</f>
        <v/>
      </c>
      <c r="N18" s="19">
        <f>IF(tbLancamentos[[#This Row],[Descrição]]="","",IFERROR(INDEX(tbAtalhos[Forma de pagamento],MATCH(tbLancamentos[[#This Row],[Descrição]],tbAtalhos[Descrição],0))&amp;"",""))</f>
        <v/>
      </c>
      <c r="O18" s="48" t="n"/>
      <c r="P18" s="19" t="n"/>
      <c r="Q18" s="19" t="n"/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7" t="n"/>
      <c r="C19" s="19" t="n"/>
      <c r="D19" s="20" t="n"/>
      <c r="E19" s="21">
        <f>IF(tbLancamentos[[#This Row],[Descrição]]="","",IFERROR(1/(1/INDEX(tbAtalhos[Valor padrão],MATCH(tbLancamentos[[#This Row],[Descrição]],tbAtalhos[Descrição],0))),""))</f>
        <v/>
      </c>
      <c r="F19" s="47" t="n"/>
      <c r="G19" s="19">
        <f>IF(tbLancamentos[[#This Row],[Descrição]]="","",IF(tbLancamentos[[#This Row],[Tipo]]="Receita","Recebido","Pago"))</f>
        <v/>
      </c>
      <c r="H19" s="19">
        <f>IF(tbLancamentos[[#This Row],[Descrição]]="","",IFERROR(INDEX(tbAtalhos[Tipo],MATCH(tbLancamentos[[#This Row],[Descrição]],tbAtalhos[Descrição],0))&amp;"","Despesa"))</f>
        <v/>
      </c>
      <c r="I19" s="19">
        <f>IF(tbLancamentos[[#This Row],[Descrição]]="","",IFERROR(INDEX(tbAtalhos[Categoria],MATCH(tbLancamentos[[#This Row],[Descrição]],tbAtalhos[Descrição],0))&amp;"",""))</f>
        <v/>
      </c>
      <c r="J1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9" s="19" t="n"/>
      <c r="M19" s="19">
        <f>IF(tbLancamentos[[#This Row],[Descrição]]="","",IFERROR(INDEX(tbAtalhos[Conta],MATCH(tbLancamentos[[#This Row],[Descrição]],tbAtalhos[Descrição],0))&amp;"",""))</f>
        <v/>
      </c>
      <c r="N19" s="19">
        <f>IF(tbLancamentos[[#This Row],[Descrição]]="","",IFERROR(INDEX(tbAtalhos[Forma de pagamento],MATCH(tbLancamentos[[#This Row],[Descrição]],tbAtalhos[Descrição],0))&amp;"",""))</f>
        <v/>
      </c>
      <c r="O19" s="48" t="n"/>
      <c r="P19" s="19" t="n"/>
      <c r="Q19" s="19" t="n"/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7" t="n"/>
      <c r="C20" s="19" t="n"/>
      <c r="D20" s="20" t="n"/>
      <c r="E20" s="21">
        <f>IF(tbLancamentos[[#This Row],[Descrição]]="","",IFERROR(1/(1/INDEX(tbAtalhos[Valor padrão],MATCH(tbLancamentos[[#This Row],[Descrição]],tbAtalhos[Descrição],0))),""))</f>
        <v/>
      </c>
      <c r="F20" s="47" t="n"/>
      <c r="G20" s="19">
        <f>IF(tbLancamentos[[#This Row],[Descrição]]="","",IF(tbLancamentos[[#This Row],[Tipo]]="Receita","Recebido","Pago"))</f>
        <v/>
      </c>
      <c r="H20" s="19">
        <f>IF(tbLancamentos[[#This Row],[Descrição]]="","",IFERROR(INDEX(tbAtalhos[Tipo],MATCH(tbLancamentos[[#This Row],[Descrição]],tbAtalhos[Descrição],0))&amp;"","Despesa"))</f>
        <v/>
      </c>
      <c r="I20" s="19">
        <f>IF(tbLancamentos[[#This Row],[Descrição]]="","",IFERROR(INDEX(tbAtalhos[Categoria],MATCH(tbLancamentos[[#This Row],[Descrição]],tbAtalhos[Descrição],0))&amp;"",""))</f>
        <v/>
      </c>
      <c r="J2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0" s="19" t="n"/>
      <c r="M20" s="19">
        <f>IF(tbLancamentos[[#This Row],[Descrição]]="","",IFERROR(INDEX(tbAtalhos[Conta],MATCH(tbLancamentos[[#This Row],[Descrição]],tbAtalhos[Descrição],0))&amp;"",""))</f>
        <v/>
      </c>
      <c r="N20" s="19">
        <f>IF(tbLancamentos[[#This Row],[Descrição]]="","",IFERROR(INDEX(tbAtalhos[Forma de pagamento],MATCH(tbLancamentos[[#This Row],[Descrição]],tbAtalhos[Descrição],0))&amp;"",""))</f>
        <v/>
      </c>
      <c r="O20" s="48" t="n"/>
      <c r="P20" s="19" t="n"/>
      <c r="Q20" s="19" t="n"/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7" t="n"/>
      <c r="C21" s="19" t="n"/>
      <c r="D21" s="20" t="n"/>
      <c r="E21" s="21">
        <f>IF(tbLancamentos[[#This Row],[Descrição]]="","",IFERROR(1/(1/INDEX(tbAtalhos[Valor padrão],MATCH(tbLancamentos[[#This Row],[Descrição]],tbAtalhos[Descrição],0))),""))</f>
        <v/>
      </c>
      <c r="F21" s="47" t="n"/>
      <c r="G21" s="19">
        <f>IF(tbLancamentos[[#This Row],[Descrição]]="","",IF(tbLancamentos[[#This Row],[Tipo]]="Receita","Recebido","Pago"))</f>
        <v/>
      </c>
      <c r="H21" s="19">
        <f>IF(tbLancamentos[[#This Row],[Descrição]]="","",IFERROR(INDEX(tbAtalhos[Tipo],MATCH(tbLancamentos[[#This Row],[Descrição]],tbAtalhos[Descrição],0))&amp;"","Despesa"))</f>
        <v/>
      </c>
      <c r="I21" s="19">
        <f>IF(tbLancamentos[[#This Row],[Descrição]]="","",IFERROR(INDEX(tbAtalhos[Categoria],MATCH(tbLancamentos[[#This Row],[Descrição]],tbAtalhos[Descrição],0))&amp;"",""))</f>
        <v/>
      </c>
      <c r="J2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1" s="19" t="n"/>
      <c r="M21" s="19">
        <f>IF(tbLancamentos[[#This Row],[Descrição]]="","",IFERROR(INDEX(tbAtalhos[Conta],MATCH(tbLancamentos[[#This Row],[Descrição]],tbAtalhos[Descrição],0))&amp;"",""))</f>
        <v/>
      </c>
      <c r="N21" s="19">
        <f>IF(tbLancamentos[[#This Row],[Descrição]]="","",IFERROR(INDEX(tbAtalhos[Forma de pagamento],MATCH(tbLancamentos[[#This Row],[Descrição]],tbAtalhos[Descrição],0))&amp;"",""))</f>
        <v/>
      </c>
      <c r="O21" s="48" t="n"/>
      <c r="P21" s="19" t="n"/>
      <c r="Q21" s="19" t="n"/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7" t="n"/>
      <c r="C22" s="19" t="n"/>
      <c r="D22" s="20" t="n"/>
      <c r="E22" s="21">
        <f>IF(tbLancamentos[[#This Row],[Descrição]]="","",IFERROR(1/(1/INDEX(tbAtalhos[Valor padrão],MATCH(tbLancamentos[[#This Row],[Descrição]],tbAtalhos[Descrição],0))),""))</f>
        <v/>
      </c>
      <c r="F22" s="47" t="n"/>
      <c r="G22" s="19">
        <f>IF(tbLancamentos[[#This Row],[Descrição]]="","",IF(tbLancamentos[[#This Row],[Tipo]]="Receita","Recebido","Pago"))</f>
        <v/>
      </c>
      <c r="H22" s="19">
        <f>IF(tbLancamentos[[#This Row],[Descrição]]="","",IFERROR(INDEX(tbAtalhos[Tipo],MATCH(tbLancamentos[[#This Row],[Descrição]],tbAtalhos[Descrição],0))&amp;"","Despesa"))</f>
        <v/>
      </c>
      <c r="I22" s="19">
        <f>IF(tbLancamentos[[#This Row],[Descrição]]="","",IFERROR(INDEX(tbAtalhos[Categoria],MATCH(tbLancamentos[[#This Row],[Descrição]],tbAtalhos[Descrição],0))&amp;"",""))</f>
        <v/>
      </c>
      <c r="J2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2" s="19" t="n"/>
      <c r="M22" s="19">
        <f>IF(tbLancamentos[[#This Row],[Descrição]]="","",IFERROR(INDEX(tbAtalhos[Conta],MATCH(tbLancamentos[[#This Row],[Descrição]],tbAtalhos[Descrição],0))&amp;"",""))</f>
        <v/>
      </c>
      <c r="N22" s="19">
        <f>IF(tbLancamentos[[#This Row],[Descrição]]="","",IFERROR(INDEX(tbAtalhos[Forma de pagamento],MATCH(tbLancamentos[[#This Row],[Descrição]],tbAtalhos[Descrição],0))&amp;"",""))</f>
        <v/>
      </c>
      <c r="O22" s="48" t="n"/>
      <c r="P22" s="19" t="n"/>
      <c r="Q22" s="19" t="n"/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7" t="n"/>
      <c r="C23" s="19" t="n"/>
      <c r="D23" s="20" t="n"/>
      <c r="E23" s="21">
        <f>IF(tbLancamentos[[#This Row],[Descrição]]="","",IFERROR(1/(1/INDEX(tbAtalhos[Valor padrão],MATCH(tbLancamentos[[#This Row],[Descrição]],tbAtalhos[Descrição],0))),""))</f>
        <v/>
      </c>
      <c r="F23" s="47" t="n"/>
      <c r="G23" s="19">
        <f>IF(tbLancamentos[[#This Row],[Descrição]]="","",IF(tbLancamentos[[#This Row],[Tipo]]="Receita","Recebido","Pago"))</f>
        <v/>
      </c>
      <c r="H23" s="19">
        <f>IF(tbLancamentos[[#This Row],[Descrição]]="","",IFERROR(INDEX(tbAtalhos[Tipo],MATCH(tbLancamentos[[#This Row],[Descrição]],tbAtalhos[Descrição],0))&amp;"","Despesa"))</f>
        <v/>
      </c>
      <c r="I23" s="19">
        <f>IF(tbLancamentos[[#This Row],[Descrição]]="","",IFERROR(INDEX(tbAtalhos[Categoria],MATCH(tbLancamentos[[#This Row],[Descrição]],tbAtalhos[Descrição],0))&amp;"",""))</f>
        <v/>
      </c>
      <c r="J2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3" s="19" t="n"/>
      <c r="M23" s="19">
        <f>IF(tbLancamentos[[#This Row],[Descrição]]="","",IFERROR(INDEX(tbAtalhos[Conta],MATCH(tbLancamentos[[#This Row],[Descrição]],tbAtalhos[Descrição],0))&amp;"",""))</f>
        <v/>
      </c>
      <c r="N23" s="19">
        <f>IF(tbLancamentos[[#This Row],[Descrição]]="","",IFERROR(INDEX(tbAtalhos[Forma de pagamento],MATCH(tbLancamentos[[#This Row],[Descrição]],tbAtalhos[Descrição],0))&amp;"",""))</f>
        <v/>
      </c>
      <c r="O23" s="48" t="n"/>
      <c r="P23" s="19" t="n"/>
      <c r="Q23" s="19" t="n"/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7" t="n"/>
      <c r="C24" s="19" t="n"/>
      <c r="D24" s="20" t="n"/>
      <c r="E24" s="21">
        <f>IF(tbLancamentos[[#This Row],[Descrição]]="","",IFERROR(1/(1/INDEX(tbAtalhos[Valor padrão],MATCH(tbLancamentos[[#This Row],[Descrição]],tbAtalhos[Descrição],0))),""))</f>
        <v/>
      </c>
      <c r="F24" s="47" t="n"/>
      <c r="G24" s="19">
        <f>IF(tbLancamentos[[#This Row],[Descrição]]="","",IF(tbLancamentos[[#This Row],[Tipo]]="Receita","Recebido","Pago"))</f>
        <v/>
      </c>
      <c r="H24" s="19">
        <f>IF(tbLancamentos[[#This Row],[Descrição]]="","",IFERROR(INDEX(tbAtalhos[Tipo],MATCH(tbLancamentos[[#This Row],[Descrição]],tbAtalhos[Descrição],0))&amp;"","Despesa"))</f>
        <v/>
      </c>
      <c r="I24" s="19">
        <f>IF(tbLancamentos[[#This Row],[Descrição]]="","",IFERROR(INDEX(tbAtalhos[Categoria],MATCH(tbLancamentos[[#This Row],[Descrição]],tbAtalhos[Descrição],0))&amp;"",""))</f>
        <v/>
      </c>
      <c r="J2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4" s="19" t="n"/>
      <c r="M24" s="19">
        <f>IF(tbLancamentos[[#This Row],[Descrição]]="","",IFERROR(INDEX(tbAtalhos[Conta],MATCH(tbLancamentos[[#This Row],[Descrição]],tbAtalhos[Descrição],0))&amp;"",""))</f>
        <v/>
      </c>
      <c r="N24" s="19">
        <f>IF(tbLancamentos[[#This Row],[Descrição]]="","",IFERROR(INDEX(tbAtalhos[Forma de pagamento],MATCH(tbLancamentos[[#This Row],[Descrição]],tbAtalhos[Descrição],0))&amp;"",""))</f>
        <v/>
      </c>
      <c r="O24" s="48" t="n"/>
      <c r="P24" s="19" t="n"/>
      <c r="Q24" s="19" t="n"/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7" t="n"/>
      <c r="C25" s="19" t="n"/>
      <c r="D25" s="20" t="n"/>
      <c r="E25" s="21">
        <f>IF(tbLancamentos[[#This Row],[Descrição]]="","",IFERROR(1/(1/INDEX(tbAtalhos[Valor padrão],MATCH(tbLancamentos[[#This Row],[Descrição]],tbAtalhos[Descrição],0))),""))</f>
        <v/>
      </c>
      <c r="F25" s="47" t="n"/>
      <c r="G25" s="19">
        <f>IF(tbLancamentos[[#This Row],[Descrição]]="","",IF(tbLancamentos[[#This Row],[Tipo]]="Receita","Recebido","Pago"))</f>
        <v/>
      </c>
      <c r="H25" s="19">
        <f>IF(tbLancamentos[[#This Row],[Descrição]]="","",IFERROR(INDEX(tbAtalhos[Tipo],MATCH(tbLancamentos[[#This Row],[Descrição]],tbAtalhos[Descrição],0))&amp;"","Despesa"))</f>
        <v/>
      </c>
      <c r="I25" s="19">
        <f>IF(tbLancamentos[[#This Row],[Descrição]]="","",IFERROR(INDEX(tbAtalhos[Categoria],MATCH(tbLancamentos[[#This Row],[Descrição]],tbAtalhos[Descrição],0))&amp;"",""))</f>
        <v/>
      </c>
      <c r="J2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5" s="19" t="n"/>
      <c r="M25" s="19">
        <f>IF(tbLancamentos[[#This Row],[Descrição]]="","",IFERROR(INDEX(tbAtalhos[Conta],MATCH(tbLancamentos[[#This Row],[Descrição]],tbAtalhos[Descrição],0))&amp;"",""))</f>
        <v/>
      </c>
      <c r="N25" s="19">
        <f>IF(tbLancamentos[[#This Row],[Descrição]]="","",IFERROR(INDEX(tbAtalhos[Forma de pagamento],MATCH(tbLancamentos[[#This Row],[Descrição]],tbAtalhos[Descrição],0))&amp;"",""))</f>
        <v/>
      </c>
      <c r="O25" s="48" t="n"/>
      <c r="P25" s="19" t="n"/>
      <c r="Q25" s="19" t="n"/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7" t="n"/>
      <c r="C26" s="19" t="n"/>
      <c r="D26" s="20" t="n"/>
      <c r="E26" s="21">
        <f>IF(tbLancamentos[[#This Row],[Descrição]]="","",IFERROR(1/(1/INDEX(tbAtalhos[Valor padrão],MATCH(tbLancamentos[[#This Row],[Descrição]],tbAtalhos[Descrição],0))),""))</f>
        <v/>
      </c>
      <c r="F26" s="47" t="n"/>
      <c r="G26" s="19">
        <f>IF(tbLancamentos[[#This Row],[Descrição]]="","",IF(tbLancamentos[[#This Row],[Tipo]]="Receita","Recebido","Pago"))</f>
        <v/>
      </c>
      <c r="H26" s="19">
        <f>IF(tbLancamentos[[#This Row],[Descrição]]="","",IFERROR(INDEX(tbAtalhos[Tipo],MATCH(tbLancamentos[[#This Row],[Descrição]],tbAtalhos[Descrição],0))&amp;"","Despesa"))</f>
        <v/>
      </c>
      <c r="I26" s="19">
        <f>IF(tbLancamentos[[#This Row],[Descrição]]="","",IFERROR(INDEX(tbAtalhos[Categoria],MATCH(tbLancamentos[[#This Row],[Descrição]],tbAtalhos[Descrição],0))&amp;"",""))</f>
        <v/>
      </c>
      <c r="J2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6" s="19" t="n"/>
      <c r="M26" s="19">
        <f>IF(tbLancamentos[[#This Row],[Descrição]]="","",IFERROR(INDEX(tbAtalhos[Conta],MATCH(tbLancamentos[[#This Row],[Descrição]],tbAtalhos[Descrição],0))&amp;"",""))</f>
        <v/>
      </c>
      <c r="N26" s="19">
        <f>IF(tbLancamentos[[#This Row],[Descrição]]="","",IFERROR(INDEX(tbAtalhos[Forma de pagamento],MATCH(tbLancamentos[[#This Row],[Descrição]],tbAtalhos[Descrição],0))&amp;"",""))</f>
        <v/>
      </c>
      <c r="O26" s="48" t="n"/>
      <c r="P26" s="19" t="n"/>
      <c r="Q26" s="19" t="n"/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7" t="n"/>
      <c r="C27" s="19" t="n"/>
      <c r="D27" s="20" t="n"/>
      <c r="E27" s="21">
        <f>IF(tbLancamentos[[#This Row],[Descrição]]="","",IFERROR(1/(1/INDEX(tbAtalhos[Valor padrão],MATCH(tbLancamentos[[#This Row],[Descrição]],tbAtalhos[Descrição],0))),""))</f>
        <v/>
      </c>
      <c r="F27" s="47" t="n"/>
      <c r="G27" s="19">
        <f>IF(tbLancamentos[[#This Row],[Descrição]]="","",IF(tbLancamentos[[#This Row],[Tipo]]="Receita","Recebido","Pago"))</f>
        <v/>
      </c>
      <c r="H27" s="19">
        <f>IF(tbLancamentos[[#This Row],[Descrição]]="","",IFERROR(INDEX(tbAtalhos[Tipo],MATCH(tbLancamentos[[#This Row],[Descrição]],tbAtalhos[Descrição],0))&amp;"","Despesa"))</f>
        <v/>
      </c>
      <c r="I27" s="19">
        <f>IF(tbLancamentos[[#This Row],[Descrição]]="","",IFERROR(INDEX(tbAtalhos[Categoria],MATCH(tbLancamentos[[#This Row],[Descrição]],tbAtalhos[Descrição],0))&amp;"",""))</f>
        <v/>
      </c>
      <c r="J2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7" s="19" t="n"/>
      <c r="M27" s="19">
        <f>IF(tbLancamentos[[#This Row],[Descrição]]="","",IFERROR(INDEX(tbAtalhos[Conta],MATCH(tbLancamentos[[#This Row],[Descrição]],tbAtalhos[Descrição],0))&amp;"",""))</f>
        <v/>
      </c>
      <c r="N27" s="19">
        <f>IF(tbLancamentos[[#This Row],[Descrição]]="","",IFERROR(INDEX(tbAtalhos[Forma de pagamento],MATCH(tbLancamentos[[#This Row],[Descrição]],tbAtalhos[Descrição],0))&amp;"",""))</f>
        <v/>
      </c>
      <c r="O27" s="48" t="n"/>
      <c r="P27" s="19" t="n"/>
      <c r="Q27" s="19" t="n"/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7" t="n"/>
      <c r="C28" s="19" t="n"/>
      <c r="D28" s="20" t="n"/>
      <c r="E28" s="21">
        <f>IF(tbLancamentos[[#This Row],[Descrição]]="","",IFERROR(1/(1/INDEX(tbAtalhos[Valor padrão],MATCH(tbLancamentos[[#This Row],[Descrição]],tbAtalhos[Descrição],0))),""))</f>
        <v/>
      </c>
      <c r="F28" s="47" t="n"/>
      <c r="G28" s="19">
        <f>IF(tbLancamentos[[#This Row],[Descrição]]="","",IF(tbLancamentos[[#This Row],[Tipo]]="Receita","Recebido","Pago"))</f>
        <v/>
      </c>
      <c r="H28" s="19">
        <f>IF(tbLancamentos[[#This Row],[Descrição]]="","",IFERROR(INDEX(tbAtalhos[Tipo],MATCH(tbLancamentos[[#This Row],[Descrição]],tbAtalhos[Descrição],0))&amp;"","Despesa"))</f>
        <v/>
      </c>
      <c r="I28" s="19">
        <f>IF(tbLancamentos[[#This Row],[Descrição]]="","",IFERROR(INDEX(tbAtalhos[Categoria],MATCH(tbLancamentos[[#This Row],[Descrição]],tbAtalhos[Descrição],0))&amp;"",""))</f>
        <v/>
      </c>
      <c r="J2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8" s="19" t="n"/>
      <c r="M28" s="19">
        <f>IF(tbLancamentos[[#This Row],[Descrição]]="","",IFERROR(INDEX(tbAtalhos[Conta],MATCH(tbLancamentos[[#This Row],[Descrição]],tbAtalhos[Descrição],0))&amp;"",""))</f>
        <v/>
      </c>
      <c r="N28" s="19">
        <f>IF(tbLancamentos[[#This Row],[Descrição]]="","",IFERROR(INDEX(tbAtalhos[Forma de pagamento],MATCH(tbLancamentos[[#This Row],[Descrição]],tbAtalhos[Descrição],0))&amp;"",""))</f>
        <v/>
      </c>
      <c r="O28" s="48" t="n"/>
      <c r="P28" s="19" t="n"/>
      <c r="Q28" s="19" t="n"/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7" t="n"/>
      <c r="C29" s="19" t="n"/>
      <c r="D29" s="20" t="n"/>
      <c r="E29" s="21">
        <f>IF(tbLancamentos[[#This Row],[Descrição]]="","",IFERROR(1/(1/INDEX(tbAtalhos[Valor padrão],MATCH(tbLancamentos[[#This Row],[Descrição]],tbAtalhos[Descrição],0))),""))</f>
        <v/>
      </c>
      <c r="F29" s="47" t="n"/>
      <c r="G29" s="19">
        <f>IF(tbLancamentos[[#This Row],[Descrição]]="","",IF(tbLancamentos[[#This Row],[Tipo]]="Receita","Recebido","Pago"))</f>
        <v/>
      </c>
      <c r="H29" s="19">
        <f>IF(tbLancamentos[[#This Row],[Descrição]]="","",IFERROR(INDEX(tbAtalhos[Tipo],MATCH(tbLancamentos[[#This Row],[Descrição]],tbAtalhos[Descrição],0))&amp;"","Despesa"))</f>
        <v/>
      </c>
      <c r="I29" s="19">
        <f>IF(tbLancamentos[[#This Row],[Descrição]]="","",IFERROR(INDEX(tbAtalhos[Categoria],MATCH(tbLancamentos[[#This Row],[Descrição]],tbAtalhos[Descrição],0))&amp;"",""))</f>
        <v/>
      </c>
      <c r="J2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9" s="19" t="n"/>
      <c r="M29" s="19">
        <f>IF(tbLancamentos[[#This Row],[Descrição]]="","",IFERROR(INDEX(tbAtalhos[Conta],MATCH(tbLancamentos[[#This Row],[Descrição]],tbAtalhos[Descrição],0))&amp;"",""))</f>
        <v/>
      </c>
      <c r="N29" s="19">
        <f>IF(tbLancamentos[[#This Row],[Descrição]]="","",IFERROR(INDEX(tbAtalhos[Forma de pagamento],MATCH(tbLancamentos[[#This Row],[Descrição]],tbAtalhos[Descrição],0))&amp;"",""))</f>
        <v/>
      </c>
      <c r="O29" s="48" t="n"/>
      <c r="P29" s="19" t="n"/>
      <c r="Q29" s="19" t="n"/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7" t="n"/>
      <c r="C30" s="19" t="n"/>
      <c r="D30" s="20" t="n"/>
      <c r="E30" s="21">
        <f>IF(tbLancamentos[[#This Row],[Descrição]]="","",IFERROR(1/(1/INDEX(tbAtalhos[Valor padrão],MATCH(tbLancamentos[[#This Row],[Descrição]],tbAtalhos[Descrição],0))),""))</f>
        <v/>
      </c>
      <c r="F30" s="47" t="n"/>
      <c r="G30" s="19">
        <f>IF(tbLancamentos[[#This Row],[Descrição]]="","",IF(tbLancamentos[[#This Row],[Tipo]]="Receita","Recebido","Pago"))</f>
        <v/>
      </c>
      <c r="H30" s="19">
        <f>IF(tbLancamentos[[#This Row],[Descrição]]="","",IFERROR(INDEX(tbAtalhos[Tipo],MATCH(tbLancamentos[[#This Row],[Descrição]],tbAtalhos[Descrição],0))&amp;"","Despesa"))</f>
        <v/>
      </c>
      <c r="I30" s="19">
        <f>IF(tbLancamentos[[#This Row],[Descrição]]="","",IFERROR(INDEX(tbAtalhos[Categoria],MATCH(tbLancamentos[[#This Row],[Descrição]],tbAtalhos[Descrição],0))&amp;"",""))</f>
        <v/>
      </c>
      <c r="J3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0" s="19" t="n"/>
      <c r="M30" s="19">
        <f>IF(tbLancamentos[[#This Row],[Descrição]]="","",IFERROR(INDEX(tbAtalhos[Conta],MATCH(tbLancamentos[[#This Row],[Descrição]],tbAtalhos[Descrição],0))&amp;"",""))</f>
        <v/>
      </c>
      <c r="N30" s="19">
        <f>IF(tbLancamentos[[#This Row],[Descrição]]="","",IFERROR(INDEX(tbAtalhos[Forma de pagamento],MATCH(tbLancamentos[[#This Row],[Descrição]],tbAtalhos[Descrição],0))&amp;"",""))</f>
        <v/>
      </c>
      <c r="O30" s="48" t="n"/>
      <c r="P30" s="19" t="n"/>
      <c r="Q30" s="19" t="n"/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7" t="n"/>
      <c r="C31" s="19" t="n"/>
      <c r="D31" s="20" t="n"/>
      <c r="E31" s="21">
        <f>IF(tbLancamentos[[#This Row],[Descrição]]="","",IFERROR(1/(1/INDEX(tbAtalhos[Valor padrão],MATCH(tbLancamentos[[#This Row],[Descrição]],tbAtalhos[Descrição],0))),""))</f>
        <v/>
      </c>
      <c r="F31" s="47" t="n"/>
      <c r="G31" s="19">
        <f>IF(tbLancamentos[[#This Row],[Descrição]]="","",IF(tbLancamentos[[#This Row],[Tipo]]="Receita","Recebido","Pago"))</f>
        <v/>
      </c>
      <c r="H31" s="19">
        <f>IF(tbLancamentos[[#This Row],[Descrição]]="","",IFERROR(INDEX(tbAtalhos[Tipo],MATCH(tbLancamentos[[#This Row],[Descrição]],tbAtalhos[Descrição],0))&amp;"","Despesa"))</f>
        <v/>
      </c>
      <c r="I31" s="19">
        <f>IF(tbLancamentos[[#This Row],[Descrição]]="","",IFERROR(INDEX(tbAtalhos[Categoria],MATCH(tbLancamentos[[#This Row],[Descrição]],tbAtalhos[Descrição],0))&amp;"",""))</f>
        <v/>
      </c>
      <c r="J3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1" s="19" t="n"/>
      <c r="M31" s="19">
        <f>IF(tbLancamentos[[#This Row],[Descrição]]="","",IFERROR(INDEX(tbAtalhos[Conta],MATCH(tbLancamentos[[#This Row],[Descrição]],tbAtalhos[Descrição],0))&amp;"",""))</f>
        <v/>
      </c>
      <c r="N31" s="19">
        <f>IF(tbLancamentos[[#This Row],[Descrição]]="","",IFERROR(INDEX(tbAtalhos[Forma de pagamento],MATCH(tbLancamentos[[#This Row],[Descrição]],tbAtalhos[Descrição],0))&amp;"",""))</f>
        <v/>
      </c>
      <c r="O31" s="48" t="n"/>
      <c r="P31" s="19" t="n"/>
      <c r="Q31" s="19" t="n"/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7" t="n"/>
      <c r="C32" s="19" t="n"/>
      <c r="D32" s="20" t="n"/>
      <c r="E32" s="21">
        <f>IF(tbLancamentos[[#This Row],[Descrição]]="","",IFERROR(1/(1/INDEX(tbAtalhos[Valor padrão],MATCH(tbLancamentos[[#This Row],[Descrição]],tbAtalhos[Descrição],0))),""))</f>
        <v/>
      </c>
      <c r="F32" s="47" t="n"/>
      <c r="G32" s="19">
        <f>IF(tbLancamentos[[#This Row],[Descrição]]="","",IF(tbLancamentos[[#This Row],[Tipo]]="Receita","Recebido","Pago"))</f>
        <v/>
      </c>
      <c r="H32" s="19">
        <f>IF(tbLancamentos[[#This Row],[Descrição]]="","",IFERROR(INDEX(tbAtalhos[Tipo],MATCH(tbLancamentos[[#This Row],[Descrição]],tbAtalhos[Descrição],0))&amp;"","Despesa"))</f>
        <v/>
      </c>
      <c r="I32" s="19">
        <f>IF(tbLancamentos[[#This Row],[Descrição]]="","",IFERROR(INDEX(tbAtalhos[Categoria],MATCH(tbLancamentos[[#This Row],[Descrição]],tbAtalhos[Descrição],0))&amp;"",""))</f>
        <v/>
      </c>
      <c r="J3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2" s="19" t="n"/>
      <c r="M32" s="19">
        <f>IF(tbLancamentos[[#This Row],[Descrição]]="","",IFERROR(INDEX(tbAtalhos[Conta],MATCH(tbLancamentos[[#This Row],[Descrição]],tbAtalhos[Descrição],0))&amp;"",""))</f>
        <v/>
      </c>
      <c r="N32" s="19">
        <f>IF(tbLancamentos[[#This Row],[Descrição]]="","",IFERROR(INDEX(tbAtalhos[Forma de pagamento],MATCH(tbLancamentos[[#This Row],[Descrição]],tbAtalhos[Descrição],0))&amp;"",""))</f>
        <v/>
      </c>
      <c r="O32" s="48" t="n"/>
      <c r="P32" s="19" t="n"/>
      <c r="Q32" s="19" t="n"/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7" t="n"/>
      <c r="C33" s="19" t="n"/>
      <c r="D33" s="20" t="n"/>
      <c r="E33" s="21">
        <f>IF(tbLancamentos[[#This Row],[Descrição]]="","",IFERROR(1/(1/INDEX(tbAtalhos[Valor padrão],MATCH(tbLancamentos[[#This Row],[Descrição]],tbAtalhos[Descrição],0))),""))</f>
        <v/>
      </c>
      <c r="F33" s="47" t="n"/>
      <c r="G33" s="19">
        <f>IF(tbLancamentos[[#This Row],[Descrição]]="","",IF(tbLancamentos[[#This Row],[Tipo]]="Receita","Recebido","Pago"))</f>
        <v/>
      </c>
      <c r="H33" s="19">
        <f>IF(tbLancamentos[[#This Row],[Descrição]]="","",IFERROR(INDEX(tbAtalhos[Tipo],MATCH(tbLancamentos[[#This Row],[Descrição]],tbAtalhos[Descrição],0))&amp;"","Despesa"))</f>
        <v/>
      </c>
      <c r="I33" s="19">
        <f>IF(tbLancamentos[[#This Row],[Descrição]]="","",IFERROR(INDEX(tbAtalhos[Categoria],MATCH(tbLancamentos[[#This Row],[Descrição]],tbAtalhos[Descrição],0))&amp;"",""))</f>
        <v/>
      </c>
      <c r="J3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3" s="19" t="n"/>
      <c r="M33" s="19">
        <f>IF(tbLancamentos[[#This Row],[Descrição]]="","",IFERROR(INDEX(tbAtalhos[Conta],MATCH(tbLancamentos[[#This Row],[Descrição]],tbAtalhos[Descrição],0))&amp;"",""))</f>
        <v/>
      </c>
      <c r="N33" s="19">
        <f>IF(tbLancamentos[[#This Row],[Descrição]]="","",IFERROR(INDEX(tbAtalhos[Forma de pagamento],MATCH(tbLancamentos[[#This Row],[Descrição]],tbAtalhos[Descrição],0))&amp;"",""))</f>
        <v/>
      </c>
      <c r="O33" s="48" t="n"/>
      <c r="P33" s="19" t="n"/>
      <c r="Q33" s="19" t="n"/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7" t="n"/>
      <c r="C34" s="19" t="n"/>
      <c r="D34" s="20" t="n"/>
      <c r="E34" s="21">
        <f>IF(tbLancamentos[[#This Row],[Descrição]]="","",IFERROR(1/(1/INDEX(tbAtalhos[Valor padrão],MATCH(tbLancamentos[[#This Row],[Descrição]],tbAtalhos[Descrição],0))),""))</f>
        <v/>
      </c>
      <c r="F34" s="47" t="n"/>
      <c r="G34" s="19">
        <f>IF(tbLancamentos[[#This Row],[Descrição]]="","",IF(tbLancamentos[[#This Row],[Tipo]]="Receita","Recebido","Pago"))</f>
        <v/>
      </c>
      <c r="H34" s="19">
        <f>IF(tbLancamentos[[#This Row],[Descrição]]="","",IFERROR(INDEX(tbAtalhos[Tipo],MATCH(tbLancamentos[[#This Row],[Descrição]],tbAtalhos[Descrição],0))&amp;"","Despesa"))</f>
        <v/>
      </c>
      <c r="I34" s="19">
        <f>IF(tbLancamentos[[#This Row],[Descrição]]="","",IFERROR(INDEX(tbAtalhos[Categoria],MATCH(tbLancamentos[[#This Row],[Descrição]],tbAtalhos[Descrição],0))&amp;"",""))</f>
        <v/>
      </c>
      <c r="J3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4" s="19" t="n"/>
      <c r="M34" s="19">
        <f>IF(tbLancamentos[[#This Row],[Descrição]]="","",IFERROR(INDEX(tbAtalhos[Conta],MATCH(tbLancamentos[[#This Row],[Descrição]],tbAtalhos[Descrição],0))&amp;"",""))</f>
        <v/>
      </c>
      <c r="N34" s="19">
        <f>IF(tbLancamentos[[#This Row],[Descrição]]="","",IFERROR(INDEX(tbAtalhos[Forma de pagamento],MATCH(tbLancamentos[[#This Row],[Descrição]],tbAtalhos[Descrição],0))&amp;"",""))</f>
        <v/>
      </c>
      <c r="O34" s="48" t="n"/>
      <c r="P34" s="19" t="n"/>
      <c r="Q34" s="19" t="n"/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7" t="n"/>
      <c r="C35" s="19" t="n"/>
      <c r="D35" s="20" t="n"/>
      <c r="E35" s="21">
        <f>IF(tbLancamentos[[#This Row],[Descrição]]="","",IFERROR(1/(1/INDEX(tbAtalhos[Valor padrão],MATCH(tbLancamentos[[#This Row],[Descrição]],tbAtalhos[Descrição],0))),""))</f>
        <v/>
      </c>
      <c r="F35" s="47" t="n"/>
      <c r="G35" s="19">
        <f>IF(tbLancamentos[[#This Row],[Descrição]]="","",IF(tbLancamentos[[#This Row],[Tipo]]="Receita","Recebido","Pago"))</f>
        <v/>
      </c>
      <c r="H35" s="19">
        <f>IF(tbLancamentos[[#This Row],[Descrição]]="","",IFERROR(INDEX(tbAtalhos[Tipo],MATCH(tbLancamentos[[#This Row],[Descrição]],tbAtalhos[Descrição],0))&amp;"","Despesa"))</f>
        <v/>
      </c>
      <c r="I35" s="19">
        <f>IF(tbLancamentos[[#This Row],[Descrição]]="","",IFERROR(INDEX(tbAtalhos[Categoria],MATCH(tbLancamentos[[#This Row],[Descrição]],tbAtalhos[Descrição],0))&amp;"",""))</f>
        <v/>
      </c>
      <c r="J3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5" s="19" t="n"/>
      <c r="M35" s="19">
        <f>IF(tbLancamentos[[#This Row],[Descrição]]="","",IFERROR(INDEX(tbAtalhos[Conta],MATCH(tbLancamentos[[#This Row],[Descrição]],tbAtalhos[Descrição],0))&amp;"",""))</f>
        <v/>
      </c>
      <c r="N35" s="19">
        <f>IF(tbLancamentos[[#This Row],[Descrição]]="","",IFERROR(INDEX(tbAtalhos[Forma de pagamento],MATCH(tbLancamentos[[#This Row],[Descrição]],tbAtalhos[Descrição],0))&amp;"",""))</f>
        <v/>
      </c>
      <c r="O35" s="48" t="n"/>
      <c r="P35" s="19" t="n"/>
      <c r="Q35" s="19" t="n"/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7" t="n"/>
      <c r="C36" s="19" t="n"/>
      <c r="D36" s="20" t="n"/>
      <c r="E36" s="21">
        <f>IF(tbLancamentos[[#This Row],[Descrição]]="","",IFERROR(1/(1/INDEX(tbAtalhos[Valor padrão],MATCH(tbLancamentos[[#This Row],[Descrição]],tbAtalhos[Descrição],0))),""))</f>
        <v/>
      </c>
      <c r="F36" s="47" t="n"/>
      <c r="G36" s="19">
        <f>IF(tbLancamentos[[#This Row],[Descrição]]="","",IF(tbLancamentos[[#This Row],[Tipo]]="Receita","Recebido","Pago"))</f>
        <v/>
      </c>
      <c r="H36" s="19">
        <f>IF(tbLancamentos[[#This Row],[Descrição]]="","",IFERROR(INDEX(tbAtalhos[Tipo],MATCH(tbLancamentos[[#This Row],[Descrição]],tbAtalhos[Descrição],0))&amp;"","Despesa"))</f>
        <v/>
      </c>
      <c r="I36" s="19">
        <f>IF(tbLancamentos[[#This Row],[Descrição]]="","",IFERROR(INDEX(tbAtalhos[Categoria],MATCH(tbLancamentos[[#This Row],[Descrição]],tbAtalhos[Descrição],0))&amp;"",""))</f>
        <v/>
      </c>
      <c r="J3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6" s="19" t="n"/>
      <c r="M36" s="19">
        <f>IF(tbLancamentos[[#This Row],[Descrição]]="","",IFERROR(INDEX(tbAtalhos[Conta],MATCH(tbLancamentos[[#This Row],[Descrição]],tbAtalhos[Descrição],0))&amp;"",""))</f>
        <v/>
      </c>
      <c r="N36" s="19">
        <f>IF(tbLancamentos[[#This Row],[Descrição]]="","",IFERROR(INDEX(tbAtalhos[Forma de pagamento],MATCH(tbLancamentos[[#This Row],[Descrição]],tbAtalhos[Descrição],0))&amp;"",""))</f>
        <v/>
      </c>
      <c r="O36" s="48" t="n"/>
      <c r="P36" s="19" t="n"/>
      <c r="Q36" s="19" t="n"/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7" t="n"/>
      <c r="C37" s="19" t="n"/>
      <c r="D37" s="20" t="n"/>
      <c r="E37" s="21">
        <f>IF(tbLancamentos[[#This Row],[Descrição]]="","",IFERROR(1/(1/INDEX(tbAtalhos[Valor padrão],MATCH(tbLancamentos[[#This Row],[Descrição]],tbAtalhos[Descrição],0))),""))</f>
        <v/>
      </c>
      <c r="F37" s="47" t="n"/>
      <c r="G37" s="19">
        <f>IF(tbLancamentos[[#This Row],[Descrição]]="","",IF(tbLancamentos[[#This Row],[Tipo]]="Receita","Recebido","Pago"))</f>
        <v/>
      </c>
      <c r="H37" s="19">
        <f>IF(tbLancamentos[[#This Row],[Descrição]]="","",IFERROR(INDEX(tbAtalhos[Tipo],MATCH(tbLancamentos[[#This Row],[Descrição]],tbAtalhos[Descrição],0))&amp;"","Despesa"))</f>
        <v/>
      </c>
      <c r="I37" s="19">
        <f>IF(tbLancamentos[[#This Row],[Descrição]]="","",IFERROR(INDEX(tbAtalhos[Categoria],MATCH(tbLancamentos[[#This Row],[Descrição]],tbAtalhos[Descrição],0))&amp;"",""))</f>
        <v/>
      </c>
      <c r="J3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7" s="19" t="n"/>
      <c r="M37" s="19">
        <f>IF(tbLancamentos[[#This Row],[Descrição]]="","",IFERROR(INDEX(tbAtalhos[Conta],MATCH(tbLancamentos[[#This Row],[Descrição]],tbAtalhos[Descrição],0))&amp;"",""))</f>
        <v/>
      </c>
      <c r="N37" s="19">
        <f>IF(tbLancamentos[[#This Row],[Descrição]]="","",IFERROR(INDEX(tbAtalhos[Forma de pagamento],MATCH(tbLancamentos[[#This Row],[Descrição]],tbAtalhos[Descrição],0))&amp;"",""))</f>
        <v/>
      </c>
      <c r="O37" s="48" t="n"/>
      <c r="P37" s="19" t="n"/>
      <c r="Q37" s="19" t="n"/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7" t="n"/>
      <c r="C38" s="19" t="n"/>
      <c r="D38" s="20" t="n"/>
      <c r="E38" s="21">
        <f>IF(tbLancamentos[[#This Row],[Descrição]]="","",IFERROR(1/(1/INDEX(tbAtalhos[Valor padrão],MATCH(tbLancamentos[[#This Row],[Descrição]],tbAtalhos[Descrição],0))),""))</f>
        <v/>
      </c>
      <c r="F38" s="47" t="n"/>
      <c r="G38" s="19">
        <f>IF(tbLancamentos[[#This Row],[Descrição]]="","",IF(tbLancamentos[[#This Row],[Tipo]]="Receita","Recebido","Pago"))</f>
        <v/>
      </c>
      <c r="H38" s="19">
        <f>IF(tbLancamentos[[#This Row],[Descrição]]="","",IFERROR(INDEX(tbAtalhos[Tipo],MATCH(tbLancamentos[[#This Row],[Descrição]],tbAtalhos[Descrição],0))&amp;"","Despesa"))</f>
        <v/>
      </c>
      <c r="I38" s="19">
        <f>IF(tbLancamentos[[#This Row],[Descrição]]="","",IFERROR(INDEX(tbAtalhos[Categoria],MATCH(tbLancamentos[[#This Row],[Descrição]],tbAtalhos[Descrição],0))&amp;"",""))</f>
        <v/>
      </c>
      <c r="J3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8" s="19" t="n"/>
      <c r="M38" s="19">
        <f>IF(tbLancamentos[[#This Row],[Descrição]]="","",IFERROR(INDEX(tbAtalhos[Conta],MATCH(tbLancamentos[[#This Row],[Descrição]],tbAtalhos[Descrição],0))&amp;"",""))</f>
        <v/>
      </c>
      <c r="N38" s="19">
        <f>IF(tbLancamentos[[#This Row],[Descrição]]="","",IFERROR(INDEX(tbAtalhos[Forma de pagamento],MATCH(tbLancamentos[[#This Row],[Descrição]],tbAtalhos[Descrição],0))&amp;"",""))</f>
        <v/>
      </c>
      <c r="O38" s="48" t="n"/>
      <c r="P38" s="19" t="n"/>
      <c r="Q38" s="19" t="n"/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7" t="n"/>
      <c r="C39" s="19" t="n"/>
      <c r="D39" s="20" t="n"/>
      <c r="E39" s="21">
        <f>IF(tbLancamentos[[#This Row],[Descrição]]="","",IFERROR(1/(1/INDEX(tbAtalhos[Valor padrão],MATCH(tbLancamentos[[#This Row],[Descrição]],tbAtalhos[Descrição],0))),""))</f>
        <v/>
      </c>
      <c r="F39" s="47" t="n"/>
      <c r="G39" s="19">
        <f>IF(tbLancamentos[[#This Row],[Descrição]]="","",IF(tbLancamentos[[#This Row],[Tipo]]="Receita","Recebido","Pago"))</f>
        <v/>
      </c>
      <c r="H39" s="19">
        <f>IF(tbLancamentos[[#This Row],[Descrição]]="","",IFERROR(INDEX(tbAtalhos[Tipo],MATCH(tbLancamentos[[#This Row],[Descrição]],tbAtalhos[Descrição],0))&amp;"","Despesa"))</f>
        <v/>
      </c>
      <c r="I39" s="19">
        <f>IF(tbLancamentos[[#This Row],[Descrição]]="","",IFERROR(INDEX(tbAtalhos[Categoria],MATCH(tbLancamentos[[#This Row],[Descrição]],tbAtalhos[Descrição],0))&amp;"",""))</f>
        <v/>
      </c>
      <c r="J3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9" s="19" t="n"/>
      <c r="M39" s="19">
        <f>IF(tbLancamentos[[#This Row],[Descrição]]="","",IFERROR(INDEX(tbAtalhos[Conta],MATCH(tbLancamentos[[#This Row],[Descrição]],tbAtalhos[Descrição],0))&amp;"",""))</f>
        <v/>
      </c>
      <c r="N39" s="19">
        <f>IF(tbLancamentos[[#This Row],[Descrição]]="","",IFERROR(INDEX(tbAtalhos[Forma de pagamento],MATCH(tbLancamentos[[#This Row],[Descrição]],tbAtalhos[Descrição],0))&amp;"",""))</f>
        <v/>
      </c>
      <c r="O39" s="48" t="n"/>
      <c r="P39" s="19" t="n"/>
      <c r="Q39" s="19" t="n"/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7" t="n"/>
      <c r="C40" s="19" t="n"/>
      <c r="D40" s="20" t="n"/>
      <c r="E40" s="21">
        <f>IF(tbLancamentos[[#This Row],[Descrição]]="","",IFERROR(1/(1/INDEX(tbAtalhos[Valor padrão],MATCH(tbLancamentos[[#This Row],[Descrição]],tbAtalhos[Descrição],0))),""))</f>
        <v/>
      </c>
      <c r="F40" s="47" t="n"/>
      <c r="G40" s="19">
        <f>IF(tbLancamentos[[#This Row],[Descrição]]="","",IF(tbLancamentos[[#This Row],[Tipo]]="Receita","Recebido","Pago"))</f>
        <v/>
      </c>
      <c r="H40" s="19">
        <f>IF(tbLancamentos[[#This Row],[Descrição]]="","",IFERROR(INDEX(tbAtalhos[Tipo],MATCH(tbLancamentos[[#This Row],[Descrição]],tbAtalhos[Descrição],0))&amp;"","Despesa"))</f>
        <v/>
      </c>
      <c r="I40" s="19">
        <f>IF(tbLancamentos[[#This Row],[Descrição]]="","",IFERROR(INDEX(tbAtalhos[Categoria],MATCH(tbLancamentos[[#This Row],[Descrição]],tbAtalhos[Descrição],0))&amp;"",""))</f>
        <v/>
      </c>
      <c r="J4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0" s="19" t="n"/>
      <c r="M40" s="19">
        <f>IF(tbLancamentos[[#This Row],[Descrição]]="","",IFERROR(INDEX(tbAtalhos[Conta],MATCH(tbLancamentos[[#This Row],[Descrição]],tbAtalhos[Descrição],0))&amp;"",""))</f>
        <v/>
      </c>
      <c r="N40" s="19">
        <f>IF(tbLancamentos[[#This Row],[Descrição]]="","",IFERROR(INDEX(tbAtalhos[Forma de pagamento],MATCH(tbLancamentos[[#This Row],[Descrição]],tbAtalhos[Descrição],0))&amp;"",""))</f>
        <v/>
      </c>
      <c r="O40" s="48" t="n"/>
      <c r="P40" s="19" t="n"/>
      <c r="Q40" s="19" t="n"/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7" t="n"/>
      <c r="C41" s="19" t="n"/>
      <c r="D41" s="20" t="n"/>
      <c r="E41" s="21">
        <f>IF(tbLancamentos[[#This Row],[Descrição]]="","",IFERROR(1/(1/INDEX(tbAtalhos[Valor padrão],MATCH(tbLancamentos[[#This Row],[Descrição]],tbAtalhos[Descrição],0))),""))</f>
        <v/>
      </c>
      <c r="F41" s="47" t="n"/>
      <c r="G41" s="19">
        <f>IF(tbLancamentos[[#This Row],[Descrição]]="","",IF(tbLancamentos[[#This Row],[Tipo]]="Receita","Recebido","Pago"))</f>
        <v/>
      </c>
      <c r="H41" s="19">
        <f>IF(tbLancamentos[[#This Row],[Descrição]]="","",IFERROR(INDEX(tbAtalhos[Tipo],MATCH(tbLancamentos[[#This Row],[Descrição]],tbAtalhos[Descrição],0))&amp;"","Despesa"))</f>
        <v/>
      </c>
      <c r="I41" s="19">
        <f>IF(tbLancamentos[[#This Row],[Descrição]]="","",IFERROR(INDEX(tbAtalhos[Categoria],MATCH(tbLancamentos[[#This Row],[Descrição]],tbAtalhos[Descrição],0))&amp;"",""))</f>
        <v/>
      </c>
      <c r="J4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1" s="19" t="n"/>
      <c r="M41" s="19">
        <f>IF(tbLancamentos[[#This Row],[Descrição]]="","",IFERROR(INDEX(tbAtalhos[Conta],MATCH(tbLancamentos[[#This Row],[Descrição]],tbAtalhos[Descrição],0))&amp;"",""))</f>
        <v/>
      </c>
      <c r="N41" s="19">
        <f>IF(tbLancamentos[[#This Row],[Descrição]]="","",IFERROR(INDEX(tbAtalhos[Forma de pagamento],MATCH(tbLancamentos[[#This Row],[Descrição]],tbAtalhos[Descrição],0))&amp;"",""))</f>
        <v/>
      </c>
      <c r="O41" s="48" t="n"/>
      <c r="P41" s="19" t="n"/>
      <c r="Q41" s="19" t="n"/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7" t="n"/>
      <c r="C42" s="19" t="n"/>
      <c r="D42" s="20" t="n"/>
      <c r="E42" s="21">
        <f>IF(tbLancamentos[[#This Row],[Descrição]]="","",IFERROR(1/(1/INDEX(tbAtalhos[Valor padrão],MATCH(tbLancamentos[[#This Row],[Descrição]],tbAtalhos[Descrição],0))),""))</f>
        <v/>
      </c>
      <c r="F42" s="47" t="n"/>
      <c r="G42" s="19">
        <f>IF(tbLancamentos[[#This Row],[Descrição]]="","",IF(tbLancamentos[[#This Row],[Tipo]]="Receita","Recebido","Pago"))</f>
        <v/>
      </c>
      <c r="H42" s="19">
        <f>IF(tbLancamentos[[#This Row],[Descrição]]="","",IFERROR(INDEX(tbAtalhos[Tipo],MATCH(tbLancamentos[[#This Row],[Descrição]],tbAtalhos[Descrição],0))&amp;"","Despesa"))</f>
        <v/>
      </c>
      <c r="I42" s="19">
        <f>IF(tbLancamentos[[#This Row],[Descrição]]="","",IFERROR(INDEX(tbAtalhos[Categoria],MATCH(tbLancamentos[[#This Row],[Descrição]],tbAtalhos[Descrição],0))&amp;"",""))</f>
        <v/>
      </c>
      <c r="J4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2" s="19" t="n"/>
      <c r="M42" s="19">
        <f>IF(tbLancamentos[[#This Row],[Descrição]]="","",IFERROR(INDEX(tbAtalhos[Conta],MATCH(tbLancamentos[[#This Row],[Descrição]],tbAtalhos[Descrição],0))&amp;"",""))</f>
        <v/>
      </c>
      <c r="N42" s="19">
        <f>IF(tbLancamentos[[#This Row],[Descrição]]="","",IFERROR(INDEX(tbAtalhos[Forma de pagamento],MATCH(tbLancamentos[[#This Row],[Descrição]],tbAtalhos[Descrição],0))&amp;"",""))</f>
        <v/>
      </c>
      <c r="O42" s="48" t="n"/>
      <c r="P42" s="19" t="n"/>
      <c r="Q42" s="19" t="n"/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7" t="n"/>
      <c r="C43" s="19" t="n"/>
      <c r="D43" s="20" t="n"/>
      <c r="E43" s="21">
        <f>IF(tbLancamentos[[#This Row],[Descrição]]="","",IFERROR(1/(1/INDEX(tbAtalhos[Valor padrão],MATCH(tbLancamentos[[#This Row],[Descrição]],tbAtalhos[Descrição],0))),""))</f>
        <v/>
      </c>
      <c r="F43" s="47" t="n"/>
      <c r="G43" s="19">
        <f>IF(tbLancamentos[[#This Row],[Descrição]]="","",IF(tbLancamentos[[#This Row],[Tipo]]="Receita","Recebido","Pago"))</f>
        <v/>
      </c>
      <c r="H43" s="19">
        <f>IF(tbLancamentos[[#This Row],[Descrição]]="","",IFERROR(INDEX(tbAtalhos[Tipo],MATCH(tbLancamentos[[#This Row],[Descrição]],tbAtalhos[Descrição],0))&amp;"","Despesa"))</f>
        <v/>
      </c>
      <c r="I43" s="19">
        <f>IF(tbLancamentos[[#This Row],[Descrição]]="","",IFERROR(INDEX(tbAtalhos[Categoria],MATCH(tbLancamentos[[#This Row],[Descrição]],tbAtalhos[Descrição],0))&amp;"",""))</f>
        <v/>
      </c>
      <c r="J4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3" s="19" t="n"/>
      <c r="M43" s="19">
        <f>IF(tbLancamentos[[#This Row],[Descrição]]="","",IFERROR(INDEX(tbAtalhos[Conta],MATCH(tbLancamentos[[#This Row],[Descrição]],tbAtalhos[Descrição],0))&amp;"",""))</f>
        <v/>
      </c>
      <c r="N43" s="19">
        <f>IF(tbLancamentos[[#This Row],[Descrição]]="","",IFERROR(INDEX(tbAtalhos[Forma de pagamento],MATCH(tbLancamentos[[#This Row],[Descrição]],tbAtalhos[Descrição],0))&amp;"",""))</f>
        <v/>
      </c>
      <c r="O43" s="48" t="n"/>
      <c r="P43" s="19" t="n"/>
      <c r="Q43" s="19" t="n"/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7" t="n"/>
      <c r="C44" s="19" t="n"/>
      <c r="D44" s="20" t="n"/>
      <c r="E44" s="21">
        <f>IF(tbLancamentos[[#This Row],[Descrição]]="","",IFERROR(1/(1/INDEX(tbAtalhos[Valor padrão],MATCH(tbLancamentos[[#This Row],[Descrição]],tbAtalhos[Descrição],0))),""))</f>
        <v/>
      </c>
      <c r="F44" s="47" t="n"/>
      <c r="G44" s="19">
        <f>IF(tbLancamentos[[#This Row],[Descrição]]="","",IF(tbLancamentos[[#This Row],[Tipo]]="Receita","Recebido","Pago"))</f>
        <v/>
      </c>
      <c r="H44" s="19">
        <f>IF(tbLancamentos[[#This Row],[Descrição]]="","",IFERROR(INDEX(tbAtalhos[Tipo],MATCH(tbLancamentos[[#This Row],[Descrição]],tbAtalhos[Descrição],0))&amp;"","Despesa"))</f>
        <v/>
      </c>
      <c r="I44" s="19">
        <f>IF(tbLancamentos[[#This Row],[Descrição]]="","",IFERROR(INDEX(tbAtalhos[Categoria],MATCH(tbLancamentos[[#This Row],[Descrição]],tbAtalhos[Descrição],0))&amp;"",""))</f>
        <v/>
      </c>
      <c r="J4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4" s="19" t="n"/>
      <c r="M44" s="19">
        <f>IF(tbLancamentos[[#This Row],[Descrição]]="","",IFERROR(INDEX(tbAtalhos[Conta],MATCH(tbLancamentos[[#This Row],[Descrição]],tbAtalhos[Descrição],0))&amp;"",""))</f>
        <v/>
      </c>
      <c r="N44" s="19">
        <f>IF(tbLancamentos[[#This Row],[Descrição]]="","",IFERROR(INDEX(tbAtalhos[Forma de pagamento],MATCH(tbLancamentos[[#This Row],[Descrição]],tbAtalhos[Descrição],0))&amp;"",""))</f>
        <v/>
      </c>
      <c r="O44" s="48" t="n"/>
      <c r="P44" s="19" t="n"/>
      <c r="Q44" s="19" t="n"/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7" t="n"/>
      <c r="C45" s="19" t="n"/>
      <c r="D45" s="20" t="n"/>
      <c r="E45" s="21">
        <f>IF(tbLancamentos[[#This Row],[Descrição]]="","",IFERROR(1/(1/INDEX(tbAtalhos[Valor padrão],MATCH(tbLancamentos[[#This Row],[Descrição]],tbAtalhos[Descrição],0))),""))</f>
        <v/>
      </c>
      <c r="F45" s="47" t="n"/>
      <c r="G45" s="19">
        <f>IF(tbLancamentos[[#This Row],[Descrição]]="","",IF(tbLancamentos[[#This Row],[Tipo]]="Receita","Recebido","Pago"))</f>
        <v/>
      </c>
      <c r="H45" s="19">
        <f>IF(tbLancamentos[[#This Row],[Descrição]]="","",IFERROR(INDEX(tbAtalhos[Tipo],MATCH(tbLancamentos[[#This Row],[Descrição]],tbAtalhos[Descrição],0))&amp;"","Despesa"))</f>
        <v/>
      </c>
      <c r="I45" s="19">
        <f>IF(tbLancamentos[[#This Row],[Descrição]]="","",IFERROR(INDEX(tbAtalhos[Categoria],MATCH(tbLancamentos[[#This Row],[Descrição]],tbAtalhos[Descrição],0))&amp;"",""))</f>
        <v/>
      </c>
      <c r="J4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5" s="19" t="n"/>
      <c r="M45" s="19">
        <f>IF(tbLancamentos[[#This Row],[Descrição]]="","",IFERROR(INDEX(tbAtalhos[Conta],MATCH(tbLancamentos[[#This Row],[Descrição]],tbAtalhos[Descrição],0))&amp;"",""))</f>
        <v/>
      </c>
      <c r="N45" s="19">
        <f>IF(tbLancamentos[[#This Row],[Descrição]]="","",IFERROR(INDEX(tbAtalhos[Forma de pagamento],MATCH(tbLancamentos[[#This Row],[Descrição]],tbAtalhos[Descrição],0))&amp;"",""))</f>
        <v/>
      </c>
      <c r="O45" s="48" t="n"/>
      <c r="P45" s="19" t="n"/>
      <c r="Q45" s="19" t="n"/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7" t="n"/>
      <c r="C46" s="19" t="n"/>
      <c r="D46" s="20" t="n"/>
      <c r="E46" s="21">
        <f>IF(tbLancamentos[[#This Row],[Descrição]]="","",IFERROR(1/(1/INDEX(tbAtalhos[Valor padrão],MATCH(tbLancamentos[[#This Row],[Descrição]],tbAtalhos[Descrição],0))),""))</f>
        <v/>
      </c>
      <c r="F46" s="47" t="n"/>
      <c r="G46" s="19">
        <f>IF(tbLancamentos[[#This Row],[Descrição]]="","",IF(tbLancamentos[[#This Row],[Tipo]]="Receita","Recebido","Pago"))</f>
        <v/>
      </c>
      <c r="H46" s="19">
        <f>IF(tbLancamentos[[#This Row],[Descrição]]="","",IFERROR(INDEX(tbAtalhos[Tipo],MATCH(tbLancamentos[[#This Row],[Descrição]],tbAtalhos[Descrição],0))&amp;"","Despesa"))</f>
        <v/>
      </c>
      <c r="I46" s="19">
        <f>IF(tbLancamentos[[#This Row],[Descrição]]="","",IFERROR(INDEX(tbAtalhos[Categoria],MATCH(tbLancamentos[[#This Row],[Descrição]],tbAtalhos[Descrição],0))&amp;"",""))</f>
        <v/>
      </c>
      <c r="J4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6" s="19" t="n"/>
      <c r="M46" s="19">
        <f>IF(tbLancamentos[[#This Row],[Descrição]]="","",IFERROR(INDEX(tbAtalhos[Conta],MATCH(tbLancamentos[[#This Row],[Descrição]],tbAtalhos[Descrição],0))&amp;"",""))</f>
        <v/>
      </c>
      <c r="N46" s="19">
        <f>IF(tbLancamentos[[#This Row],[Descrição]]="","",IFERROR(INDEX(tbAtalhos[Forma de pagamento],MATCH(tbLancamentos[[#This Row],[Descrição]],tbAtalhos[Descrição],0))&amp;"",""))</f>
        <v/>
      </c>
      <c r="O46" s="48" t="n"/>
      <c r="P46" s="19" t="n"/>
      <c r="Q46" s="19" t="n"/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7" t="n"/>
      <c r="C47" s="19" t="n"/>
      <c r="D47" s="20" t="n"/>
      <c r="E47" s="21">
        <f>IF(tbLancamentos[[#This Row],[Descrição]]="","",IFERROR(1/(1/INDEX(tbAtalhos[Valor padrão],MATCH(tbLancamentos[[#This Row],[Descrição]],tbAtalhos[Descrição],0))),""))</f>
        <v/>
      </c>
      <c r="F47" s="47" t="n"/>
      <c r="G47" s="19">
        <f>IF(tbLancamentos[[#This Row],[Descrição]]="","",IF(tbLancamentos[[#This Row],[Tipo]]="Receita","Recebido","Pago"))</f>
        <v/>
      </c>
      <c r="H47" s="19">
        <f>IF(tbLancamentos[[#This Row],[Descrição]]="","",IFERROR(INDEX(tbAtalhos[Tipo],MATCH(tbLancamentos[[#This Row],[Descrição]],tbAtalhos[Descrição],0))&amp;"","Despesa"))</f>
        <v/>
      </c>
      <c r="I47" s="19">
        <f>IF(tbLancamentos[[#This Row],[Descrição]]="","",IFERROR(INDEX(tbAtalhos[Categoria],MATCH(tbLancamentos[[#This Row],[Descrição]],tbAtalhos[Descrição],0))&amp;"",""))</f>
        <v/>
      </c>
      <c r="J4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7" s="19" t="n"/>
      <c r="M47" s="19">
        <f>IF(tbLancamentos[[#This Row],[Descrição]]="","",IFERROR(INDEX(tbAtalhos[Conta],MATCH(tbLancamentos[[#This Row],[Descrição]],tbAtalhos[Descrição],0))&amp;"",""))</f>
        <v/>
      </c>
      <c r="N47" s="19">
        <f>IF(tbLancamentos[[#This Row],[Descrição]]="","",IFERROR(INDEX(tbAtalhos[Forma de pagamento],MATCH(tbLancamentos[[#This Row],[Descrição]],tbAtalhos[Descrição],0))&amp;"",""))</f>
        <v/>
      </c>
      <c r="O47" s="48" t="n"/>
      <c r="P47" s="19" t="n"/>
      <c r="Q47" s="19" t="n"/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7" t="n"/>
      <c r="C48" s="19" t="n"/>
      <c r="D48" s="20" t="n"/>
      <c r="E48" s="21">
        <f>IF(tbLancamentos[[#This Row],[Descrição]]="","",IFERROR(1/(1/INDEX(tbAtalhos[Valor padrão],MATCH(tbLancamentos[[#This Row],[Descrição]],tbAtalhos[Descrição],0))),""))</f>
        <v/>
      </c>
      <c r="F48" s="47" t="n"/>
      <c r="G48" s="19">
        <f>IF(tbLancamentos[[#This Row],[Descrição]]="","",IF(tbLancamentos[[#This Row],[Tipo]]="Receita","Recebido","Pago"))</f>
        <v/>
      </c>
      <c r="H48" s="19">
        <f>IF(tbLancamentos[[#This Row],[Descrição]]="","",IFERROR(INDEX(tbAtalhos[Tipo],MATCH(tbLancamentos[[#This Row],[Descrição]],tbAtalhos[Descrição],0))&amp;"","Despesa"))</f>
        <v/>
      </c>
      <c r="I48" s="19">
        <f>IF(tbLancamentos[[#This Row],[Descrição]]="","",IFERROR(INDEX(tbAtalhos[Categoria],MATCH(tbLancamentos[[#This Row],[Descrição]],tbAtalhos[Descrição],0))&amp;"",""))</f>
        <v/>
      </c>
      <c r="J4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8" s="19" t="n"/>
      <c r="M48" s="19">
        <f>IF(tbLancamentos[[#This Row],[Descrição]]="","",IFERROR(INDEX(tbAtalhos[Conta],MATCH(tbLancamentos[[#This Row],[Descrição]],tbAtalhos[Descrição],0))&amp;"",""))</f>
        <v/>
      </c>
      <c r="N48" s="19">
        <f>IF(tbLancamentos[[#This Row],[Descrição]]="","",IFERROR(INDEX(tbAtalhos[Forma de pagamento],MATCH(tbLancamentos[[#This Row],[Descrição]],tbAtalhos[Descrição],0))&amp;"",""))</f>
        <v/>
      </c>
      <c r="O48" s="48" t="n"/>
      <c r="P48" s="19" t="n"/>
      <c r="Q48" s="19" t="n"/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7" t="n"/>
      <c r="C49" s="19" t="n"/>
      <c r="D49" s="20" t="n"/>
      <c r="E49" s="21">
        <f>IF(tbLancamentos[[#This Row],[Descrição]]="","",IFERROR(1/(1/INDEX(tbAtalhos[Valor padrão],MATCH(tbLancamentos[[#This Row],[Descrição]],tbAtalhos[Descrição],0))),""))</f>
        <v/>
      </c>
      <c r="F49" s="47" t="n"/>
      <c r="G49" s="19">
        <f>IF(tbLancamentos[[#This Row],[Descrição]]="","",IF(tbLancamentos[[#This Row],[Tipo]]="Receita","Recebido","Pago"))</f>
        <v/>
      </c>
      <c r="H49" s="19">
        <f>IF(tbLancamentos[[#This Row],[Descrição]]="","",IFERROR(INDEX(tbAtalhos[Tipo],MATCH(tbLancamentos[[#This Row],[Descrição]],tbAtalhos[Descrição],0))&amp;"","Despesa"))</f>
        <v/>
      </c>
      <c r="I49" s="19">
        <f>IF(tbLancamentos[[#This Row],[Descrição]]="","",IFERROR(INDEX(tbAtalhos[Categoria],MATCH(tbLancamentos[[#This Row],[Descrição]],tbAtalhos[Descrição],0))&amp;"",""))</f>
        <v/>
      </c>
      <c r="J4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4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49" s="19" t="n"/>
      <c r="M49" s="19">
        <f>IF(tbLancamentos[[#This Row],[Descrição]]="","",IFERROR(INDEX(tbAtalhos[Conta],MATCH(tbLancamentos[[#This Row],[Descrição]],tbAtalhos[Descrição],0))&amp;"",""))</f>
        <v/>
      </c>
      <c r="N49" s="19">
        <f>IF(tbLancamentos[[#This Row],[Descrição]]="","",IFERROR(INDEX(tbAtalhos[Forma de pagamento],MATCH(tbLancamentos[[#This Row],[Descrição]],tbAtalhos[Descrição],0))&amp;"",""))</f>
        <v/>
      </c>
      <c r="O49" s="48" t="n"/>
      <c r="P49" s="19" t="n"/>
      <c r="Q49" s="19" t="n"/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7" t="n"/>
      <c r="C50" s="19" t="n"/>
      <c r="D50" s="20" t="n"/>
      <c r="E50" s="21">
        <f>IF(tbLancamentos[[#This Row],[Descrição]]="","",IFERROR(1/(1/INDEX(tbAtalhos[Valor padrão],MATCH(tbLancamentos[[#This Row],[Descrição]],tbAtalhos[Descrição],0))),""))</f>
        <v/>
      </c>
      <c r="F50" s="47" t="n"/>
      <c r="G50" s="19">
        <f>IF(tbLancamentos[[#This Row],[Descrição]]="","",IF(tbLancamentos[[#This Row],[Tipo]]="Receita","Recebido","Pago"))</f>
        <v/>
      </c>
      <c r="H50" s="19">
        <f>IF(tbLancamentos[[#This Row],[Descrição]]="","",IFERROR(INDEX(tbAtalhos[Tipo],MATCH(tbLancamentos[[#This Row],[Descrição]],tbAtalhos[Descrição],0))&amp;"","Despesa"))</f>
        <v/>
      </c>
      <c r="I50" s="19">
        <f>IF(tbLancamentos[[#This Row],[Descrição]]="","",IFERROR(INDEX(tbAtalhos[Categoria],MATCH(tbLancamentos[[#This Row],[Descrição]],tbAtalhos[Descrição],0))&amp;"",""))</f>
        <v/>
      </c>
      <c r="J5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0" s="19" t="n"/>
      <c r="M50" s="19">
        <f>IF(tbLancamentos[[#This Row],[Descrição]]="","",IFERROR(INDEX(tbAtalhos[Conta],MATCH(tbLancamentos[[#This Row],[Descrição]],tbAtalhos[Descrição],0))&amp;"",""))</f>
        <v/>
      </c>
      <c r="N50" s="19">
        <f>IF(tbLancamentos[[#This Row],[Descrição]]="","",IFERROR(INDEX(tbAtalhos[Forma de pagamento],MATCH(tbLancamentos[[#This Row],[Descrição]],tbAtalhos[Descrição],0))&amp;"",""))</f>
        <v/>
      </c>
      <c r="O50" s="48" t="n"/>
      <c r="P50" s="19" t="n"/>
      <c r="Q50" s="19" t="n"/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7" t="n"/>
      <c r="C51" s="19" t="n"/>
      <c r="D51" s="20" t="n"/>
      <c r="E51" s="21">
        <f>IF(tbLancamentos[[#This Row],[Descrição]]="","",IFERROR(1/(1/INDEX(tbAtalhos[Valor padrão],MATCH(tbLancamentos[[#This Row],[Descrição]],tbAtalhos[Descrição],0))),""))</f>
        <v/>
      </c>
      <c r="F51" s="47" t="n"/>
      <c r="G51" s="19">
        <f>IF(tbLancamentos[[#This Row],[Descrição]]="","",IF(tbLancamentos[[#This Row],[Tipo]]="Receita","Recebido","Pago"))</f>
        <v/>
      </c>
      <c r="H51" s="19">
        <f>IF(tbLancamentos[[#This Row],[Descrição]]="","",IFERROR(INDEX(tbAtalhos[Tipo],MATCH(tbLancamentos[[#This Row],[Descrição]],tbAtalhos[Descrição],0))&amp;"","Despesa"))</f>
        <v/>
      </c>
      <c r="I51" s="19">
        <f>IF(tbLancamentos[[#This Row],[Descrição]]="","",IFERROR(INDEX(tbAtalhos[Categoria],MATCH(tbLancamentos[[#This Row],[Descrição]],tbAtalhos[Descrição],0))&amp;"",""))</f>
        <v/>
      </c>
      <c r="J5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1" s="19" t="n"/>
      <c r="M51" s="19">
        <f>IF(tbLancamentos[[#This Row],[Descrição]]="","",IFERROR(INDEX(tbAtalhos[Conta],MATCH(tbLancamentos[[#This Row],[Descrição]],tbAtalhos[Descrição],0))&amp;"",""))</f>
        <v/>
      </c>
      <c r="N51" s="19">
        <f>IF(tbLancamentos[[#This Row],[Descrição]]="","",IFERROR(INDEX(tbAtalhos[Forma de pagamento],MATCH(tbLancamentos[[#This Row],[Descrição]],tbAtalhos[Descrição],0))&amp;"",""))</f>
        <v/>
      </c>
      <c r="O51" s="48" t="n"/>
      <c r="P51" s="19" t="n"/>
      <c r="Q51" s="19" t="n"/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7" t="n"/>
      <c r="C52" s="19" t="n"/>
      <c r="D52" s="20" t="n"/>
      <c r="E52" s="21">
        <f>IF(tbLancamentos[[#This Row],[Descrição]]="","",IFERROR(1/(1/INDEX(tbAtalhos[Valor padrão],MATCH(tbLancamentos[[#This Row],[Descrição]],tbAtalhos[Descrição],0))),""))</f>
        <v/>
      </c>
      <c r="F52" s="47" t="n"/>
      <c r="G52" s="19">
        <f>IF(tbLancamentos[[#This Row],[Descrição]]="","",IF(tbLancamentos[[#This Row],[Tipo]]="Receita","Recebido","Pago"))</f>
        <v/>
      </c>
      <c r="H52" s="19">
        <f>IF(tbLancamentos[[#This Row],[Descrição]]="","",IFERROR(INDEX(tbAtalhos[Tipo],MATCH(tbLancamentos[[#This Row],[Descrição]],tbAtalhos[Descrição],0))&amp;"","Despesa"))</f>
        <v/>
      </c>
      <c r="I52" s="19">
        <f>IF(tbLancamentos[[#This Row],[Descrição]]="","",IFERROR(INDEX(tbAtalhos[Categoria],MATCH(tbLancamentos[[#This Row],[Descrição]],tbAtalhos[Descrição],0))&amp;"",""))</f>
        <v/>
      </c>
      <c r="J5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2" s="19" t="n"/>
      <c r="M52" s="19">
        <f>IF(tbLancamentos[[#This Row],[Descrição]]="","",IFERROR(INDEX(tbAtalhos[Conta],MATCH(tbLancamentos[[#This Row],[Descrição]],tbAtalhos[Descrição],0))&amp;"",""))</f>
        <v/>
      </c>
      <c r="N52" s="19">
        <f>IF(tbLancamentos[[#This Row],[Descrição]]="","",IFERROR(INDEX(tbAtalhos[Forma de pagamento],MATCH(tbLancamentos[[#This Row],[Descrição]],tbAtalhos[Descrição],0))&amp;"",""))</f>
        <v/>
      </c>
      <c r="O52" s="48" t="n"/>
      <c r="P52" s="19" t="n"/>
      <c r="Q52" s="19" t="n"/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7" t="n"/>
      <c r="C53" s="19" t="n"/>
      <c r="D53" s="20" t="n"/>
      <c r="E53" s="21">
        <f>IF(tbLancamentos[[#This Row],[Descrição]]="","",IFERROR(1/(1/INDEX(tbAtalhos[Valor padrão],MATCH(tbLancamentos[[#This Row],[Descrição]],tbAtalhos[Descrição],0))),""))</f>
        <v/>
      </c>
      <c r="F53" s="47" t="n"/>
      <c r="G53" s="19">
        <f>IF(tbLancamentos[[#This Row],[Descrição]]="","",IF(tbLancamentos[[#This Row],[Tipo]]="Receita","Recebido","Pago"))</f>
        <v/>
      </c>
      <c r="H53" s="19">
        <f>IF(tbLancamentos[[#This Row],[Descrição]]="","",IFERROR(INDEX(tbAtalhos[Tipo],MATCH(tbLancamentos[[#This Row],[Descrição]],tbAtalhos[Descrição],0))&amp;"","Despesa"))</f>
        <v/>
      </c>
      <c r="I53" s="19">
        <f>IF(tbLancamentos[[#This Row],[Descrição]]="","",IFERROR(INDEX(tbAtalhos[Categoria],MATCH(tbLancamentos[[#This Row],[Descrição]],tbAtalhos[Descrição],0))&amp;"",""))</f>
        <v/>
      </c>
      <c r="J5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3" s="19" t="n"/>
      <c r="M53" s="19">
        <f>IF(tbLancamentos[[#This Row],[Descrição]]="","",IFERROR(INDEX(tbAtalhos[Conta],MATCH(tbLancamentos[[#This Row],[Descrição]],tbAtalhos[Descrição],0))&amp;"",""))</f>
        <v/>
      </c>
      <c r="N53" s="19">
        <f>IF(tbLancamentos[[#This Row],[Descrição]]="","",IFERROR(INDEX(tbAtalhos[Forma de pagamento],MATCH(tbLancamentos[[#This Row],[Descrição]],tbAtalhos[Descrição],0))&amp;"",""))</f>
        <v/>
      </c>
      <c r="O53" s="48" t="n"/>
      <c r="P53" s="19" t="n"/>
      <c r="Q53" s="19" t="n"/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7" t="n"/>
      <c r="C54" s="19" t="n"/>
      <c r="D54" s="20" t="n"/>
      <c r="E54" s="21">
        <f>IF(tbLancamentos[[#This Row],[Descrição]]="","",IFERROR(1/(1/INDEX(tbAtalhos[Valor padrão],MATCH(tbLancamentos[[#This Row],[Descrição]],tbAtalhos[Descrição],0))),""))</f>
        <v/>
      </c>
      <c r="F54" s="47" t="n"/>
      <c r="G54" s="19">
        <f>IF(tbLancamentos[[#This Row],[Descrição]]="","",IF(tbLancamentos[[#This Row],[Tipo]]="Receita","Recebido","Pago"))</f>
        <v/>
      </c>
      <c r="H54" s="19">
        <f>IF(tbLancamentos[[#This Row],[Descrição]]="","",IFERROR(INDEX(tbAtalhos[Tipo],MATCH(tbLancamentos[[#This Row],[Descrição]],tbAtalhos[Descrição],0))&amp;"","Despesa"))</f>
        <v/>
      </c>
      <c r="I54" s="19">
        <f>IF(tbLancamentos[[#This Row],[Descrição]]="","",IFERROR(INDEX(tbAtalhos[Categoria],MATCH(tbLancamentos[[#This Row],[Descrição]],tbAtalhos[Descrição],0))&amp;"",""))</f>
        <v/>
      </c>
      <c r="J5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4" s="19" t="n"/>
      <c r="M54" s="19">
        <f>IF(tbLancamentos[[#This Row],[Descrição]]="","",IFERROR(INDEX(tbAtalhos[Conta],MATCH(tbLancamentos[[#This Row],[Descrição]],tbAtalhos[Descrição],0))&amp;"",""))</f>
        <v/>
      </c>
      <c r="N54" s="19">
        <f>IF(tbLancamentos[[#This Row],[Descrição]]="","",IFERROR(INDEX(tbAtalhos[Forma de pagamento],MATCH(tbLancamentos[[#This Row],[Descrição]],tbAtalhos[Descrição],0))&amp;"",""))</f>
        <v/>
      </c>
      <c r="O54" s="48" t="n"/>
      <c r="P54" s="19" t="n"/>
      <c r="Q54" s="19" t="n"/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7" t="n">
        <v>46292</v>
      </c>
      <c r="C55" s="19" t="inlineStr">
        <is>
          <t>Cinema / passeio</t>
        </is>
      </c>
      <c r="D55" s="20" t="n"/>
      <c r="E55" s="21" t="n">
        <v>188</v>
      </c>
      <c r="F55" s="47" t="n"/>
      <c r="G55" s="19" t="inlineStr">
        <is>
          <t>Pago</t>
        </is>
      </c>
      <c r="H55" s="19" t="inlineStr">
        <is>
          <t>Despesa</t>
        </is>
      </c>
      <c r="I55" s="19" t="inlineStr">
        <is>
          <t>Lazer</t>
        </is>
      </c>
      <c r="J55" s="19" t="inlineStr">
        <is>
          <t>Lazer</t>
        </is>
      </c>
      <c r="K55" s="19" t="n"/>
      <c r="L55" s="19" t="n"/>
      <c r="M55" s="19" t="inlineStr">
        <is>
          <t>Conta Nubank</t>
        </is>
      </c>
      <c r="N55" s="19" t="inlineStr">
        <is>
          <t>PIX</t>
        </is>
      </c>
      <c r="O55" s="48" t="n"/>
      <c r="P55" s="19" t="inlineStr">
        <is>
          <t>Cinema</t>
        </is>
      </c>
      <c r="Q55" s="49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7" t="n">
        <v>46285</v>
      </c>
      <c r="C56" s="19" t="inlineStr">
        <is>
          <t>Show no fim de semana</t>
        </is>
      </c>
      <c r="D56" s="20" t="n"/>
      <c r="E56" s="21" t="n">
        <v>540</v>
      </c>
      <c r="F56" s="47" t="n"/>
      <c r="G56" s="19" t="inlineStr">
        <is>
          <t>Pago</t>
        </is>
      </c>
      <c r="H56" s="19" t="inlineStr">
        <is>
          <t>Despesa</t>
        </is>
      </c>
      <c r="I56" s="19" t="inlineStr">
        <is>
          <t>Lazer</t>
        </is>
      </c>
      <c r="J56" s="19" t="inlineStr">
        <is>
          <t>Lazer</t>
        </is>
      </c>
      <c r="K56" s="19" t="n"/>
      <c r="L56" s="19" t="n"/>
      <c r="M56" s="19" t="inlineStr">
        <is>
          <t>Cartão Nubank</t>
        </is>
      </c>
      <c r="N56" s="19" t="inlineStr">
        <is>
          <t>Cartão de crédito</t>
        </is>
      </c>
      <c r="O56" s="48" t="n"/>
      <c r="P56" s="19" t="inlineStr">
        <is>
          <t>Hobbies</t>
        </is>
      </c>
      <c r="Q56" s="49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7" t="n">
        <v>46280</v>
      </c>
      <c r="C57" s="19" t="inlineStr">
        <is>
          <t>Combustível</t>
        </is>
      </c>
      <c r="D57" s="20" t="n"/>
      <c r="E57" s="21" t="n">
        <v>362.8</v>
      </c>
      <c r="F57" s="47" t="n"/>
      <c r="G57" s="19" t="inlineStr">
        <is>
          <t>Pago</t>
        </is>
      </c>
      <c r="H57" s="19" t="inlineStr">
        <is>
          <t>Despesa</t>
        </is>
      </c>
      <c r="I57" s="19" t="inlineStr">
        <is>
          <t>Transporte</t>
        </is>
      </c>
      <c r="J57" s="19" t="inlineStr">
        <is>
          <t>Essenciais</t>
        </is>
      </c>
      <c r="K57" s="19" t="n"/>
      <c r="L57" s="19" t="n"/>
      <c r="M57" s="19" t="inlineStr">
        <is>
          <t>Cartão Itaú</t>
        </is>
      </c>
      <c r="N57" s="19" t="inlineStr">
        <is>
          <t>Cartão de crédito</t>
        </is>
      </c>
      <c r="O57" s="48" t="n"/>
      <c r="P57" s="19" t="inlineStr">
        <is>
          <t>Combustível</t>
        </is>
      </c>
      <c r="Q57" s="49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7" t="n">
        <v>46278</v>
      </c>
      <c r="C58" s="19" t="inlineStr">
        <is>
          <t>Aniversário — restaurante</t>
        </is>
      </c>
      <c r="D58" s="20" t="n"/>
      <c r="E58" s="21" t="n">
        <v>412</v>
      </c>
      <c r="F58" s="47" t="n"/>
      <c r="G58" s="19" t="inlineStr">
        <is>
          <t>Pago</t>
        </is>
      </c>
      <c r="H58" s="19" t="inlineStr">
        <is>
          <t>Despesa</t>
        </is>
      </c>
      <c r="I58" s="19" t="inlineStr">
        <is>
          <t>Restaurantes e delivery</t>
        </is>
      </c>
      <c r="J58" s="19" t="inlineStr">
        <is>
          <t>Lazer</t>
        </is>
      </c>
      <c r="K58" s="19" t="n"/>
      <c r="L58" s="19" t="n"/>
      <c r="M58" s="19" t="inlineStr">
        <is>
          <t>Cartão Itaú</t>
        </is>
      </c>
      <c r="N58" s="19" t="inlineStr">
        <is>
          <t>Cartão de crédito</t>
        </is>
      </c>
      <c r="O58" s="48" t="n"/>
      <c r="P58" s="19" t="inlineStr">
        <is>
          <t>Restaurante</t>
        </is>
      </c>
      <c r="Q58" s="49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7" t="n">
        <v>46277</v>
      </c>
      <c r="C59" s="19" t="inlineStr">
        <is>
          <t>Streaming + academia</t>
        </is>
      </c>
      <c r="D59" s="20" t="n"/>
      <c r="E59" s="21" t="n">
        <v>174.8</v>
      </c>
      <c r="F59" s="47" t="n"/>
      <c r="G59" s="19" t="inlineStr">
        <is>
          <t>Pago</t>
        </is>
      </c>
      <c r="H59" s="19" t="inlineStr">
        <is>
          <t>Despesa</t>
        </is>
      </c>
      <c r="I59" s="19" t="inlineStr">
        <is>
          <t>Assinaturas</t>
        </is>
      </c>
      <c r="J59" s="19" t="inlineStr">
        <is>
          <t>Essenciais</t>
        </is>
      </c>
      <c r="K59" s="19" t="n"/>
      <c r="L59" s="19" t="n"/>
      <c r="M59" s="19" t="inlineStr">
        <is>
          <t>Cartão Nubank</t>
        </is>
      </c>
      <c r="N59" s="19" t="inlineStr">
        <is>
          <t>Cartão de crédito</t>
        </is>
      </c>
      <c r="O59" s="48" t="n"/>
      <c r="P59" s="19" t="inlineStr">
        <is>
          <t>Streaming</t>
        </is>
      </c>
      <c r="Q59" s="49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7" t="n">
        <v>46275</v>
      </c>
      <c r="C60" s="19" t="inlineStr">
        <is>
          <t>Conta de energia</t>
        </is>
      </c>
      <c r="D60" s="20" t="n"/>
      <c r="E60" s="21" t="n">
        <v>347.1</v>
      </c>
      <c r="F60" s="47" t="n"/>
      <c r="G60" s="19" t="inlineStr">
        <is>
          <t>Pago</t>
        </is>
      </c>
      <c r="H60" s="19" t="inlineStr">
        <is>
          <t>Despesa</t>
        </is>
      </c>
      <c r="I60" s="19" t="inlineStr">
        <is>
          <t>Contas da casa</t>
        </is>
      </c>
      <c r="J60" s="19" t="inlineStr">
        <is>
          <t>Essenciais</t>
        </is>
      </c>
      <c r="K60" s="19" t="n"/>
      <c r="L60" s="19" t="n"/>
      <c r="M60" s="19" t="inlineStr">
        <is>
          <t>Conta corrente Itaú</t>
        </is>
      </c>
      <c r="N60" s="19" t="inlineStr">
        <is>
          <t>Débito automático</t>
        </is>
      </c>
      <c r="O60" s="48" t="n"/>
      <c r="P60" s="19" t="inlineStr">
        <is>
          <t>Energia</t>
        </is>
      </c>
      <c r="Q60" s="49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7" t="n">
        <v>46275</v>
      </c>
      <c r="C61" s="19" t="inlineStr">
        <is>
          <t>Aluguel do apartamento</t>
        </is>
      </c>
      <c r="D61" s="20" t="n"/>
      <c r="E61" s="21" t="n">
        <v>2350</v>
      </c>
      <c r="F61" s="47" t="n"/>
      <c r="G61" s="19" t="inlineStr">
        <is>
          <t>Pago</t>
        </is>
      </c>
      <c r="H61" s="19" t="inlineStr">
        <is>
          <t>Despesa</t>
        </is>
      </c>
      <c r="I61" s="19" t="inlineStr">
        <is>
          <t>Moradia</t>
        </is>
      </c>
      <c r="J61" s="19" t="inlineStr">
        <is>
          <t>Essenciais</t>
        </is>
      </c>
      <c r="K61" s="19" t="n"/>
      <c r="L61" s="19" t="n"/>
      <c r="M61" s="19" t="inlineStr">
        <is>
          <t>Conta corrente Itaú</t>
        </is>
      </c>
      <c r="N61" s="19" t="inlineStr">
        <is>
          <t>Boleto</t>
        </is>
      </c>
      <c r="O61" s="48" t="n"/>
      <c r="P61" s="19" t="inlineStr">
        <is>
          <t>Aluguel/Financiamento</t>
        </is>
      </c>
      <c r="Q61" s="49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7" t="n">
        <v>46273</v>
      </c>
      <c r="C62" s="19" t="inlineStr">
        <is>
          <t>Mensalidade escolar</t>
        </is>
      </c>
      <c r="D62" s="20" t="n"/>
      <c r="E62" s="21" t="n">
        <v>1450</v>
      </c>
      <c r="F62" s="47" t="n"/>
      <c r="G62" s="19" t="inlineStr">
        <is>
          <t>Pago</t>
        </is>
      </c>
      <c r="H62" s="19" t="inlineStr">
        <is>
          <t>Despesa</t>
        </is>
      </c>
      <c r="I62" s="19" t="inlineStr">
        <is>
          <t>Educação</t>
        </is>
      </c>
      <c r="J62" s="19" t="inlineStr">
        <is>
          <t>Essenciais</t>
        </is>
      </c>
      <c r="K62" s="19" t="n"/>
      <c r="L62" s="19" t="n"/>
      <c r="M62" s="19" t="inlineStr">
        <is>
          <t>Conta corrente Itaú</t>
        </is>
      </c>
      <c r="N62" s="19" t="inlineStr">
        <is>
          <t>Boleto</t>
        </is>
      </c>
      <c r="O62" s="48" t="n"/>
      <c r="P62" s="19" t="inlineStr">
        <is>
          <t>Escola</t>
        </is>
      </c>
      <c r="Q62" s="49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7" t="n">
        <v>46272</v>
      </c>
      <c r="C63" s="19" t="inlineStr">
        <is>
          <t>Mercado do mês</t>
        </is>
      </c>
      <c r="D63" s="20" t="n"/>
      <c r="E63" s="21" t="n">
        <v>934.1799999999999</v>
      </c>
      <c r="F63" s="47" t="n"/>
      <c r="G63" s="19" t="inlineStr">
        <is>
          <t>Pago</t>
        </is>
      </c>
      <c r="H63" s="19" t="inlineStr">
        <is>
          <t>Despesa</t>
        </is>
      </c>
      <c r="I63" s="19" t="inlineStr">
        <is>
          <t>Alimentação</t>
        </is>
      </c>
      <c r="J63" s="19" t="inlineStr">
        <is>
          <t>Essenciais</t>
        </is>
      </c>
      <c r="K63" s="19" t="n"/>
      <c r="L63" s="19" t="n"/>
      <c r="M63" s="19" t="inlineStr">
        <is>
          <t>Cartão Nubank</t>
        </is>
      </c>
      <c r="N63" s="19" t="inlineStr">
        <is>
          <t>Cartão de crédito</t>
        </is>
      </c>
      <c r="O63" s="48" t="n"/>
      <c r="P63" s="19" t="inlineStr">
        <is>
          <t>Mercado</t>
        </is>
      </c>
      <c r="Q63" s="49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7" t="n">
        <v>46270</v>
      </c>
      <c r="C64" s="19" t="inlineStr">
        <is>
          <t>Salário — cônjuge</t>
        </is>
      </c>
      <c r="D64" s="20" t="n"/>
      <c r="E64" s="21" t="n">
        <v>5200</v>
      </c>
      <c r="F64" s="47" t="n"/>
      <c r="G64" s="19" t="inlineStr">
        <is>
          <t>Recebido</t>
        </is>
      </c>
      <c r="H64" s="19" t="inlineStr">
        <is>
          <t>Receita</t>
        </is>
      </c>
      <c r="I64" s="19" t="inlineStr">
        <is>
          <t>Salário</t>
        </is>
      </c>
      <c r="J64" s="19" t="n"/>
      <c r="K64" s="19" t="n"/>
      <c r="L64" s="19" t="n"/>
      <c r="M64" s="19" t="inlineStr">
        <is>
          <t>Conta Nubank</t>
        </is>
      </c>
      <c r="N64" s="19" t="inlineStr">
        <is>
          <t>Transferência</t>
        </is>
      </c>
      <c r="O64" s="48" t="n"/>
      <c r="P64" s="19" t="inlineStr">
        <is>
          <t>Mensal</t>
        </is>
      </c>
      <c r="Q64" s="49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7" t="n">
        <v>46270</v>
      </c>
      <c r="C65" s="19" t="inlineStr">
        <is>
          <t>Salário — titular</t>
        </is>
      </c>
      <c r="D65" s="20" t="n"/>
      <c r="E65" s="21" t="n">
        <v>7800</v>
      </c>
      <c r="F65" s="47" t="n"/>
      <c r="G65" s="19" t="inlineStr">
        <is>
          <t>Recebido</t>
        </is>
      </c>
      <c r="H65" s="19" t="inlineStr">
        <is>
          <t>Receita</t>
        </is>
      </c>
      <c r="I65" s="19" t="inlineStr">
        <is>
          <t>Salário</t>
        </is>
      </c>
      <c r="J65" s="19" t="n"/>
      <c r="K65" s="19" t="n"/>
      <c r="L65" s="19" t="n"/>
      <c r="M65" s="19" t="inlineStr">
        <is>
          <t>Conta corrente Itaú</t>
        </is>
      </c>
      <c r="N65" s="19" t="inlineStr">
        <is>
          <t>Transferência</t>
        </is>
      </c>
      <c r="O65" s="48" t="n"/>
      <c r="P65" s="19" t="inlineStr">
        <is>
          <t>Mensal</t>
        </is>
      </c>
      <c r="Q65" s="49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7" t="n">
        <v>46268</v>
      </c>
      <c r="C66" s="19" t="inlineStr">
        <is>
          <t>Plano de saúde familiar</t>
        </is>
      </c>
      <c r="D66" s="20" t="n"/>
      <c r="E66" s="21" t="n">
        <v>890</v>
      </c>
      <c r="F66" s="47" t="n"/>
      <c r="G66" s="19" t="inlineStr">
        <is>
          <t>Pago</t>
        </is>
      </c>
      <c r="H66" s="19" t="inlineStr">
        <is>
          <t>Despesa</t>
        </is>
      </c>
      <c r="I66" s="19" t="inlineStr">
        <is>
          <t>Saúde</t>
        </is>
      </c>
      <c r="J66" s="19" t="inlineStr">
        <is>
          <t>Essenciais</t>
        </is>
      </c>
      <c r="K66" s="19" t="n"/>
      <c r="L66" s="19" t="n"/>
      <c r="M66" s="19" t="inlineStr">
        <is>
          <t>Conta corrente Itaú</t>
        </is>
      </c>
      <c r="N66" s="19" t="inlineStr">
        <is>
          <t>Débito automático</t>
        </is>
      </c>
      <c r="O66" s="48" t="n"/>
      <c r="P66" s="19" t="inlineStr">
        <is>
          <t>Plano de saúde</t>
        </is>
      </c>
      <c r="Q66" s="49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7" t="n">
        <v>46261</v>
      </c>
      <c r="C67" s="19" t="inlineStr">
        <is>
          <t>Cinema / passeio</t>
        </is>
      </c>
      <c r="D67" s="20" t="n"/>
      <c r="E67" s="21" t="n">
        <v>96</v>
      </c>
      <c r="F67" s="47" t="n"/>
      <c r="G67" s="19" t="inlineStr">
        <is>
          <t>Pago</t>
        </is>
      </c>
      <c r="H67" s="19" t="inlineStr">
        <is>
          <t>Despesa</t>
        </is>
      </c>
      <c r="I67" s="19" t="inlineStr">
        <is>
          <t>Lazer</t>
        </is>
      </c>
      <c r="J67" s="19" t="inlineStr">
        <is>
          <t>Lazer</t>
        </is>
      </c>
      <c r="K67" s="19" t="n"/>
      <c r="L67" s="19" t="n"/>
      <c r="M67" s="19" t="inlineStr">
        <is>
          <t>Conta Nubank</t>
        </is>
      </c>
      <c r="N67" s="19" t="inlineStr">
        <is>
          <t>PIX</t>
        </is>
      </c>
      <c r="O67" s="48" t="n"/>
      <c r="P67" s="19" t="inlineStr">
        <is>
          <t>Cinema</t>
        </is>
      </c>
      <c r="Q67" s="49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7" t="n">
        <v>46256</v>
      </c>
      <c r="C68" s="19" t="inlineStr">
        <is>
          <t>Material escolar 2º semestre</t>
        </is>
      </c>
      <c r="D68" s="20" t="n"/>
      <c r="E68" s="21" t="n">
        <v>356.7</v>
      </c>
      <c r="F68" s="47" t="n"/>
      <c r="G68" s="19" t="inlineStr">
        <is>
          <t>Pago</t>
        </is>
      </c>
      <c r="H68" s="19" t="inlineStr">
        <is>
          <t>Despesa</t>
        </is>
      </c>
      <c r="I68" s="19" t="inlineStr">
        <is>
          <t>Educação</t>
        </is>
      </c>
      <c r="J68" s="19" t="inlineStr">
        <is>
          <t>Essenciais</t>
        </is>
      </c>
      <c r="K68" s="19" t="n"/>
      <c r="L68" s="19" t="n"/>
      <c r="M68" s="19" t="inlineStr">
        <is>
          <t>Cartão Nubank</t>
        </is>
      </c>
      <c r="N68" s="19" t="inlineStr">
        <is>
          <t>Cartão de crédito</t>
        </is>
      </c>
      <c r="O68" s="48" t="n"/>
      <c r="P68" s="19" t="inlineStr">
        <is>
          <t>Material escolar</t>
        </is>
      </c>
      <c r="Q68" s="49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7" t="n">
        <v>46249</v>
      </c>
      <c r="C69" s="19" t="inlineStr">
        <is>
          <t>Combustível</t>
        </is>
      </c>
      <c r="D69" s="20" t="n"/>
      <c r="E69" s="21" t="n">
        <v>305.4</v>
      </c>
      <c r="F69" s="47" t="n"/>
      <c r="G69" s="19" t="inlineStr">
        <is>
          <t>Pago</t>
        </is>
      </c>
      <c r="H69" s="19" t="inlineStr">
        <is>
          <t>Despesa</t>
        </is>
      </c>
      <c r="I69" s="19" t="inlineStr">
        <is>
          <t>Transporte</t>
        </is>
      </c>
      <c r="J69" s="19" t="inlineStr">
        <is>
          <t>Essenciais</t>
        </is>
      </c>
      <c r="K69" s="19" t="n"/>
      <c r="L69" s="19" t="n"/>
      <c r="M69" s="19" t="inlineStr">
        <is>
          <t>Cartão Itaú</t>
        </is>
      </c>
      <c r="N69" s="19" t="inlineStr">
        <is>
          <t>Cartão de crédito</t>
        </is>
      </c>
      <c r="O69" s="48" t="n"/>
      <c r="P69" s="19" t="inlineStr">
        <is>
          <t>Combustível</t>
        </is>
      </c>
      <c r="Q69" s="49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7" t="n">
        <v>46246</v>
      </c>
      <c r="C70" s="19" t="inlineStr">
        <is>
          <t>Streaming + academia</t>
        </is>
      </c>
      <c r="D70" s="20" t="n"/>
      <c r="E70" s="21" t="n">
        <v>174.8</v>
      </c>
      <c r="F70" s="47" t="n"/>
      <c r="G70" s="19" t="inlineStr">
        <is>
          <t>Pago</t>
        </is>
      </c>
      <c r="H70" s="19" t="inlineStr">
        <is>
          <t>Despesa</t>
        </is>
      </c>
      <c r="I70" s="19" t="inlineStr">
        <is>
          <t>Assinaturas</t>
        </is>
      </c>
      <c r="J70" s="19" t="inlineStr">
        <is>
          <t>Essenciais</t>
        </is>
      </c>
      <c r="K70" s="19" t="n"/>
      <c r="L70" s="19" t="n"/>
      <c r="M70" s="19" t="inlineStr">
        <is>
          <t>Cartão Nubank</t>
        </is>
      </c>
      <c r="N70" s="19" t="inlineStr">
        <is>
          <t>Cartão de crédito</t>
        </is>
      </c>
      <c r="O70" s="48" t="n"/>
      <c r="P70" s="19" t="inlineStr">
        <is>
          <t>Streaming</t>
        </is>
      </c>
      <c r="Q70" s="49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7" t="n">
        <v>46244</v>
      </c>
      <c r="C71" s="19" t="inlineStr">
        <is>
          <t>Conta de energia</t>
        </is>
      </c>
      <c r="D71" s="20" t="n"/>
      <c r="E71" s="21" t="n">
        <v>329.64</v>
      </c>
      <c r="F71" s="47" t="n"/>
      <c r="G71" s="19" t="inlineStr">
        <is>
          <t>Pago</t>
        </is>
      </c>
      <c r="H71" s="19" t="inlineStr">
        <is>
          <t>Despesa</t>
        </is>
      </c>
      <c r="I71" s="19" t="inlineStr">
        <is>
          <t>Contas da casa</t>
        </is>
      </c>
      <c r="J71" s="19" t="inlineStr">
        <is>
          <t>Essenciais</t>
        </is>
      </c>
      <c r="K71" s="19" t="n"/>
      <c r="L71" s="19" t="n"/>
      <c r="M71" s="19" t="inlineStr">
        <is>
          <t>Conta corrente Itaú</t>
        </is>
      </c>
      <c r="N71" s="19" t="inlineStr">
        <is>
          <t>Débito automático</t>
        </is>
      </c>
      <c r="O71" s="48" t="n"/>
      <c r="P71" s="19" t="inlineStr">
        <is>
          <t>Energia</t>
        </is>
      </c>
      <c r="Q71" s="49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7" t="n">
        <v>46244</v>
      </c>
      <c r="C72" s="19" t="inlineStr">
        <is>
          <t>Aluguel do apartamento</t>
        </is>
      </c>
      <c r="D72" s="20" t="n"/>
      <c r="E72" s="21" t="n">
        <v>2350</v>
      </c>
      <c r="F72" s="47" t="n"/>
      <c r="G72" s="19" t="inlineStr">
        <is>
          <t>Pago</t>
        </is>
      </c>
      <c r="H72" s="19" t="inlineStr">
        <is>
          <t>Despesa</t>
        </is>
      </c>
      <c r="I72" s="19" t="inlineStr">
        <is>
          <t>Moradia</t>
        </is>
      </c>
      <c r="J72" s="19" t="inlineStr">
        <is>
          <t>Essenciais</t>
        </is>
      </c>
      <c r="K72" s="19" t="n"/>
      <c r="L72" s="19" t="n"/>
      <c r="M72" s="19" t="inlineStr">
        <is>
          <t>Conta corrente Itaú</t>
        </is>
      </c>
      <c r="N72" s="19" t="inlineStr">
        <is>
          <t>Boleto</t>
        </is>
      </c>
      <c r="O72" s="48" t="n"/>
      <c r="P72" s="19" t="inlineStr">
        <is>
          <t>Aluguel/Financiamento</t>
        </is>
      </c>
      <c r="Q72" s="49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7" t="n">
        <v>46243</v>
      </c>
      <c r="C73" s="19" t="inlineStr">
        <is>
          <t>Projeto freelance — logo</t>
        </is>
      </c>
      <c r="D73" s="20" t="n"/>
      <c r="E73" s="21" t="n">
        <v>2400</v>
      </c>
      <c r="F73" s="47" t="n"/>
      <c r="G73" s="19" t="inlineStr">
        <is>
          <t>Recebido</t>
        </is>
      </c>
      <c r="H73" s="19" t="inlineStr">
        <is>
          <t>Receita</t>
        </is>
      </c>
      <c r="I73" s="19" t="inlineStr">
        <is>
          <t>Freelance / Extras</t>
        </is>
      </c>
      <c r="J73" s="19" t="n"/>
      <c r="K73" s="19" t="n"/>
      <c r="L73" s="19" t="n"/>
      <c r="M73" s="19" t="inlineStr">
        <is>
          <t>Conta Nubank</t>
        </is>
      </c>
      <c r="N73" s="19" t="inlineStr">
        <is>
          <t>PIX</t>
        </is>
      </c>
      <c r="O73" s="48" t="n"/>
      <c r="P73" s="19" t="inlineStr">
        <is>
          <t>Projeto</t>
        </is>
      </c>
      <c r="Q73" s="49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7" t="n">
        <v>46242</v>
      </c>
      <c r="C74" s="19" t="inlineStr">
        <is>
          <t>Mensalidade escolar</t>
        </is>
      </c>
      <c r="D74" s="20" t="n"/>
      <c r="E74" s="21" t="n">
        <v>1450</v>
      </c>
      <c r="F74" s="47" t="n"/>
      <c r="G74" s="19" t="inlineStr">
        <is>
          <t>Pago</t>
        </is>
      </c>
      <c r="H74" s="19" t="inlineStr">
        <is>
          <t>Despesa</t>
        </is>
      </c>
      <c r="I74" s="19" t="inlineStr">
        <is>
          <t>Educação</t>
        </is>
      </c>
      <c r="J74" s="19" t="inlineStr">
        <is>
          <t>Essenciais</t>
        </is>
      </c>
      <c r="K74" s="19" t="n"/>
      <c r="L74" s="19" t="n"/>
      <c r="M74" s="19" t="inlineStr">
        <is>
          <t>Conta corrente Itaú</t>
        </is>
      </c>
      <c r="N74" s="19" t="inlineStr">
        <is>
          <t>Boleto</t>
        </is>
      </c>
      <c r="O74" s="48" t="n"/>
      <c r="P74" s="19" t="inlineStr">
        <is>
          <t>Escola</t>
        </is>
      </c>
      <c r="Q74" s="49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7" t="n">
        <v>46241</v>
      </c>
      <c r="C75" s="19" t="inlineStr">
        <is>
          <t>Mercado do mês</t>
        </is>
      </c>
      <c r="D75" s="20" t="n"/>
      <c r="E75" s="21" t="n">
        <v>876.9</v>
      </c>
      <c r="F75" s="47" t="n"/>
      <c r="G75" s="19" t="inlineStr">
        <is>
          <t>Pago</t>
        </is>
      </c>
      <c r="H75" s="19" t="inlineStr">
        <is>
          <t>Despesa</t>
        </is>
      </c>
      <c r="I75" s="19" t="inlineStr">
        <is>
          <t>Alimentação</t>
        </is>
      </c>
      <c r="J75" s="19" t="inlineStr">
        <is>
          <t>Essenciais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8" t="n"/>
      <c r="P75" s="19" t="inlineStr">
        <is>
          <t>Mercado</t>
        </is>
      </c>
      <c r="Q75" s="49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7" t="n">
        <v>46239</v>
      </c>
      <c r="C76" s="19" t="inlineStr">
        <is>
          <t>Salário — cônjuge</t>
        </is>
      </c>
      <c r="D76" s="20" t="n"/>
      <c r="E76" s="21" t="n">
        <v>5200</v>
      </c>
      <c r="F76" s="47" t="n"/>
      <c r="G76" s="19" t="inlineStr">
        <is>
          <t>Recebido</t>
        </is>
      </c>
      <c r="H76" s="19" t="inlineStr">
        <is>
          <t>Receita</t>
        </is>
      </c>
      <c r="I76" s="19" t="inlineStr">
        <is>
          <t>Salário</t>
        </is>
      </c>
      <c r="J76" s="19" t="n"/>
      <c r="K76" s="19" t="n"/>
      <c r="L76" s="19" t="n"/>
      <c r="M76" s="19" t="inlineStr">
        <is>
          <t>Conta Nubank</t>
        </is>
      </c>
      <c r="N76" s="19" t="inlineStr">
        <is>
          <t>Transferência</t>
        </is>
      </c>
      <c r="O76" s="48" t="n"/>
      <c r="P76" s="19" t="inlineStr">
        <is>
          <t>Mensal</t>
        </is>
      </c>
      <c r="Q76" s="49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7" t="n">
        <v>46239</v>
      </c>
      <c r="C77" s="19" t="inlineStr">
        <is>
          <t>Salário — titular</t>
        </is>
      </c>
      <c r="D77" s="20" t="n"/>
      <c r="E77" s="21" t="n">
        <v>7800</v>
      </c>
      <c r="F77" s="47" t="n"/>
      <c r="G77" s="19" t="inlineStr">
        <is>
          <t>Recebido</t>
        </is>
      </c>
      <c r="H77" s="19" t="inlineStr">
        <is>
          <t>Receita</t>
        </is>
      </c>
      <c r="I77" s="19" t="inlineStr">
        <is>
          <t>Salário</t>
        </is>
      </c>
      <c r="J77" s="19" t="n"/>
      <c r="K77" s="19" t="n"/>
      <c r="L77" s="19" t="n"/>
      <c r="M77" s="19" t="inlineStr">
        <is>
          <t>Conta corrente Itaú</t>
        </is>
      </c>
      <c r="N77" s="19" t="inlineStr">
        <is>
          <t>Transferência</t>
        </is>
      </c>
      <c r="O77" s="48" t="n"/>
      <c r="P77" s="19" t="inlineStr">
        <is>
          <t>Mensal</t>
        </is>
      </c>
      <c r="Q77" s="49" t="inlineStr">
        <is>
          <t>EXEMPLO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7" t="n">
        <v>46237</v>
      </c>
      <c r="C78" s="19" t="inlineStr">
        <is>
          <t>Plano de saúde familiar</t>
        </is>
      </c>
      <c r="D78" s="20" t="n"/>
      <c r="E78" s="21" t="n">
        <v>890</v>
      </c>
      <c r="F78" s="47" t="n"/>
      <c r="G78" s="19" t="inlineStr">
        <is>
          <t>Pago</t>
        </is>
      </c>
      <c r="H78" s="19" t="inlineStr">
        <is>
          <t>Despesa</t>
        </is>
      </c>
      <c r="I78" s="19" t="inlineStr">
        <is>
          <t>Saúde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Débito automático</t>
        </is>
      </c>
      <c r="O78" s="48" t="n"/>
      <c r="P78" s="19" t="inlineStr">
        <is>
          <t>Plano de saúde</t>
        </is>
      </c>
      <c r="Q78" s="49" t="inlineStr">
        <is>
          <t>EXEMPLO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7" t="n">
        <v>46230</v>
      </c>
      <c r="C79" s="19" t="inlineStr">
        <is>
          <t>Cinema / passeio</t>
        </is>
      </c>
      <c r="D79" s="20" t="n"/>
      <c r="E79" s="21" t="n">
        <v>145</v>
      </c>
      <c r="F79" s="47" t="n"/>
      <c r="G79" s="19" t="inlineStr">
        <is>
          <t>Pago</t>
        </is>
      </c>
      <c r="H79" s="19" t="inlineStr">
        <is>
          <t>Despesa</t>
        </is>
      </c>
      <c r="I79" s="19" t="inlineStr">
        <is>
          <t>Lazer</t>
        </is>
      </c>
      <c r="J79" s="19" t="inlineStr">
        <is>
          <t>Lazer</t>
        </is>
      </c>
      <c r="K79" s="19" t="n"/>
      <c r="L79" s="19" t="n"/>
      <c r="M79" s="19" t="inlineStr">
        <is>
          <t>Conta Nubank</t>
        </is>
      </c>
      <c r="N79" s="19" t="inlineStr">
        <is>
          <t>PIX</t>
        </is>
      </c>
      <c r="O79" s="48" t="n"/>
      <c r="P79" s="19" t="inlineStr">
        <is>
          <t>Cinema</t>
        </is>
      </c>
      <c r="Q79" s="49" t="inlineStr">
        <is>
          <t>EXEMPLO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7" t="n">
        <v>46222</v>
      </c>
      <c r="C80" s="19" t="inlineStr">
        <is>
          <t>Reembolso plano de saúde</t>
        </is>
      </c>
      <c r="D80" s="20" t="n"/>
      <c r="E80" s="21" t="n">
        <v>320</v>
      </c>
      <c r="F80" s="47" t="n"/>
      <c r="G80" s="19" t="inlineStr">
        <is>
          <t>Recebido</t>
        </is>
      </c>
      <c r="H80" s="19" t="inlineStr">
        <is>
          <t>Receita</t>
        </is>
      </c>
      <c r="I80" s="19" t="inlineStr">
        <is>
          <t>Reembolsos</t>
        </is>
      </c>
      <c r="J80" s="19" t="n"/>
      <c r="K80" s="19" t="n"/>
      <c r="L80" s="19" t="n"/>
      <c r="M80" s="19" t="inlineStr">
        <is>
          <t>Conta corrente Itaú</t>
        </is>
      </c>
      <c r="N80" s="19" t="inlineStr">
        <is>
          <t>Transferência</t>
        </is>
      </c>
      <c r="O80" s="48" t="n"/>
      <c r="P80" s="19" t="inlineStr">
        <is>
          <t>Consulta</t>
        </is>
      </c>
      <c r="Q80" s="49" t="inlineStr">
        <is>
          <t>EXEMPLO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7" t="n">
        <v>46218</v>
      </c>
      <c r="C81" s="19" t="inlineStr">
        <is>
          <t>Combustível</t>
        </is>
      </c>
      <c r="D81" s="20" t="n"/>
      <c r="E81" s="21" t="n">
        <v>398</v>
      </c>
      <c r="F81" s="47" t="n"/>
      <c r="G81" s="19" t="inlineStr">
        <is>
          <t>Pago</t>
        </is>
      </c>
      <c r="H81" s="19" t="inlineStr">
        <is>
          <t>Despesa</t>
        </is>
      </c>
      <c r="I81" s="19" t="inlineStr">
        <is>
          <t>Transporte</t>
        </is>
      </c>
      <c r="J81" s="19" t="inlineStr">
        <is>
          <t>Essenciais</t>
        </is>
      </c>
      <c r="K81" s="19" t="n"/>
      <c r="L81" s="19" t="n"/>
      <c r="M81" s="19" t="inlineStr">
        <is>
          <t>Cartão Itaú</t>
        </is>
      </c>
      <c r="N81" s="19" t="inlineStr">
        <is>
          <t>Cartão de crédito</t>
        </is>
      </c>
      <c r="O81" s="48" t="n"/>
      <c r="P81" s="19" t="inlineStr">
        <is>
          <t>Combustível</t>
        </is>
      </c>
      <c r="Q81" s="49" t="inlineStr">
        <is>
          <t>EXEMPLO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7" t="n">
        <v>46215</v>
      </c>
      <c r="C82" s="19" t="inlineStr">
        <is>
          <t>Streaming + academia</t>
        </is>
      </c>
      <c r="D82" s="20" t="n"/>
      <c r="E82" s="21" t="n">
        <v>174.8</v>
      </c>
      <c r="F82" s="47" t="n"/>
      <c r="G82" s="19" t="inlineStr">
        <is>
          <t>Pago</t>
        </is>
      </c>
      <c r="H82" s="19" t="inlineStr">
        <is>
          <t>Despesa</t>
        </is>
      </c>
      <c r="I82" s="19" t="inlineStr">
        <is>
          <t>Assinaturas</t>
        </is>
      </c>
      <c r="J82" s="19" t="inlineStr">
        <is>
          <t>Essenciais</t>
        </is>
      </c>
      <c r="K82" s="19" t="n"/>
      <c r="L82" s="19" t="n"/>
      <c r="M82" s="19" t="inlineStr">
        <is>
          <t>Cartão Nubank</t>
        </is>
      </c>
      <c r="N82" s="19" t="inlineStr">
        <is>
          <t>Cartão de crédito</t>
        </is>
      </c>
      <c r="O82" s="48" t="n"/>
      <c r="P82" s="19" t="inlineStr">
        <is>
          <t>Streaming</t>
        </is>
      </c>
      <c r="Q82" s="49" t="inlineStr">
        <is>
          <t>EXEMPLO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7" t="n">
        <v>46213</v>
      </c>
      <c r="C83" s="19" t="inlineStr">
        <is>
          <t>Conta de energia</t>
        </is>
      </c>
      <c r="D83" s="20" t="n"/>
      <c r="E83" s="21" t="n">
        <v>301.22</v>
      </c>
      <c r="F83" s="47" t="n"/>
      <c r="G83" s="19" t="inlineStr">
        <is>
          <t>Pago</t>
        </is>
      </c>
      <c r="H83" s="19" t="inlineStr">
        <is>
          <t>Despesa</t>
        </is>
      </c>
      <c r="I83" s="19" t="inlineStr">
        <is>
          <t>Contas da casa</t>
        </is>
      </c>
      <c r="J83" s="19" t="inlineStr">
        <is>
          <t>Essenciais</t>
        </is>
      </c>
      <c r="K83" s="19" t="n"/>
      <c r="L83" s="19" t="n"/>
      <c r="M83" s="19" t="inlineStr">
        <is>
          <t>Conta corrente Itaú</t>
        </is>
      </c>
      <c r="N83" s="19" t="inlineStr">
        <is>
          <t>Débito automático</t>
        </is>
      </c>
      <c r="O83" s="48" t="n"/>
      <c r="P83" s="19" t="inlineStr">
        <is>
          <t>Energia</t>
        </is>
      </c>
      <c r="Q83" s="49" t="inlineStr">
        <is>
          <t>EXEMPLO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7" t="n">
        <v>46213</v>
      </c>
      <c r="C84" s="19" t="inlineStr">
        <is>
          <t>Aluguel do apartamento</t>
        </is>
      </c>
      <c r="D84" s="20" t="n"/>
      <c r="E84" s="21" t="n">
        <v>2350</v>
      </c>
      <c r="F84" s="47" t="n"/>
      <c r="G84" s="19" t="inlineStr">
        <is>
          <t>Pago</t>
        </is>
      </c>
      <c r="H84" s="19" t="inlineStr">
        <is>
          <t>Despesa</t>
        </is>
      </c>
      <c r="I84" s="19" t="inlineStr">
        <is>
          <t>Moradia</t>
        </is>
      </c>
      <c r="J84" s="19" t="inlineStr">
        <is>
          <t>Essenciais</t>
        </is>
      </c>
      <c r="K84" s="19" t="n"/>
      <c r="L84" s="19" t="n"/>
      <c r="M84" s="19" t="inlineStr">
        <is>
          <t>Conta corrente Itaú</t>
        </is>
      </c>
      <c r="N84" s="19" t="inlineStr">
        <is>
          <t>Boleto</t>
        </is>
      </c>
      <c r="O84" s="48" t="n"/>
      <c r="P84" s="19" t="inlineStr">
        <is>
          <t>Aluguel/Financiamento</t>
        </is>
      </c>
      <c r="Q84" s="49" t="inlineStr">
        <is>
          <t>EXEMPLO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7" t="n">
        <v>46211</v>
      </c>
      <c r="C85" s="19" t="inlineStr">
        <is>
          <t>Viagem de férias — hotel</t>
        </is>
      </c>
      <c r="D85" s="20" t="n"/>
      <c r="E85" s="21" t="n">
        <v>1650</v>
      </c>
      <c r="F85" s="47" t="n"/>
      <c r="G85" s="19" t="inlineStr">
        <is>
          <t>Pago</t>
        </is>
      </c>
      <c r="H85" s="19" t="inlineStr">
        <is>
          <t>Despesa</t>
        </is>
      </c>
      <c r="I85" s="19" t="inlineStr">
        <is>
          <t>Lazer</t>
        </is>
      </c>
      <c r="J85" s="19" t="inlineStr">
        <is>
          <t>Lazer</t>
        </is>
      </c>
      <c r="K85" s="19" t="n"/>
      <c r="L85" s="19" t="n"/>
      <c r="M85" s="19" t="inlineStr">
        <is>
          <t>Cartão Itaú</t>
        </is>
      </c>
      <c r="N85" s="19" t="inlineStr">
        <is>
          <t>Cartão de crédito</t>
        </is>
      </c>
      <c r="O85" s="48" t="n"/>
      <c r="P85" s="19" t="inlineStr">
        <is>
          <t>Viagens</t>
        </is>
      </c>
      <c r="Q85" s="49" t="inlineStr">
        <is>
          <t>EXEMPLO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7" t="n">
        <v>46211</v>
      </c>
      <c r="C86" s="19" t="inlineStr">
        <is>
          <t>Mensalidade escolar</t>
        </is>
      </c>
      <c r="D86" s="20" t="n"/>
      <c r="E86" s="21" t="n">
        <v>1450</v>
      </c>
      <c r="F86" s="47" t="n"/>
      <c r="G86" s="19" t="inlineStr">
        <is>
          <t>Pago</t>
        </is>
      </c>
      <c r="H86" s="19" t="inlineStr">
        <is>
          <t>Despesa</t>
        </is>
      </c>
      <c r="I86" s="19" t="inlineStr">
        <is>
          <t>Educação</t>
        </is>
      </c>
      <c r="J86" s="19" t="inlineStr">
        <is>
          <t>Essenciais</t>
        </is>
      </c>
      <c r="K86" s="19" t="n"/>
      <c r="L86" s="19" t="n"/>
      <c r="M86" s="19" t="inlineStr">
        <is>
          <t>Conta corrente Itaú</t>
        </is>
      </c>
      <c r="N86" s="19" t="inlineStr">
        <is>
          <t>Boleto</t>
        </is>
      </c>
      <c r="O86" s="48" t="n"/>
      <c r="P86" s="19" t="inlineStr">
        <is>
          <t>Escola</t>
        </is>
      </c>
      <c r="Q86" s="49" t="inlineStr">
        <is>
          <t>EXEMPLO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7" t="n">
        <v>46210</v>
      </c>
      <c r="C87" s="19" t="inlineStr">
        <is>
          <t>Mercado do mês</t>
        </is>
      </c>
      <c r="D87" s="20" t="n"/>
      <c r="E87" s="21" t="n">
        <v>1012.3</v>
      </c>
      <c r="F87" s="47" t="n"/>
      <c r="G87" s="19" t="inlineStr">
        <is>
          <t>Pago</t>
        </is>
      </c>
      <c r="H87" s="19" t="inlineStr">
        <is>
          <t>Despesa</t>
        </is>
      </c>
      <c r="I87" s="19" t="inlineStr">
        <is>
          <t>Alimentação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8" t="n"/>
      <c r="P87" s="19" t="inlineStr">
        <is>
          <t>Mercado</t>
        </is>
      </c>
      <c r="Q87" s="49" t="inlineStr">
        <is>
          <t>EXEMPLO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7" t="n">
        <v>46208</v>
      </c>
      <c r="C88" s="19" t="inlineStr">
        <is>
          <t>Salário — cônjuge</t>
        </is>
      </c>
      <c r="D88" s="20" t="n"/>
      <c r="E88" s="21" t="n">
        <v>5200</v>
      </c>
      <c r="F88" s="47" t="n"/>
      <c r="G88" s="19" t="inlineStr">
        <is>
          <t>Recebido</t>
        </is>
      </c>
      <c r="H88" s="19" t="inlineStr">
        <is>
          <t>Receita</t>
        </is>
      </c>
      <c r="I88" s="19" t="inlineStr">
        <is>
          <t>Salário</t>
        </is>
      </c>
      <c r="J88" s="19" t="n"/>
      <c r="K88" s="19" t="n"/>
      <c r="L88" s="19" t="n"/>
      <c r="M88" s="19" t="inlineStr">
        <is>
          <t>Conta Nubank</t>
        </is>
      </c>
      <c r="N88" s="19" t="inlineStr">
        <is>
          <t>Transferência</t>
        </is>
      </c>
      <c r="O88" s="48" t="n"/>
      <c r="P88" s="19" t="inlineStr">
        <is>
          <t>Mensal</t>
        </is>
      </c>
      <c r="Q88" s="49" t="inlineStr">
        <is>
          <t>EXEMPLO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7" t="n">
        <v>46208</v>
      </c>
      <c r="C89" s="19" t="inlineStr">
        <is>
          <t>Salário — titular</t>
        </is>
      </c>
      <c r="D89" s="20" t="n"/>
      <c r="E89" s="21" t="n">
        <v>7800</v>
      </c>
      <c r="F89" s="47" t="n"/>
      <c r="G89" s="19" t="inlineStr">
        <is>
          <t>Recebido</t>
        </is>
      </c>
      <c r="H89" s="19" t="inlineStr">
        <is>
          <t>Receita</t>
        </is>
      </c>
      <c r="I89" s="19" t="inlineStr">
        <is>
          <t>Salário</t>
        </is>
      </c>
      <c r="J89" s="19" t="n"/>
      <c r="K89" s="19" t="n"/>
      <c r="L89" s="19" t="n"/>
      <c r="M89" s="19" t="inlineStr">
        <is>
          <t>Conta corrente Itaú</t>
        </is>
      </c>
      <c r="N89" s="19" t="inlineStr">
        <is>
          <t>Transferência</t>
        </is>
      </c>
      <c r="O89" s="48" t="n"/>
      <c r="P89" s="19" t="inlineStr">
        <is>
          <t>Mensal</t>
        </is>
      </c>
      <c r="Q89" s="49" t="inlineStr">
        <is>
          <t>EXEMPLO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7" t="n">
        <v>46206</v>
      </c>
      <c r="C90" s="19" t="inlineStr">
        <is>
          <t>Plano de saúde familiar</t>
        </is>
      </c>
      <c r="D90" s="20" t="n"/>
      <c r="E90" s="21" t="n">
        <v>890</v>
      </c>
      <c r="F90" s="47" t="n"/>
      <c r="G90" s="19" t="inlineStr">
        <is>
          <t>Pago</t>
        </is>
      </c>
      <c r="H90" s="19" t="inlineStr">
        <is>
          <t>Despesa</t>
        </is>
      </c>
      <c r="I90" s="19" t="inlineStr">
        <is>
          <t>Saúde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Débito automático</t>
        </is>
      </c>
      <c r="O90" s="48" t="n"/>
      <c r="P90" s="19" t="inlineStr">
        <is>
          <t>Plano de saúde</t>
        </is>
      </c>
      <c r="Q90" s="49" t="inlineStr">
        <is>
          <t>EXEMPLO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7" t="n">
        <v>46200</v>
      </c>
      <c r="C91" s="19" t="inlineStr">
        <is>
          <t>Cinema / passeio</t>
        </is>
      </c>
      <c r="D91" s="20" t="n"/>
      <c r="E91" s="21" t="n">
        <v>72.5</v>
      </c>
      <c r="F91" s="47" t="n"/>
      <c r="G91" s="19" t="inlineStr">
        <is>
          <t>Pago</t>
        </is>
      </c>
      <c r="H91" s="19" t="inlineStr">
        <is>
          <t>Despesa</t>
        </is>
      </c>
      <c r="I91" s="19" t="inlineStr">
        <is>
          <t>Lazer</t>
        </is>
      </c>
      <c r="J91" s="19" t="inlineStr">
        <is>
          <t>Lazer</t>
        </is>
      </c>
      <c r="K91" s="19" t="n"/>
      <c r="L91" s="19" t="n"/>
      <c r="M91" s="19" t="inlineStr">
        <is>
          <t>Conta Nubank</t>
        </is>
      </c>
      <c r="N91" s="19" t="inlineStr">
        <is>
          <t>PIX</t>
        </is>
      </c>
      <c r="O91" s="48" t="n"/>
      <c r="P91" s="19" t="inlineStr">
        <is>
          <t>Cinema</t>
        </is>
      </c>
      <c r="Q91" s="49" t="inlineStr">
        <is>
          <t>EXEMPLO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7" t="n">
        <v>46194</v>
      </c>
      <c r="C92" s="19" t="inlineStr">
        <is>
          <t>Revisão do carro</t>
        </is>
      </c>
      <c r="D92" s="20" t="n"/>
      <c r="E92" s="21" t="n">
        <v>780</v>
      </c>
      <c r="F92" s="47" t="n"/>
      <c r="G92" s="19" t="inlineStr">
        <is>
          <t>Pago</t>
        </is>
      </c>
      <c r="H92" s="19" t="inlineStr">
        <is>
          <t>Despesa</t>
        </is>
      </c>
      <c r="I92" s="19" t="inlineStr">
        <is>
          <t>Transporte</t>
        </is>
      </c>
      <c r="J92" s="19" t="inlineStr">
        <is>
          <t>Essenciais</t>
        </is>
      </c>
      <c r="K92" s="19" t="n"/>
      <c r="L92" s="19" t="n"/>
      <c r="M92" s="19" t="inlineStr">
        <is>
          <t>Cartão Itaú</t>
        </is>
      </c>
      <c r="N92" s="19" t="inlineStr">
        <is>
          <t>Cartão de crédito</t>
        </is>
      </c>
      <c r="O92" s="48" t="n"/>
      <c r="P92" s="19" t="inlineStr">
        <is>
          <t>Manutenção do carro</t>
        </is>
      </c>
      <c r="Q92" s="49" t="inlineStr">
        <is>
          <t>EXEMPLO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7" t="n">
        <v>46188</v>
      </c>
      <c r="C93" s="19" t="inlineStr">
        <is>
          <t>Combustível</t>
        </is>
      </c>
      <c r="D93" s="20" t="n"/>
      <c r="E93" s="21" t="n">
        <v>342.1</v>
      </c>
      <c r="F93" s="47" t="n"/>
      <c r="G93" s="19" t="inlineStr">
        <is>
          <t>Pago</t>
        </is>
      </c>
      <c r="H93" s="19" t="inlineStr">
        <is>
          <t>Despesa</t>
        </is>
      </c>
      <c r="I93" s="19" t="inlineStr">
        <is>
          <t>Transporte</t>
        </is>
      </c>
      <c r="J93" s="19" t="inlineStr">
        <is>
          <t>Essenciais</t>
        </is>
      </c>
      <c r="K93" s="19" t="n"/>
      <c r="L93" s="19" t="n"/>
      <c r="M93" s="19" t="inlineStr">
        <is>
          <t>Cartão Itaú</t>
        </is>
      </c>
      <c r="N93" s="19" t="inlineStr">
        <is>
          <t>Cartão de crédito</t>
        </is>
      </c>
      <c r="O93" s="48" t="n"/>
      <c r="P93" s="19" t="inlineStr">
        <is>
          <t>Combustível</t>
        </is>
      </c>
      <c r="Q93" s="49" t="inlineStr">
        <is>
          <t>EXEMPLO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7" t="n">
        <v>46187</v>
      </c>
      <c r="C94" s="19" t="inlineStr">
        <is>
          <t>Festa junina da escola</t>
        </is>
      </c>
      <c r="D94" s="20" t="n"/>
      <c r="E94" s="21" t="n">
        <v>95</v>
      </c>
      <c r="F94" s="47" t="n"/>
      <c r="G94" s="19" t="inlineStr">
        <is>
          <t>Pago</t>
        </is>
      </c>
      <c r="H94" s="19" t="inlineStr">
        <is>
          <t>Despesa</t>
        </is>
      </c>
      <c r="I94" s="19" t="inlineStr">
        <is>
          <t>Lazer</t>
        </is>
      </c>
      <c r="J94" s="19" t="inlineStr">
        <is>
          <t>Lazer</t>
        </is>
      </c>
      <c r="K94" s="19" t="n"/>
      <c r="L94" s="19" t="n"/>
      <c r="M94" s="19" t="inlineStr">
        <is>
          <t>Carteira</t>
        </is>
      </c>
      <c r="N94" s="19" t="inlineStr">
        <is>
          <t>Dinheiro</t>
        </is>
      </c>
      <c r="O94" s="48" t="n"/>
      <c r="P94" s="19" t="inlineStr">
        <is>
          <t>Passeios</t>
        </is>
      </c>
      <c r="Q94" s="49" t="inlineStr">
        <is>
          <t>EXEMPLO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7" t="n">
        <v>46185</v>
      </c>
      <c r="C95" s="19" t="inlineStr">
        <is>
          <t>Streaming + academia</t>
        </is>
      </c>
      <c r="D95" s="20" t="n"/>
      <c r="E95" s="21" t="n">
        <v>174.8</v>
      </c>
      <c r="F95" s="47" t="n"/>
      <c r="G95" s="19" t="inlineStr">
        <is>
          <t>Pago</t>
        </is>
      </c>
      <c r="H95" s="19" t="inlineStr">
        <is>
          <t>Despesa</t>
        </is>
      </c>
      <c r="I95" s="19" t="inlineStr">
        <is>
          <t>Assinaturas</t>
        </is>
      </c>
      <c r="J95" s="19" t="inlineStr">
        <is>
          <t>Essenciais</t>
        </is>
      </c>
      <c r="K95" s="19" t="n"/>
      <c r="L95" s="19" t="n"/>
      <c r="M95" s="19" t="inlineStr">
        <is>
          <t>Cartão Nubank</t>
        </is>
      </c>
      <c r="N95" s="19" t="inlineStr">
        <is>
          <t>Cartão de crédito</t>
        </is>
      </c>
      <c r="O95" s="48" t="n"/>
      <c r="P95" s="19" t="inlineStr">
        <is>
          <t>Streaming</t>
        </is>
      </c>
      <c r="Q95" s="49" t="inlineStr">
        <is>
          <t>EXEMPLO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7" t="n">
        <v>46183</v>
      </c>
      <c r="C96" s="19" t="inlineStr">
        <is>
          <t>Conta de energia</t>
        </is>
      </c>
      <c r="D96" s="20" t="n"/>
      <c r="E96" s="21" t="n">
        <v>274.8</v>
      </c>
      <c r="F96" s="47" t="n"/>
      <c r="G96" s="19" t="inlineStr">
        <is>
          <t>Pago</t>
        </is>
      </c>
      <c r="H96" s="19" t="inlineStr">
        <is>
          <t>Despesa</t>
        </is>
      </c>
      <c r="I96" s="19" t="inlineStr">
        <is>
          <t>Contas da casa</t>
        </is>
      </c>
      <c r="J96" s="19" t="inlineStr">
        <is>
          <t>Essenciais</t>
        </is>
      </c>
      <c r="K96" s="19" t="n"/>
      <c r="L96" s="19" t="n"/>
      <c r="M96" s="19" t="inlineStr">
        <is>
          <t>Conta corrente Itaú</t>
        </is>
      </c>
      <c r="N96" s="19" t="inlineStr">
        <is>
          <t>Débito automático</t>
        </is>
      </c>
      <c r="O96" s="48" t="n"/>
      <c r="P96" s="19" t="inlineStr">
        <is>
          <t>Energia</t>
        </is>
      </c>
      <c r="Q96" s="49" t="inlineStr">
        <is>
          <t>EXEMPLO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 ht="20" customHeight="1">
      <c r="A97" s="4" t="n"/>
      <c r="B97" s="47" t="n">
        <v>46183</v>
      </c>
      <c r="C97" s="19" t="inlineStr">
        <is>
          <t>Aluguel do apartamento</t>
        </is>
      </c>
      <c r="D97" s="20" t="n"/>
      <c r="E97" s="21" t="n">
        <v>2350</v>
      </c>
      <c r="F97" s="47" t="n"/>
      <c r="G97" s="19" t="inlineStr">
        <is>
          <t>Pago</t>
        </is>
      </c>
      <c r="H97" s="19" t="inlineStr">
        <is>
          <t>Despesa</t>
        </is>
      </c>
      <c r="I97" s="19" t="inlineStr">
        <is>
          <t>Moradia</t>
        </is>
      </c>
      <c r="J97" s="19" t="inlineStr">
        <is>
          <t>Essenciais</t>
        </is>
      </c>
      <c r="K97" s="19" t="n"/>
      <c r="L97" s="19" t="n"/>
      <c r="M97" s="19" t="inlineStr">
        <is>
          <t>Conta corrente Itaú</t>
        </is>
      </c>
      <c r="N97" s="19" t="inlineStr">
        <is>
          <t>Boleto</t>
        </is>
      </c>
      <c r="O97" s="48" t="n"/>
      <c r="P97" s="19" t="inlineStr">
        <is>
          <t>Aluguel/Financiamento</t>
        </is>
      </c>
      <c r="Q97" s="49" t="inlineStr">
        <is>
          <t>EXEMPLO</t>
        </is>
      </c>
      <c r="R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7" s="4" t="n"/>
      <c r="V97" s="4" t="n"/>
    </row>
    <row r="98" ht="20" customHeight="1">
      <c r="A98" s="4" t="n"/>
      <c r="B98" s="47" t="n">
        <v>46181</v>
      </c>
      <c r="C98" s="19" t="inlineStr">
        <is>
          <t>Mensalidade escolar</t>
        </is>
      </c>
      <c r="D98" s="20" t="n"/>
      <c r="E98" s="21" t="n">
        <v>1450</v>
      </c>
      <c r="F98" s="47" t="n"/>
      <c r="G98" s="19" t="inlineStr">
        <is>
          <t>Pago</t>
        </is>
      </c>
      <c r="H98" s="19" t="inlineStr">
        <is>
          <t>Despesa</t>
        </is>
      </c>
      <c r="I98" s="19" t="inlineStr">
        <is>
          <t>Educação</t>
        </is>
      </c>
      <c r="J98" s="19" t="inlineStr">
        <is>
          <t>Essenciais</t>
        </is>
      </c>
      <c r="K98" s="19" t="n"/>
      <c r="L98" s="19" t="n"/>
      <c r="M98" s="19" t="inlineStr">
        <is>
          <t>Conta corrente Itaú</t>
        </is>
      </c>
      <c r="N98" s="19" t="inlineStr">
        <is>
          <t>Boleto</t>
        </is>
      </c>
      <c r="O98" s="48" t="n"/>
      <c r="P98" s="19" t="inlineStr">
        <is>
          <t>Escola</t>
        </is>
      </c>
      <c r="Q98" s="49" t="inlineStr">
        <is>
          <t>EXEMPLO</t>
        </is>
      </c>
      <c r="R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8" s="4" t="n"/>
      <c r="V98" s="4" t="n"/>
    </row>
    <row r="99" ht="20" customHeight="1">
      <c r="A99" s="4" t="n"/>
      <c r="B99" s="47" t="n">
        <v>46180</v>
      </c>
      <c r="C99" s="19" t="inlineStr">
        <is>
          <t>Mercado do mês</t>
        </is>
      </c>
      <c r="D99" s="20" t="n"/>
      <c r="E99" s="21" t="n">
        <v>788.45</v>
      </c>
      <c r="F99" s="47" t="n"/>
      <c r="G99" s="19" t="inlineStr">
        <is>
          <t>Pago</t>
        </is>
      </c>
      <c r="H99" s="19" t="inlineStr">
        <is>
          <t>Despesa</t>
        </is>
      </c>
      <c r="I99" s="19" t="inlineStr">
        <is>
          <t>Alimentação</t>
        </is>
      </c>
      <c r="J99" s="19" t="inlineStr">
        <is>
          <t>Essenciais</t>
        </is>
      </c>
      <c r="K99" s="19" t="n"/>
      <c r="L99" s="19" t="n"/>
      <c r="M99" s="19" t="inlineStr">
        <is>
          <t>Cartão Nubank</t>
        </is>
      </c>
      <c r="N99" s="19" t="inlineStr">
        <is>
          <t>Cartão de crédito</t>
        </is>
      </c>
      <c r="O99" s="48" t="n"/>
      <c r="P99" s="19" t="inlineStr">
        <is>
          <t>Mercado</t>
        </is>
      </c>
      <c r="Q99" s="49" t="inlineStr">
        <is>
          <t>EXEMPLO</t>
        </is>
      </c>
      <c r="R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9" s="4" t="n"/>
      <c r="V99" s="4" t="n"/>
    </row>
    <row r="100" ht="20" customHeight="1">
      <c r="A100" s="4" t="n"/>
      <c r="B100" s="47" t="n">
        <v>46178</v>
      </c>
      <c r="C100" s="19" t="inlineStr">
        <is>
          <t>Salário — cônjuge</t>
        </is>
      </c>
      <c r="D100" s="20" t="n"/>
      <c r="E100" s="21" t="n">
        <v>5200</v>
      </c>
      <c r="F100" s="47" t="n"/>
      <c r="G100" s="19" t="inlineStr">
        <is>
          <t>Recebido</t>
        </is>
      </c>
      <c r="H100" s="19" t="inlineStr">
        <is>
          <t>Receita</t>
        </is>
      </c>
      <c r="I100" s="19" t="inlineStr">
        <is>
          <t>Salário</t>
        </is>
      </c>
      <c r="J100" s="19" t="n"/>
      <c r="K100" s="19" t="n"/>
      <c r="L100" s="19" t="n"/>
      <c r="M100" s="19" t="inlineStr">
        <is>
          <t>Conta Nubank</t>
        </is>
      </c>
      <c r="N100" s="19" t="inlineStr">
        <is>
          <t>Transferência</t>
        </is>
      </c>
      <c r="O100" s="48" t="n"/>
      <c r="P100" s="19" t="inlineStr">
        <is>
          <t>Mensal</t>
        </is>
      </c>
      <c r="Q100" s="49" t="inlineStr">
        <is>
          <t>EXEMPLO</t>
        </is>
      </c>
      <c r="R1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0" s="4" t="n"/>
      <c r="V100" s="4" t="n"/>
    </row>
    <row r="101" ht="20" customHeight="1">
      <c r="A101" s="4" t="n"/>
      <c r="B101" s="47" t="n">
        <v>46178</v>
      </c>
      <c r="C101" s="19" t="inlineStr">
        <is>
          <t>Salário — titular</t>
        </is>
      </c>
      <c r="D101" s="20" t="n"/>
      <c r="E101" s="21" t="n">
        <v>7800</v>
      </c>
      <c r="F101" s="47" t="n"/>
      <c r="G101" s="19" t="inlineStr">
        <is>
          <t>Recebido</t>
        </is>
      </c>
      <c r="H101" s="19" t="inlineStr">
        <is>
          <t>Receita</t>
        </is>
      </c>
      <c r="I101" s="19" t="inlineStr">
        <is>
          <t>Salário</t>
        </is>
      </c>
      <c r="J101" s="19" t="n"/>
      <c r="K101" s="19" t="n"/>
      <c r="L101" s="19" t="n"/>
      <c r="M101" s="19" t="inlineStr">
        <is>
          <t>Conta corrente Itaú</t>
        </is>
      </c>
      <c r="N101" s="19" t="inlineStr">
        <is>
          <t>Transferência</t>
        </is>
      </c>
      <c r="O101" s="48" t="n"/>
      <c r="P101" s="19" t="inlineStr">
        <is>
          <t>Mensal</t>
        </is>
      </c>
      <c r="Q101" s="49" t="inlineStr">
        <is>
          <t>EXEMPLO</t>
        </is>
      </c>
      <c r="R1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1" s="4" t="n"/>
      <c r="V101" s="4" t="n"/>
    </row>
    <row r="102" ht="20" customHeight="1">
      <c r="A102" s="4" t="n"/>
      <c r="B102" s="47" t="n">
        <v>46176</v>
      </c>
      <c r="C102" s="19" t="inlineStr">
        <is>
          <t>Plano de saúde familiar</t>
        </is>
      </c>
      <c r="D102" s="20" t="n"/>
      <c r="E102" s="21" t="n">
        <v>890</v>
      </c>
      <c r="F102" s="47" t="n"/>
      <c r="G102" s="19" t="inlineStr">
        <is>
          <t>Pago</t>
        </is>
      </c>
      <c r="H102" s="19" t="inlineStr">
        <is>
          <t>Despesa</t>
        </is>
      </c>
      <c r="I102" s="19" t="inlineStr">
        <is>
          <t>Saúde</t>
        </is>
      </c>
      <c r="J102" s="19" t="inlineStr">
        <is>
          <t>Essenciais</t>
        </is>
      </c>
      <c r="K102" s="19" t="n"/>
      <c r="L102" s="19" t="n"/>
      <c r="M102" s="19" t="inlineStr">
        <is>
          <t>Conta corrente Itaú</t>
        </is>
      </c>
      <c r="N102" s="19" t="inlineStr">
        <is>
          <t>Débito automático</t>
        </is>
      </c>
      <c r="O102" s="48" t="n"/>
      <c r="P102" s="19" t="inlineStr">
        <is>
          <t>Plano de saúde</t>
        </is>
      </c>
      <c r="Q102" s="49" t="inlineStr">
        <is>
          <t>EXEMPLO</t>
        </is>
      </c>
      <c r="R1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2" s="4" t="n"/>
      <c r="V102" s="4" t="n"/>
    </row>
    <row r="103" ht="20" customHeight="1">
      <c r="A103" s="4" t="n"/>
      <c r="B103" s="47" t="n">
        <v>46169</v>
      </c>
      <c r="C103" s="19" t="inlineStr">
        <is>
          <t>Cinema / passeio</t>
        </is>
      </c>
      <c r="D103" s="20" t="n"/>
      <c r="E103" s="21" t="n">
        <v>180</v>
      </c>
      <c r="F103" s="47" t="n"/>
      <c r="G103" s="19" t="inlineStr">
        <is>
          <t>Pago</t>
        </is>
      </c>
      <c r="H103" s="19" t="inlineStr">
        <is>
          <t>Despesa</t>
        </is>
      </c>
      <c r="I103" s="19" t="inlineStr">
        <is>
          <t>Lazer</t>
        </is>
      </c>
      <c r="J103" s="19" t="inlineStr">
        <is>
          <t>Lazer</t>
        </is>
      </c>
      <c r="K103" s="19" t="n"/>
      <c r="L103" s="19" t="n"/>
      <c r="M103" s="19" t="inlineStr">
        <is>
          <t>Conta Nubank</t>
        </is>
      </c>
      <c r="N103" s="19" t="inlineStr">
        <is>
          <t>PIX</t>
        </is>
      </c>
      <c r="O103" s="48" t="n"/>
      <c r="P103" s="19" t="inlineStr">
        <is>
          <t>Cinema</t>
        </is>
      </c>
      <c r="Q103" s="49" t="inlineStr">
        <is>
          <t>EXEMPLO</t>
        </is>
      </c>
      <c r="R1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3" s="4" t="n"/>
      <c r="V103" s="4" t="n"/>
    </row>
    <row r="104" ht="20" customHeight="1">
      <c r="A104" s="4" t="n"/>
      <c r="B104" s="47" t="n">
        <v>46166</v>
      </c>
      <c r="C104" s="19" t="inlineStr">
        <is>
          <t>Presente dia das mães</t>
        </is>
      </c>
      <c r="D104" s="20" t="n"/>
      <c r="E104" s="21" t="n">
        <v>289.9</v>
      </c>
      <c r="F104" s="47" t="n"/>
      <c r="G104" s="19" t="inlineStr">
        <is>
          <t>Pago</t>
        </is>
      </c>
      <c r="H104" s="19" t="inlineStr">
        <is>
          <t>Despesa</t>
        </is>
      </c>
      <c r="I104" s="19" t="inlineStr">
        <is>
          <t>Compras</t>
        </is>
      </c>
      <c r="J104" s="19" t="inlineStr">
        <is>
          <t>Essenciais</t>
        </is>
      </c>
      <c r="K104" s="19" t="n"/>
      <c r="L104" s="19" t="n"/>
      <c r="M104" s="19" t="inlineStr">
        <is>
          <t>Cartão Itaú</t>
        </is>
      </c>
      <c r="N104" s="19" t="inlineStr">
        <is>
          <t>Cartão de crédito</t>
        </is>
      </c>
      <c r="O104" s="48" t="n"/>
      <c r="P104" s="19" t="inlineStr">
        <is>
          <t>Presentes</t>
        </is>
      </c>
      <c r="Q104" s="49" t="inlineStr">
        <is>
          <t>EXEMPLO</t>
        </is>
      </c>
      <c r="R1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4" s="4" t="n"/>
      <c r="V104" s="4" t="n"/>
    </row>
    <row r="105" ht="20" customHeight="1">
      <c r="A105" s="4" t="n"/>
      <c r="B105" s="47" t="n">
        <v>46157</v>
      </c>
      <c r="C105" s="19" t="inlineStr">
        <is>
          <t>Combustível</t>
        </is>
      </c>
      <c r="D105" s="20" t="n"/>
      <c r="E105" s="21" t="n">
        <v>285.5</v>
      </c>
      <c r="F105" s="47" t="n"/>
      <c r="G105" s="19" t="inlineStr">
        <is>
          <t>Pago</t>
        </is>
      </c>
      <c r="H105" s="19" t="inlineStr">
        <is>
          <t>Despesa</t>
        </is>
      </c>
      <c r="I105" s="19" t="inlineStr">
        <is>
          <t>Transporte</t>
        </is>
      </c>
      <c r="J105" s="19" t="inlineStr">
        <is>
          <t>Essenciais</t>
        </is>
      </c>
      <c r="K105" s="19" t="n"/>
      <c r="L105" s="19" t="n"/>
      <c r="M105" s="19" t="inlineStr">
        <is>
          <t>Cartão Itaú</t>
        </is>
      </c>
      <c r="N105" s="19" t="inlineStr">
        <is>
          <t>Cartão de crédito</t>
        </is>
      </c>
      <c r="O105" s="48" t="n"/>
      <c r="P105" s="19" t="inlineStr">
        <is>
          <t>Combustível</t>
        </is>
      </c>
      <c r="Q105" s="49" t="inlineStr">
        <is>
          <t>EXEMPLO</t>
        </is>
      </c>
      <c r="R1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5" s="4" t="n"/>
      <c r="V105" s="4" t="n"/>
    </row>
    <row r="106" ht="20" customHeight="1">
      <c r="A106" s="4" t="n"/>
      <c r="B106" s="47" t="n">
        <v>46154</v>
      </c>
      <c r="C106" s="19" t="inlineStr">
        <is>
          <t>Projeto freelance — site</t>
        </is>
      </c>
      <c r="D106" s="20" t="n"/>
      <c r="E106" s="21" t="n">
        <v>1800</v>
      </c>
      <c r="F106" s="47" t="n"/>
      <c r="G106" s="19" t="inlineStr">
        <is>
          <t>Recebido</t>
        </is>
      </c>
      <c r="H106" s="19" t="inlineStr">
        <is>
          <t>Receita</t>
        </is>
      </c>
      <c r="I106" s="19" t="inlineStr">
        <is>
          <t>Freelance / Extras</t>
        </is>
      </c>
      <c r="J106" s="19" t="n"/>
      <c r="K106" s="19" t="n"/>
      <c r="L106" s="19" t="n"/>
      <c r="M106" s="19" t="inlineStr">
        <is>
          <t>Conta Nubank</t>
        </is>
      </c>
      <c r="N106" s="19" t="inlineStr">
        <is>
          <t>PIX</t>
        </is>
      </c>
      <c r="O106" s="48" t="n"/>
      <c r="P106" s="19" t="inlineStr">
        <is>
          <t>Projeto</t>
        </is>
      </c>
      <c r="Q106" s="49" t="inlineStr">
        <is>
          <t>EXEMPLO</t>
        </is>
      </c>
      <c r="R1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6" s="4" t="n"/>
      <c r="V106" s="4" t="n"/>
    </row>
    <row r="107" ht="20" customHeight="1">
      <c r="A107" s="4" t="n"/>
      <c r="B107" s="47" t="n">
        <v>46154</v>
      </c>
      <c r="C107" s="19" t="inlineStr">
        <is>
          <t>Streaming + academia</t>
        </is>
      </c>
      <c r="D107" s="20" t="n"/>
      <c r="E107" s="21" t="n">
        <v>174.8</v>
      </c>
      <c r="F107" s="47" t="n"/>
      <c r="G107" s="19" t="inlineStr">
        <is>
          <t>Pago</t>
        </is>
      </c>
      <c r="H107" s="19" t="inlineStr">
        <is>
          <t>Despesa</t>
        </is>
      </c>
      <c r="I107" s="19" t="inlineStr">
        <is>
          <t>Assinaturas</t>
        </is>
      </c>
      <c r="J107" s="19" t="inlineStr">
        <is>
          <t>Essenciais</t>
        </is>
      </c>
      <c r="K107" s="19" t="n"/>
      <c r="L107" s="19" t="n"/>
      <c r="M107" s="19" t="inlineStr">
        <is>
          <t>Cartão Nubank</t>
        </is>
      </c>
      <c r="N107" s="19" t="inlineStr">
        <is>
          <t>Cartão de crédito</t>
        </is>
      </c>
      <c r="O107" s="48" t="n"/>
      <c r="P107" s="19" t="inlineStr">
        <is>
          <t>Streaming</t>
        </is>
      </c>
      <c r="Q107" s="49" t="inlineStr">
        <is>
          <t>EXEMPLO</t>
        </is>
      </c>
      <c r="R10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7" s="4" t="n"/>
      <c r="V107" s="4" t="n"/>
    </row>
    <row r="108" ht="20" customHeight="1">
      <c r="A108" s="4" t="n"/>
      <c r="B108" s="47" t="n">
        <v>46152</v>
      </c>
      <c r="C108" s="19" t="inlineStr">
        <is>
          <t>Conta de energia</t>
        </is>
      </c>
      <c r="D108" s="20" t="n"/>
      <c r="E108" s="21" t="n">
        <v>286.15</v>
      </c>
      <c r="F108" s="47" t="n"/>
      <c r="G108" s="19" t="inlineStr">
        <is>
          <t>Pago</t>
        </is>
      </c>
      <c r="H108" s="19" t="inlineStr">
        <is>
          <t>Despesa</t>
        </is>
      </c>
      <c r="I108" s="19" t="inlineStr">
        <is>
          <t>Contas da casa</t>
        </is>
      </c>
      <c r="J108" s="19" t="inlineStr">
        <is>
          <t>Essenciais</t>
        </is>
      </c>
      <c r="K108" s="19" t="n"/>
      <c r="L108" s="19" t="n"/>
      <c r="M108" s="19" t="inlineStr">
        <is>
          <t>Conta corrente Itaú</t>
        </is>
      </c>
      <c r="N108" s="19" t="inlineStr">
        <is>
          <t>Débito automático</t>
        </is>
      </c>
      <c r="O108" s="48" t="n"/>
      <c r="P108" s="19" t="inlineStr">
        <is>
          <t>Energia</t>
        </is>
      </c>
      <c r="Q108" s="49" t="inlineStr">
        <is>
          <t>EXEMPLO</t>
        </is>
      </c>
      <c r="R10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8" s="4" t="n"/>
      <c r="V108" s="4" t="n"/>
    </row>
    <row r="109" ht="20" customHeight="1">
      <c r="A109" s="4" t="n"/>
      <c r="B109" s="47" t="n">
        <v>46152</v>
      </c>
      <c r="C109" s="19" t="inlineStr">
        <is>
          <t>Aluguel do apartamento</t>
        </is>
      </c>
      <c r="D109" s="20" t="n"/>
      <c r="E109" s="21" t="n">
        <v>2350</v>
      </c>
      <c r="F109" s="47" t="n"/>
      <c r="G109" s="19" t="inlineStr">
        <is>
          <t>Pago</t>
        </is>
      </c>
      <c r="H109" s="19" t="inlineStr">
        <is>
          <t>Despesa</t>
        </is>
      </c>
      <c r="I109" s="19" t="inlineStr">
        <is>
          <t>Moradia</t>
        </is>
      </c>
      <c r="J109" s="19" t="inlineStr">
        <is>
          <t>Essenciais</t>
        </is>
      </c>
      <c r="K109" s="19" t="n"/>
      <c r="L109" s="19" t="n"/>
      <c r="M109" s="19" t="inlineStr">
        <is>
          <t>Conta corrente Itaú</t>
        </is>
      </c>
      <c r="N109" s="19" t="inlineStr">
        <is>
          <t>Boleto</t>
        </is>
      </c>
      <c r="O109" s="48" t="n"/>
      <c r="P109" s="19" t="inlineStr">
        <is>
          <t>Aluguel/Financiamento</t>
        </is>
      </c>
      <c r="Q109" s="49" t="inlineStr">
        <is>
          <t>EXEMPLO</t>
        </is>
      </c>
      <c r="R10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9" s="4" t="n"/>
      <c r="V109" s="4" t="n"/>
    </row>
    <row r="110" ht="20" customHeight="1">
      <c r="A110" s="4" t="n"/>
      <c r="B110" s="47" t="n">
        <v>46150</v>
      </c>
      <c r="C110" s="19" t="inlineStr">
        <is>
          <t>Mensalidade escolar</t>
        </is>
      </c>
      <c r="D110" s="20" t="n"/>
      <c r="E110" s="21" t="n">
        <v>1450</v>
      </c>
      <c r="F110" s="47" t="n"/>
      <c r="G110" s="19" t="inlineStr">
        <is>
          <t>Pago</t>
        </is>
      </c>
      <c r="H110" s="19" t="inlineStr">
        <is>
          <t>Despesa</t>
        </is>
      </c>
      <c r="I110" s="19" t="inlineStr">
        <is>
          <t>Educação</t>
        </is>
      </c>
      <c r="J110" s="19" t="inlineStr">
        <is>
          <t>Essenciais</t>
        </is>
      </c>
      <c r="K110" s="19" t="n"/>
      <c r="L110" s="19" t="n"/>
      <c r="M110" s="19" t="inlineStr">
        <is>
          <t>Conta corrente Itaú</t>
        </is>
      </c>
      <c r="N110" s="19" t="inlineStr">
        <is>
          <t>Boleto</t>
        </is>
      </c>
      <c r="O110" s="48" t="n"/>
      <c r="P110" s="19" t="inlineStr">
        <is>
          <t>Escola</t>
        </is>
      </c>
      <c r="Q110" s="49" t="inlineStr">
        <is>
          <t>EXEMPLO</t>
        </is>
      </c>
      <c r="R1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0" s="4" t="n"/>
      <c r="V110" s="4" t="n"/>
    </row>
    <row r="111" ht="20" customHeight="1">
      <c r="A111" s="4" t="n"/>
      <c r="B111" s="47" t="n">
        <v>46149</v>
      </c>
      <c r="C111" s="19" t="inlineStr">
        <is>
          <t>Mercado do mês</t>
        </is>
      </c>
      <c r="D111" s="20" t="n"/>
      <c r="E111" s="21" t="n">
        <v>915.6</v>
      </c>
      <c r="F111" s="47" t="n"/>
      <c r="G111" s="19" t="inlineStr">
        <is>
          <t>Pago</t>
        </is>
      </c>
      <c r="H111" s="19" t="inlineStr">
        <is>
          <t>Despesa</t>
        </is>
      </c>
      <c r="I111" s="19" t="inlineStr">
        <is>
          <t>Alimentação</t>
        </is>
      </c>
      <c r="J111" s="19" t="inlineStr">
        <is>
          <t>Essenciais</t>
        </is>
      </c>
      <c r="K111" s="19" t="n"/>
      <c r="L111" s="19" t="n"/>
      <c r="M111" s="19" t="inlineStr">
        <is>
          <t>Cartão Nubank</t>
        </is>
      </c>
      <c r="N111" s="19" t="inlineStr">
        <is>
          <t>Cartão de crédito</t>
        </is>
      </c>
      <c r="O111" s="48" t="n"/>
      <c r="P111" s="19" t="inlineStr">
        <is>
          <t>Mercado</t>
        </is>
      </c>
      <c r="Q111" s="49" t="inlineStr">
        <is>
          <t>EXEMPLO</t>
        </is>
      </c>
      <c r="R1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1" s="4" t="n"/>
      <c r="V111" s="4" t="n"/>
    </row>
    <row r="112" ht="20" customHeight="1">
      <c r="A112" s="4" t="n"/>
      <c r="B112" s="47" t="n">
        <v>46147</v>
      </c>
      <c r="C112" s="19" t="inlineStr">
        <is>
          <t>Salário — cônjuge</t>
        </is>
      </c>
      <c r="D112" s="20" t="n"/>
      <c r="E112" s="21" t="n">
        <v>5200</v>
      </c>
      <c r="F112" s="47" t="n"/>
      <c r="G112" s="19" t="inlineStr">
        <is>
          <t>Recebido</t>
        </is>
      </c>
      <c r="H112" s="19" t="inlineStr">
        <is>
          <t>Receita</t>
        </is>
      </c>
      <c r="I112" s="19" t="inlineStr">
        <is>
          <t>Salário</t>
        </is>
      </c>
      <c r="J112" s="19" t="n"/>
      <c r="K112" s="19" t="n"/>
      <c r="L112" s="19" t="n"/>
      <c r="M112" s="19" t="inlineStr">
        <is>
          <t>Conta Nubank</t>
        </is>
      </c>
      <c r="N112" s="19" t="inlineStr">
        <is>
          <t>Transferência</t>
        </is>
      </c>
      <c r="O112" s="48" t="n"/>
      <c r="P112" s="19" t="inlineStr">
        <is>
          <t>Mensal</t>
        </is>
      </c>
      <c r="Q112" s="49" t="inlineStr">
        <is>
          <t>EXEMPLO</t>
        </is>
      </c>
      <c r="R1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2" s="4" t="n"/>
      <c r="V112" s="4" t="n"/>
    </row>
    <row r="113" ht="20" customHeight="1">
      <c r="A113" s="4" t="n"/>
      <c r="B113" s="47" t="n">
        <v>46147</v>
      </c>
      <c r="C113" s="19" t="inlineStr">
        <is>
          <t>Salário — titular</t>
        </is>
      </c>
      <c r="D113" s="20" t="n"/>
      <c r="E113" s="21" t="n">
        <v>7800</v>
      </c>
      <c r="F113" s="47" t="n"/>
      <c r="G113" s="19" t="inlineStr">
        <is>
          <t>Recebido</t>
        </is>
      </c>
      <c r="H113" s="19" t="inlineStr">
        <is>
          <t>Receita</t>
        </is>
      </c>
      <c r="I113" s="19" t="inlineStr">
        <is>
          <t>Salário</t>
        </is>
      </c>
      <c r="J113" s="19" t="n"/>
      <c r="K113" s="19" t="n"/>
      <c r="L113" s="19" t="n"/>
      <c r="M113" s="19" t="inlineStr">
        <is>
          <t>Conta corrente Itaú</t>
        </is>
      </c>
      <c r="N113" s="19" t="inlineStr">
        <is>
          <t>Transferência</t>
        </is>
      </c>
      <c r="O113" s="48" t="n"/>
      <c r="P113" s="19" t="inlineStr">
        <is>
          <t>Mensal</t>
        </is>
      </c>
      <c r="Q113" s="49" t="inlineStr">
        <is>
          <t>EXEMPLO</t>
        </is>
      </c>
      <c r="R1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3" s="4" t="n"/>
      <c r="V113" s="4" t="n"/>
    </row>
    <row r="114" ht="20" customHeight="1">
      <c r="A114" s="4" t="n"/>
      <c r="B114" s="47" t="n">
        <v>46145</v>
      </c>
      <c r="C114" s="19" t="inlineStr">
        <is>
          <t>Plano de saúde familiar</t>
        </is>
      </c>
      <c r="D114" s="20" t="n"/>
      <c r="E114" s="21" t="n">
        <v>890</v>
      </c>
      <c r="F114" s="47" t="n"/>
      <c r="G114" s="19" t="inlineStr">
        <is>
          <t>Pago</t>
        </is>
      </c>
      <c r="H114" s="19" t="inlineStr">
        <is>
          <t>Despesa</t>
        </is>
      </c>
      <c r="I114" s="19" t="inlineStr">
        <is>
          <t>Saúde</t>
        </is>
      </c>
      <c r="J114" s="19" t="inlineStr">
        <is>
          <t>Essenciais</t>
        </is>
      </c>
      <c r="K114" s="19" t="n"/>
      <c r="L114" s="19" t="n"/>
      <c r="M114" s="19" t="inlineStr">
        <is>
          <t>Conta corrente Itaú</t>
        </is>
      </c>
      <c r="N114" s="19" t="inlineStr">
        <is>
          <t>Débito automático</t>
        </is>
      </c>
      <c r="O114" s="48" t="n"/>
      <c r="P114" s="19" t="inlineStr">
        <is>
          <t>Plano de saúde</t>
        </is>
      </c>
      <c r="Q114" s="49" t="inlineStr">
        <is>
          <t>EXEMPLO</t>
        </is>
      </c>
      <c r="R1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4" s="4" t="n"/>
      <c r="V114" s="4" t="n"/>
    </row>
    <row r="115" ht="20" customHeight="1">
      <c r="A115" s="4" t="n"/>
      <c r="B115" s="47" t="n">
        <v>46139</v>
      </c>
      <c r="C115" s="19" t="inlineStr">
        <is>
          <t>Cinema / passeio</t>
        </is>
      </c>
      <c r="D115" s="20" t="n"/>
      <c r="E115" s="21" t="n">
        <v>64</v>
      </c>
      <c r="F115" s="47" t="n"/>
      <c r="G115" s="19" t="inlineStr">
        <is>
          <t>Pago</t>
        </is>
      </c>
      <c r="H115" s="19" t="inlineStr">
        <is>
          <t>Despesa</t>
        </is>
      </c>
      <c r="I115" s="19" t="inlineStr">
        <is>
          <t>Lazer</t>
        </is>
      </c>
      <c r="J115" s="19" t="inlineStr">
        <is>
          <t>Lazer</t>
        </is>
      </c>
      <c r="K115" s="19" t="n"/>
      <c r="L115" s="19" t="n"/>
      <c r="M115" s="19" t="inlineStr">
        <is>
          <t>Conta Nubank</t>
        </is>
      </c>
      <c r="N115" s="19" t="inlineStr">
        <is>
          <t>PIX</t>
        </is>
      </c>
      <c r="O115" s="48" t="n"/>
      <c r="P115" s="19" t="inlineStr">
        <is>
          <t>Cinema</t>
        </is>
      </c>
      <c r="Q115" s="49" t="inlineStr">
        <is>
          <t>EXEMPLO</t>
        </is>
      </c>
      <c r="R1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5" s="4" t="n"/>
      <c r="V115" s="4" t="n"/>
    </row>
    <row r="116" ht="20" customHeight="1">
      <c r="A116" s="4" t="n"/>
      <c r="B116" s="47" t="n">
        <v>46138</v>
      </c>
      <c r="C116" s="19" t="inlineStr">
        <is>
          <t>Pizza de sábado</t>
        </is>
      </c>
      <c r="D116" s="20" t="n"/>
      <c r="E116" s="21" t="n">
        <v>118</v>
      </c>
      <c r="F116" s="47" t="n"/>
      <c r="G116" s="19" t="inlineStr">
        <is>
          <t>Pago</t>
        </is>
      </c>
      <c r="H116" s="19" t="inlineStr">
        <is>
          <t>Despesa</t>
        </is>
      </c>
      <c r="I116" s="19" t="inlineStr">
        <is>
          <t>Restaurantes e delivery</t>
        </is>
      </c>
      <c r="J116" s="19" t="inlineStr">
        <is>
          <t>Lazer</t>
        </is>
      </c>
      <c r="K116" s="19" t="n"/>
      <c r="L116" s="19" t="n"/>
      <c r="M116" s="19" t="inlineStr">
        <is>
          <t>Cartão Nubank</t>
        </is>
      </c>
      <c r="N116" s="19" t="inlineStr">
        <is>
          <t>Cartão de crédito</t>
        </is>
      </c>
      <c r="O116" s="48" t="n"/>
      <c r="P116" s="19" t="inlineStr">
        <is>
          <t>Delivery</t>
        </is>
      </c>
      <c r="Q116" s="49" t="inlineStr">
        <is>
          <t>EXEMPLO</t>
        </is>
      </c>
      <c r="R1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6" s="4" t="n"/>
      <c r="V116" s="4" t="n"/>
    </row>
    <row r="117" ht="20" customHeight="1">
      <c r="A117" s="4" t="n"/>
      <c r="B117" s="47" t="n">
        <v>46130</v>
      </c>
      <c r="C117" s="19" t="inlineStr">
        <is>
          <t>Farmácia</t>
        </is>
      </c>
      <c r="D117" s="20" t="n"/>
      <c r="E117" s="21" t="n">
        <v>142.35</v>
      </c>
      <c r="F117" s="47" t="n"/>
      <c r="G117" s="19" t="inlineStr">
        <is>
          <t>Pago</t>
        </is>
      </c>
      <c r="H117" s="19" t="inlineStr">
        <is>
          <t>Despesa</t>
        </is>
      </c>
      <c r="I117" s="19" t="inlineStr">
        <is>
          <t>Saúde</t>
        </is>
      </c>
      <c r="J117" s="19" t="inlineStr">
        <is>
          <t>Essenciais</t>
        </is>
      </c>
      <c r="K117" s="19" t="n"/>
      <c r="L117" s="19" t="n"/>
      <c r="M117" s="19" t="inlineStr">
        <is>
          <t>Cartão Nubank</t>
        </is>
      </c>
      <c r="N117" s="19" t="inlineStr">
        <is>
          <t>Cartão de crédito</t>
        </is>
      </c>
      <c r="O117" s="48" t="n"/>
      <c r="P117" s="19" t="inlineStr">
        <is>
          <t>Farmácia</t>
        </is>
      </c>
      <c r="Q117" s="49" t="inlineStr">
        <is>
          <t>EXEMPLO</t>
        </is>
      </c>
      <c r="R1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7" s="4" t="n"/>
      <c r="V117" s="4" t="n"/>
    </row>
    <row r="118" ht="20" customHeight="1">
      <c r="A118" s="4" t="n"/>
      <c r="B118" s="47" t="n">
        <v>46127</v>
      </c>
      <c r="C118" s="19" t="inlineStr">
        <is>
          <t>Combustível</t>
        </is>
      </c>
      <c r="D118" s="20" t="n"/>
      <c r="E118" s="21" t="n">
        <v>310</v>
      </c>
      <c r="F118" s="47" t="n"/>
      <c r="G118" s="19" t="inlineStr">
        <is>
          <t>Pago</t>
        </is>
      </c>
      <c r="H118" s="19" t="inlineStr">
        <is>
          <t>Despesa</t>
        </is>
      </c>
      <c r="I118" s="19" t="inlineStr">
        <is>
          <t>Transporte</t>
        </is>
      </c>
      <c r="J118" s="19" t="inlineStr">
        <is>
          <t>Essenciais</t>
        </is>
      </c>
      <c r="K118" s="19" t="n"/>
      <c r="L118" s="19" t="n"/>
      <c r="M118" s="19" t="inlineStr">
        <is>
          <t>Cartão Itaú</t>
        </is>
      </c>
      <c r="N118" s="19" t="inlineStr">
        <is>
          <t>Cartão de crédito</t>
        </is>
      </c>
      <c r="O118" s="48" t="n"/>
      <c r="P118" s="19" t="inlineStr">
        <is>
          <t>Combustível</t>
        </is>
      </c>
      <c r="Q118" s="49" t="inlineStr">
        <is>
          <t>EXEMPLO</t>
        </is>
      </c>
      <c r="R1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8" s="4" t="n"/>
      <c r="V118" s="4" t="n"/>
    </row>
    <row r="119" ht="20" customHeight="1">
      <c r="A119" s="4" t="n"/>
      <c r="B119" s="47" t="n">
        <v>46124</v>
      </c>
      <c r="C119" s="19" t="inlineStr">
        <is>
          <t>Streaming + academia</t>
        </is>
      </c>
      <c r="D119" s="20" t="n"/>
      <c r="E119" s="21" t="n">
        <v>174.8</v>
      </c>
      <c r="F119" s="47" t="n"/>
      <c r="G119" s="19" t="inlineStr">
        <is>
          <t>Pago</t>
        </is>
      </c>
      <c r="H119" s="19" t="inlineStr">
        <is>
          <t>Despesa</t>
        </is>
      </c>
      <c r="I119" s="19" t="inlineStr">
        <is>
          <t>Assinaturas</t>
        </is>
      </c>
      <c r="J119" s="19" t="inlineStr">
        <is>
          <t>Essenciais</t>
        </is>
      </c>
      <c r="K119" s="19" t="n"/>
      <c r="L119" s="19" t="n"/>
      <c r="M119" s="19" t="inlineStr">
        <is>
          <t>Cartão Nubank</t>
        </is>
      </c>
      <c r="N119" s="19" t="inlineStr">
        <is>
          <t>Cartão de crédito</t>
        </is>
      </c>
      <c r="O119" s="48" t="n"/>
      <c r="P119" s="19" t="inlineStr">
        <is>
          <t>Streaming</t>
        </is>
      </c>
      <c r="Q119" s="49" t="inlineStr">
        <is>
          <t>EXEMPLO</t>
        </is>
      </c>
      <c r="R1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9" s="4" t="n"/>
      <c r="V119" s="4" t="n"/>
    </row>
    <row r="120" ht="20" customHeight="1">
      <c r="A120" s="4" t="n"/>
      <c r="B120" s="47" t="n">
        <v>46122</v>
      </c>
      <c r="C120" s="19" t="inlineStr">
        <is>
          <t>Conta de energia</t>
        </is>
      </c>
      <c r="D120" s="20" t="n"/>
      <c r="E120" s="21" t="n">
        <v>312.4</v>
      </c>
      <c r="F120" s="47" t="n"/>
      <c r="G120" s="19" t="inlineStr">
        <is>
          <t>Pago</t>
        </is>
      </c>
      <c r="H120" s="19" t="inlineStr">
        <is>
          <t>Despesa</t>
        </is>
      </c>
      <c r="I120" s="19" t="inlineStr">
        <is>
          <t>Contas da casa</t>
        </is>
      </c>
      <c r="J120" s="19" t="inlineStr">
        <is>
          <t>Essenciais</t>
        </is>
      </c>
      <c r="K120" s="19" t="n"/>
      <c r="L120" s="19" t="n"/>
      <c r="M120" s="19" t="inlineStr">
        <is>
          <t>Conta corrente Itaú</t>
        </is>
      </c>
      <c r="N120" s="19" t="inlineStr">
        <is>
          <t>Débito automático</t>
        </is>
      </c>
      <c r="O120" s="48" t="n"/>
      <c r="P120" s="19" t="inlineStr">
        <is>
          <t>Energia</t>
        </is>
      </c>
      <c r="Q120" s="49" t="inlineStr">
        <is>
          <t>EXEMPLO</t>
        </is>
      </c>
      <c r="R1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0" s="4" t="n"/>
      <c r="V120" s="4" t="n"/>
    </row>
    <row r="121" ht="20" customHeight="1">
      <c r="A121" s="4" t="n"/>
      <c r="B121" s="47" t="n">
        <v>46122</v>
      </c>
      <c r="C121" s="19" t="inlineStr">
        <is>
          <t>Aluguel do apartamento</t>
        </is>
      </c>
      <c r="D121" s="20" t="n"/>
      <c r="E121" s="21" t="n">
        <v>2350</v>
      </c>
      <c r="F121" s="47" t="n"/>
      <c r="G121" s="19" t="inlineStr">
        <is>
          <t>Pago</t>
        </is>
      </c>
      <c r="H121" s="19" t="inlineStr">
        <is>
          <t>Despesa</t>
        </is>
      </c>
      <c r="I121" s="19" t="inlineStr">
        <is>
          <t>Moradia</t>
        </is>
      </c>
      <c r="J121" s="19" t="inlineStr">
        <is>
          <t>Essenciais</t>
        </is>
      </c>
      <c r="K121" s="19" t="n"/>
      <c r="L121" s="19" t="n"/>
      <c r="M121" s="19" t="inlineStr">
        <is>
          <t>Conta corrente Itaú</t>
        </is>
      </c>
      <c r="N121" s="19" t="inlineStr">
        <is>
          <t>Boleto</t>
        </is>
      </c>
      <c r="O121" s="48" t="n"/>
      <c r="P121" s="19" t="inlineStr">
        <is>
          <t>Aluguel/Financiamento</t>
        </is>
      </c>
      <c r="Q121" s="49" t="inlineStr">
        <is>
          <t>EXEMPLO</t>
        </is>
      </c>
      <c r="R1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1" s="4" t="n"/>
      <c r="V121" s="4" t="n"/>
    </row>
    <row r="122" ht="20" customHeight="1">
      <c r="A122" s="4" t="n"/>
      <c r="B122" s="47" t="n">
        <v>46120</v>
      </c>
      <c r="C122" s="19" t="inlineStr">
        <is>
          <t>Mensalidade escolar</t>
        </is>
      </c>
      <c r="D122" s="20" t="n"/>
      <c r="E122" s="21" t="n">
        <v>1450</v>
      </c>
      <c r="F122" s="47" t="n"/>
      <c r="G122" s="19" t="inlineStr">
        <is>
          <t>Pago</t>
        </is>
      </c>
      <c r="H122" s="19" t="inlineStr">
        <is>
          <t>Despesa</t>
        </is>
      </c>
      <c r="I122" s="19" t="inlineStr">
        <is>
          <t>Educação</t>
        </is>
      </c>
      <c r="J122" s="19" t="inlineStr">
        <is>
          <t>Essenciais</t>
        </is>
      </c>
      <c r="K122" s="19" t="n"/>
      <c r="L122" s="19" t="n"/>
      <c r="M122" s="19" t="inlineStr">
        <is>
          <t>Conta corrente Itaú</t>
        </is>
      </c>
      <c r="N122" s="19" t="inlineStr">
        <is>
          <t>Boleto</t>
        </is>
      </c>
      <c r="O122" s="48" t="n"/>
      <c r="P122" s="19" t="inlineStr">
        <is>
          <t>Escola</t>
        </is>
      </c>
      <c r="Q122" s="49" t="inlineStr">
        <is>
          <t>EXEMPLO</t>
        </is>
      </c>
      <c r="R1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2" s="4" t="n"/>
      <c r="V122" s="4" t="n"/>
    </row>
    <row r="123" ht="20" customHeight="1">
      <c r="A123" s="4" t="n"/>
      <c r="B123" s="47" t="n">
        <v>46119</v>
      </c>
      <c r="C123" s="19" t="inlineStr">
        <is>
          <t>Mercado do mês</t>
        </is>
      </c>
      <c r="D123" s="20" t="n"/>
      <c r="E123" s="21" t="n">
        <v>842.37</v>
      </c>
      <c r="F123" s="47" t="n"/>
      <c r="G123" s="19" t="inlineStr">
        <is>
          <t>Pago</t>
        </is>
      </c>
      <c r="H123" s="19" t="inlineStr">
        <is>
          <t>Despesa</t>
        </is>
      </c>
      <c r="I123" s="19" t="inlineStr">
        <is>
          <t>Alimentação</t>
        </is>
      </c>
      <c r="J123" s="19" t="inlineStr">
        <is>
          <t>Essenciais</t>
        </is>
      </c>
      <c r="K123" s="19" t="n"/>
      <c r="L123" s="19" t="n"/>
      <c r="M123" s="19" t="inlineStr">
        <is>
          <t>Cartão Nubank</t>
        </is>
      </c>
      <c r="N123" s="19" t="inlineStr">
        <is>
          <t>Cartão de crédito</t>
        </is>
      </c>
      <c r="O123" s="48" t="n"/>
      <c r="P123" s="19" t="inlineStr">
        <is>
          <t>Mercado</t>
        </is>
      </c>
      <c r="Q123" s="49" t="inlineStr">
        <is>
          <t>EXEMPLO</t>
        </is>
      </c>
      <c r="R1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3" s="4" t="n"/>
      <c r="V123" s="4" t="n"/>
    </row>
    <row r="124" ht="20" customHeight="1">
      <c r="A124" s="4" t="n"/>
      <c r="B124" s="47" t="n">
        <v>46117</v>
      </c>
      <c r="C124" s="19" t="inlineStr">
        <is>
          <t>Salário — cônjuge</t>
        </is>
      </c>
      <c r="D124" s="20" t="n"/>
      <c r="E124" s="21" t="n">
        <v>5200</v>
      </c>
      <c r="F124" s="47" t="n"/>
      <c r="G124" s="19" t="inlineStr">
        <is>
          <t>Recebido</t>
        </is>
      </c>
      <c r="H124" s="19" t="inlineStr">
        <is>
          <t>Receita</t>
        </is>
      </c>
      <c r="I124" s="19" t="inlineStr">
        <is>
          <t>Salário</t>
        </is>
      </c>
      <c r="J124" s="19" t="n"/>
      <c r="K124" s="19" t="n"/>
      <c r="L124" s="19" t="n"/>
      <c r="M124" s="19" t="inlineStr">
        <is>
          <t>Conta Nubank</t>
        </is>
      </c>
      <c r="N124" s="19" t="inlineStr">
        <is>
          <t>Transferência</t>
        </is>
      </c>
      <c r="O124" s="48" t="n"/>
      <c r="P124" s="19" t="inlineStr">
        <is>
          <t>Mensal</t>
        </is>
      </c>
      <c r="Q124" s="49" t="inlineStr">
        <is>
          <t>EXEMPLO</t>
        </is>
      </c>
      <c r="R1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4" s="4" t="n"/>
      <c r="V124" s="4" t="n"/>
    </row>
    <row r="125" ht="20" customHeight="1">
      <c r="A125" s="4" t="n"/>
      <c r="B125" s="47" t="n">
        <v>46117</v>
      </c>
      <c r="C125" s="19" t="inlineStr">
        <is>
          <t>Salário — titular</t>
        </is>
      </c>
      <c r="D125" s="20" t="n"/>
      <c r="E125" s="21" t="n">
        <v>7800</v>
      </c>
      <c r="F125" s="47" t="n"/>
      <c r="G125" s="19" t="inlineStr">
        <is>
          <t>Recebido</t>
        </is>
      </c>
      <c r="H125" s="19" t="inlineStr">
        <is>
          <t>Receita</t>
        </is>
      </c>
      <c r="I125" s="19" t="inlineStr">
        <is>
          <t>Salário</t>
        </is>
      </c>
      <c r="J125" s="19" t="n"/>
      <c r="K125" s="19" t="n"/>
      <c r="L125" s="19" t="n"/>
      <c r="M125" s="19" t="inlineStr">
        <is>
          <t>Conta corrente Itaú</t>
        </is>
      </c>
      <c r="N125" s="19" t="inlineStr">
        <is>
          <t>Transferência</t>
        </is>
      </c>
      <c r="O125" s="48" t="n"/>
      <c r="P125" s="19" t="inlineStr">
        <is>
          <t>Mensal</t>
        </is>
      </c>
      <c r="Q125" s="49" t="inlineStr">
        <is>
          <t>EXEMPLO</t>
        </is>
      </c>
      <c r="R1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5" s="4" t="n"/>
      <c r="V125" s="4" t="n"/>
    </row>
    <row r="126" ht="20" customHeight="1">
      <c r="A126" s="4" t="n"/>
      <c r="B126" s="47" t="n">
        <v>46115</v>
      </c>
      <c r="C126" s="19" t="inlineStr">
        <is>
          <t>Plano de saúde familiar</t>
        </is>
      </c>
      <c r="D126" s="20" t="n"/>
      <c r="E126" s="21" t="n">
        <v>890</v>
      </c>
      <c r="F126" s="47" t="n"/>
      <c r="G126" s="19" t="inlineStr">
        <is>
          <t>Pago</t>
        </is>
      </c>
      <c r="H126" s="19" t="inlineStr">
        <is>
          <t>Despesa</t>
        </is>
      </c>
      <c r="I126" s="19" t="inlineStr">
        <is>
          <t>Saúde</t>
        </is>
      </c>
      <c r="J126" s="19" t="inlineStr">
        <is>
          <t>Essenciais</t>
        </is>
      </c>
      <c r="K126" s="19" t="n"/>
      <c r="L126" s="19" t="n"/>
      <c r="M126" s="19" t="inlineStr">
        <is>
          <t>Conta corrente Itaú</t>
        </is>
      </c>
      <c r="N126" s="19" t="inlineStr">
        <is>
          <t>Débito automático</t>
        </is>
      </c>
      <c r="O126" s="48" t="n"/>
      <c r="P126" s="19" t="inlineStr">
        <is>
          <t>Plano de saúde</t>
        </is>
      </c>
      <c r="Q126" s="49" t="inlineStr">
        <is>
          <t>EXEMPLO</t>
        </is>
      </c>
      <c r="R1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6" s="4" t="n"/>
      <c r="V126" s="4" t="n"/>
    </row>
    <row r="127" ht="20" customHeight="1">
      <c r="A127" s="4" t="n"/>
      <c r="B127" s="47" t="n">
        <v>46329</v>
      </c>
      <c r="C127" s="19" t="inlineStr">
        <is>
          <t>Plano de saúde familiar</t>
        </is>
      </c>
      <c r="D127" s="20" t="n"/>
      <c r="E127" s="21" t="n">
        <v>890</v>
      </c>
      <c r="F127" s="47" t="n">
        <v>46329</v>
      </c>
      <c r="G127" s="19" t="inlineStr">
        <is>
          <t>Pendente</t>
        </is>
      </c>
      <c r="H127" s="19" t="inlineStr">
        <is>
          <t>Despesa</t>
        </is>
      </c>
      <c r="I127" s="19" t="inlineStr">
        <is>
          <t>Saúde</t>
        </is>
      </c>
      <c r="J127" s="19" t="inlineStr">
        <is>
          <t>Essenciais</t>
        </is>
      </c>
      <c r="K127" s="19" t="n"/>
      <c r="L127" s="19" t="n"/>
      <c r="M127" s="19" t="inlineStr">
        <is>
          <t>Conta corrente Itaú</t>
        </is>
      </c>
      <c r="N127" s="19" t="inlineStr">
        <is>
          <t>Débito automático</t>
        </is>
      </c>
      <c r="O127" s="48" t="n"/>
      <c r="P127" s="19" t="n"/>
      <c r="Q127" s="49" t="inlineStr">
        <is>
          <t>prevista (conta fixa)</t>
        </is>
      </c>
      <c r="R1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7" s="4" t="n"/>
      <c r="V127" s="4" t="n"/>
    </row>
    <row r="128" ht="20" customHeight="1">
      <c r="A128" s="4" t="n"/>
      <c r="B128" s="47" t="n">
        <v>46331</v>
      </c>
      <c r="C128" s="19" t="inlineStr">
        <is>
          <t>Salário — cônjuge</t>
        </is>
      </c>
      <c r="D128" s="20" t="n"/>
      <c r="E128" s="21" t="n">
        <v>5200</v>
      </c>
      <c r="F128" s="47" t="n">
        <v>46331</v>
      </c>
      <c r="G128" s="19" t="inlineStr">
        <is>
          <t>Pendente</t>
        </is>
      </c>
      <c r="H128" s="19" t="inlineStr">
        <is>
          <t>Receita</t>
        </is>
      </c>
      <c r="I128" s="19" t="inlineStr">
        <is>
          <t>Salário</t>
        </is>
      </c>
      <c r="J128" s="19" t="n"/>
      <c r="K128" s="19" t="n"/>
      <c r="L128" s="19" t="n"/>
      <c r="M128" s="19" t="inlineStr">
        <is>
          <t>Conta Nubank</t>
        </is>
      </c>
      <c r="N128" s="19" t="inlineStr">
        <is>
          <t>Transferência</t>
        </is>
      </c>
      <c r="O128" s="48" t="n"/>
      <c r="P128" s="19" t="n"/>
      <c r="Q128" s="49" t="inlineStr">
        <is>
          <t>prevista (conta fixa)</t>
        </is>
      </c>
      <c r="R1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8" s="4" t="n"/>
      <c r="V128" s="4" t="n"/>
    </row>
    <row r="129" ht="20" customHeight="1">
      <c r="A129" s="4" t="n"/>
      <c r="B129" s="47" t="n">
        <v>46331</v>
      </c>
      <c r="C129" s="19" t="inlineStr">
        <is>
          <t>Salário — titular</t>
        </is>
      </c>
      <c r="D129" s="20" t="n"/>
      <c r="E129" s="21" t="n">
        <v>7800</v>
      </c>
      <c r="F129" s="47" t="n">
        <v>46331</v>
      </c>
      <c r="G129" s="19" t="inlineStr">
        <is>
          <t>Pendente</t>
        </is>
      </c>
      <c r="H129" s="19" t="inlineStr">
        <is>
          <t>Receita</t>
        </is>
      </c>
      <c r="I129" s="19" t="inlineStr">
        <is>
          <t>Salário</t>
        </is>
      </c>
      <c r="J129" s="19" t="n"/>
      <c r="K129" s="19" t="n"/>
      <c r="L129" s="19" t="n"/>
      <c r="M129" s="19" t="inlineStr">
        <is>
          <t>Conta corrente Itaú</t>
        </is>
      </c>
      <c r="N129" s="19" t="inlineStr">
        <is>
          <t>Transferência</t>
        </is>
      </c>
      <c r="O129" s="48" t="n"/>
      <c r="P129" s="19" t="n"/>
      <c r="Q129" s="49" t="inlineStr">
        <is>
          <t>prevista (conta fixa)</t>
        </is>
      </c>
      <c r="R1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9" s="4" t="n"/>
      <c r="V129" s="4" t="n"/>
    </row>
    <row r="130" ht="20" customHeight="1">
      <c r="A130" s="4" t="n"/>
      <c r="B130" s="47" t="n">
        <v>46333</v>
      </c>
      <c r="C130" s="19" t="inlineStr">
        <is>
          <t>Mercado do mês</t>
        </is>
      </c>
      <c r="D130" s="20" t="n"/>
      <c r="E130" s="21" t="n">
        <v>934.1799999999999</v>
      </c>
      <c r="F130" s="47" t="n">
        <v>46333</v>
      </c>
      <c r="G130" s="19" t="inlineStr">
        <is>
          <t>Pendente</t>
        </is>
      </c>
      <c r="H130" s="19" t="inlineStr">
        <is>
          <t>Despesa</t>
        </is>
      </c>
      <c r="I130" s="19" t="inlineStr">
        <is>
          <t>Alimentação</t>
        </is>
      </c>
      <c r="J130" s="19" t="inlineStr">
        <is>
          <t>Essenciais</t>
        </is>
      </c>
      <c r="K130" s="19" t="n"/>
      <c r="L130" s="19" t="n"/>
      <c r="M130" s="19" t="inlineStr">
        <is>
          <t>Cartão Nubank</t>
        </is>
      </c>
      <c r="N130" s="19" t="inlineStr">
        <is>
          <t>Cartão de crédito</t>
        </is>
      </c>
      <c r="O130" s="48" t="n"/>
      <c r="P130" s="19" t="n"/>
      <c r="Q130" s="49" t="inlineStr">
        <is>
          <t>prevista (conta fixa)</t>
        </is>
      </c>
      <c r="R1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0" s="4" t="n"/>
      <c r="V130" s="4" t="n"/>
    </row>
    <row r="131" ht="20" customHeight="1">
      <c r="A131" s="4" t="n"/>
      <c r="B131" s="47" t="n">
        <v>46334</v>
      </c>
      <c r="C131" s="19" t="inlineStr">
        <is>
          <t>Mensalidade escolar</t>
        </is>
      </c>
      <c r="D131" s="20" t="n"/>
      <c r="E131" s="21" t="n">
        <v>1450</v>
      </c>
      <c r="F131" s="47" t="n">
        <v>46334</v>
      </c>
      <c r="G131" s="19" t="inlineStr">
        <is>
          <t>Pendente</t>
        </is>
      </c>
      <c r="H131" s="19" t="inlineStr">
        <is>
          <t>Despesa</t>
        </is>
      </c>
      <c r="I131" s="19" t="inlineStr">
        <is>
          <t>Educação</t>
        </is>
      </c>
      <c r="J131" s="19" t="inlineStr">
        <is>
          <t>Essenciais</t>
        </is>
      </c>
      <c r="K131" s="19" t="n"/>
      <c r="L131" s="19" t="n"/>
      <c r="M131" s="19" t="inlineStr">
        <is>
          <t>Conta corrente Itaú</t>
        </is>
      </c>
      <c r="N131" s="19" t="inlineStr">
        <is>
          <t>Boleto</t>
        </is>
      </c>
      <c r="O131" s="48" t="n"/>
      <c r="P131" s="19" t="n"/>
      <c r="Q131" s="49" t="inlineStr">
        <is>
          <t>prevista (conta fixa)</t>
        </is>
      </c>
      <c r="R1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1" s="4" t="n"/>
      <c r="V131" s="4" t="n"/>
    </row>
    <row r="132" ht="20" customHeight="1">
      <c r="A132" s="4" t="n"/>
      <c r="B132" s="47" t="n">
        <v>46336</v>
      </c>
      <c r="C132" s="19" t="inlineStr">
        <is>
          <t>Aluguel do apartamento</t>
        </is>
      </c>
      <c r="D132" s="20" t="n"/>
      <c r="E132" s="21" t="n">
        <v>2350</v>
      </c>
      <c r="F132" s="47" t="n">
        <v>46336</v>
      </c>
      <c r="G132" s="19" t="inlineStr">
        <is>
          <t>Pendente</t>
        </is>
      </c>
      <c r="H132" s="19" t="inlineStr">
        <is>
          <t>Despesa</t>
        </is>
      </c>
      <c r="I132" s="19" t="inlineStr">
        <is>
          <t>Moradia</t>
        </is>
      </c>
      <c r="J132" s="19" t="inlineStr">
        <is>
          <t>Essenciais</t>
        </is>
      </c>
      <c r="K132" s="19" t="n"/>
      <c r="L132" s="19" t="n"/>
      <c r="M132" s="19" t="inlineStr">
        <is>
          <t>Conta corrente Itaú</t>
        </is>
      </c>
      <c r="N132" s="19" t="inlineStr">
        <is>
          <t>Boleto</t>
        </is>
      </c>
      <c r="O132" s="48" t="n"/>
      <c r="P132" s="19" t="n"/>
      <c r="Q132" s="49" t="inlineStr">
        <is>
          <t>prevista (conta fixa)</t>
        </is>
      </c>
      <c r="R1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2" s="4" t="n"/>
      <c r="V132" s="4" t="n"/>
    </row>
    <row r="133" ht="20" customHeight="1">
      <c r="A133" s="4" t="n"/>
      <c r="B133" s="47" t="n">
        <v>46336</v>
      </c>
      <c r="C133" s="19" t="inlineStr">
        <is>
          <t>Conta de energia</t>
        </is>
      </c>
      <c r="D133" s="20" t="n"/>
      <c r="E133" s="21" t="n">
        <v>347.1</v>
      </c>
      <c r="F133" s="47" t="n">
        <v>46336</v>
      </c>
      <c r="G133" s="19" t="inlineStr">
        <is>
          <t>Pendente</t>
        </is>
      </c>
      <c r="H133" s="19" t="inlineStr">
        <is>
          <t>Despesa</t>
        </is>
      </c>
      <c r="I133" s="19" t="inlineStr">
        <is>
          <t>Contas da casa</t>
        </is>
      </c>
      <c r="J133" s="19" t="inlineStr">
        <is>
          <t>Essenciais</t>
        </is>
      </c>
      <c r="K133" s="19" t="n"/>
      <c r="L133" s="19" t="n"/>
      <c r="M133" s="19" t="inlineStr">
        <is>
          <t>Conta corrente Itaú</t>
        </is>
      </c>
      <c r="N133" s="19" t="inlineStr">
        <is>
          <t>Débito automático</t>
        </is>
      </c>
      <c r="O133" s="48" t="n"/>
      <c r="P133" s="19" t="n"/>
      <c r="Q133" s="49" t="inlineStr">
        <is>
          <t>prevista (conta fixa)</t>
        </is>
      </c>
      <c r="R1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3" s="4" t="n"/>
      <c r="V133" s="4" t="n"/>
    </row>
    <row r="134" ht="20" customHeight="1">
      <c r="A134" s="4" t="n"/>
      <c r="B134" s="47" t="n">
        <v>46338</v>
      </c>
      <c r="C134" s="19" t="inlineStr">
        <is>
          <t>Streaming + academia</t>
        </is>
      </c>
      <c r="D134" s="20" t="n"/>
      <c r="E134" s="21" t="n">
        <v>174.8</v>
      </c>
      <c r="F134" s="47" t="n">
        <v>46338</v>
      </c>
      <c r="G134" s="19" t="inlineStr">
        <is>
          <t>Pendente</t>
        </is>
      </c>
      <c r="H134" s="19" t="inlineStr">
        <is>
          <t>Despesa</t>
        </is>
      </c>
      <c r="I134" s="19" t="inlineStr">
        <is>
          <t>Assinaturas</t>
        </is>
      </c>
      <c r="J134" s="19" t="inlineStr">
        <is>
          <t>Essenciais</t>
        </is>
      </c>
      <c r="K134" s="19" t="n"/>
      <c r="L134" s="19" t="n"/>
      <c r="M134" s="19" t="inlineStr">
        <is>
          <t>Cartão Nubank</t>
        </is>
      </c>
      <c r="N134" s="19" t="inlineStr">
        <is>
          <t>Cartão de crédito</t>
        </is>
      </c>
      <c r="O134" s="48" t="n"/>
      <c r="P134" s="19" t="n"/>
      <c r="Q134" s="49" t="inlineStr">
        <is>
          <t>prevista (conta fixa)</t>
        </is>
      </c>
      <c r="R1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4" s="4" t="n"/>
      <c r="V134" s="4" t="n"/>
    </row>
    <row r="135" ht="20" customHeight="1">
      <c r="A135" s="4" t="n"/>
      <c r="B135" s="47" t="n">
        <v>46341</v>
      </c>
      <c r="C135" s="19" t="inlineStr">
        <is>
          <t>Combustível</t>
        </is>
      </c>
      <c r="D135" s="20" t="n"/>
      <c r="E135" s="21" t="n">
        <v>362.8</v>
      </c>
      <c r="F135" s="47" t="n">
        <v>46341</v>
      </c>
      <c r="G135" s="19" t="inlineStr">
        <is>
          <t>Pendente</t>
        </is>
      </c>
      <c r="H135" s="19" t="inlineStr">
        <is>
          <t>Despesa</t>
        </is>
      </c>
      <c r="I135" s="19" t="inlineStr">
        <is>
          <t>Transporte</t>
        </is>
      </c>
      <c r="J135" s="19" t="inlineStr">
        <is>
          <t>Essenciais</t>
        </is>
      </c>
      <c r="K135" s="19" t="n"/>
      <c r="L135" s="19" t="n"/>
      <c r="M135" s="19" t="inlineStr">
        <is>
          <t>Cartão Itaú</t>
        </is>
      </c>
      <c r="N135" s="19" t="inlineStr">
        <is>
          <t>Cartão de crédito</t>
        </is>
      </c>
      <c r="O135" s="48" t="n"/>
      <c r="P135" s="19" t="n"/>
      <c r="Q135" s="49" t="inlineStr">
        <is>
          <t>prevista (conta fixa)</t>
        </is>
      </c>
      <c r="R1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5" s="4" t="n"/>
      <c r="V135" s="4" t="n"/>
    </row>
    <row r="136" ht="20" customHeight="1">
      <c r="A136" s="4" t="n"/>
      <c r="B136" s="47" t="n">
        <v>46353</v>
      </c>
      <c r="C136" s="19" t="inlineStr">
        <is>
          <t>Cinema / passeio</t>
        </is>
      </c>
      <c r="D136" s="20" t="n"/>
      <c r="E136" s="21" t="n">
        <v>188</v>
      </c>
      <c r="F136" s="47" t="n">
        <v>46353</v>
      </c>
      <c r="G136" s="19" t="inlineStr">
        <is>
          <t>Pendente</t>
        </is>
      </c>
      <c r="H136" s="19" t="inlineStr">
        <is>
          <t>Despesa</t>
        </is>
      </c>
      <c r="I136" s="19" t="inlineStr">
        <is>
          <t>Lazer</t>
        </is>
      </c>
      <c r="J136" s="19" t="inlineStr">
        <is>
          <t>Lazer</t>
        </is>
      </c>
      <c r="K136" s="19" t="n"/>
      <c r="L136" s="19" t="n"/>
      <c r="M136" s="19" t="inlineStr">
        <is>
          <t>Conta Nubank</t>
        </is>
      </c>
      <c r="N136" s="19" t="inlineStr">
        <is>
          <t>PIX</t>
        </is>
      </c>
      <c r="O136" s="48" t="n"/>
      <c r="P136" s="19" t="n"/>
      <c r="Q136" s="49" t="inlineStr">
        <is>
          <t>prevista (conta fixa)</t>
        </is>
      </c>
      <c r="R1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6" s="4" t="n"/>
      <c r="V136" s="4" t="n"/>
    </row>
    <row r="137" ht="20" customHeight="1">
      <c r="A137" s="4" t="n"/>
      <c r="B137" s="47" t="n">
        <v>46359</v>
      </c>
      <c r="C137" s="19" t="inlineStr">
        <is>
          <t>Plano de saúde familiar</t>
        </is>
      </c>
      <c r="D137" s="20" t="n"/>
      <c r="E137" s="21" t="n">
        <v>890</v>
      </c>
      <c r="F137" s="47" t="n">
        <v>46359</v>
      </c>
      <c r="G137" s="19" t="inlineStr">
        <is>
          <t>Pendente</t>
        </is>
      </c>
      <c r="H137" s="19" t="inlineStr">
        <is>
          <t>Despesa</t>
        </is>
      </c>
      <c r="I137" s="19" t="inlineStr">
        <is>
          <t>Saúde</t>
        </is>
      </c>
      <c r="J137" s="19" t="inlineStr">
        <is>
          <t>Essenciais</t>
        </is>
      </c>
      <c r="K137" s="19" t="n"/>
      <c r="L137" s="19" t="n"/>
      <c r="M137" s="19" t="inlineStr">
        <is>
          <t>Conta corrente Itaú</t>
        </is>
      </c>
      <c r="N137" s="19" t="inlineStr">
        <is>
          <t>Débito automático</t>
        </is>
      </c>
      <c r="O137" s="48" t="n"/>
      <c r="P137" s="19" t="n"/>
      <c r="Q137" s="49" t="inlineStr">
        <is>
          <t>prevista (conta fixa)</t>
        </is>
      </c>
      <c r="R1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7" s="4" t="n"/>
      <c r="V137" s="4" t="n"/>
    </row>
    <row r="138" ht="20" customHeight="1">
      <c r="A138" s="4" t="n"/>
      <c r="B138" s="47" t="n">
        <v>46361</v>
      </c>
      <c r="C138" s="19" t="inlineStr">
        <is>
          <t>Salário — cônjuge</t>
        </is>
      </c>
      <c r="D138" s="20" t="n"/>
      <c r="E138" s="21" t="n">
        <v>5200</v>
      </c>
      <c r="F138" s="47" t="n">
        <v>46361</v>
      </c>
      <c r="G138" s="19" t="inlineStr">
        <is>
          <t>Pendente</t>
        </is>
      </c>
      <c r="H138" s="19" t="inlineStr">
        <is>
          <t>Receita</t>
        </is>
      </c>
      <c r="I138" s="19" t="inlineStr">
        <is>
          <t>Salário</t>
        </is>
      </c>
      <c r="J138" s="19" t="n"/>
      <c r="K138" s="19" t="n"/>
      <c r="L138" s="19" t="n"/>
      <c r="M138" s="19" t="inlineStr">
        <is>
          <t>Conta Nubank</t>
        </is>
      </c>
      <c r="N138" s="19" t="inlineStr">
        <is>
          <t>Transferência</t>
        </is>
      </c>
      <c r="O138" s="48" t="n"/>
      <c r="P138" s="19" t="n"/>
      <c r="Q138" s="49" t="inlineStr">
        <is>
          <t>prevista (conta fixa)</t>
        </is>
      </c>
      <c r="R1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8" s="4" t="n"/>
      <c r="V138" s="4" t="n"/>
    </row>
    <row r="139" ht="20" customHeight="1">
      <c r="A139" s="4" t="n"/>
      <c r="B139" s="47" t="n">
        <v>46361</v>
      </c>
      <c r="C139" s="19" t="inlineStr">
        <is>
          <t>Salário — titular</t>
        </is>
      </c>
      <c r="D139" s="20" t="n"/>
      <c r="E139" s="21" t="n">
        <v>7800</v>
      </c>
      <c r="F139" s="47" t="n">
        <v>46361</v>
      </c>
      <c r="G139" s="19" t="inlineStr">
        <is>
          <t>Pendente</t>
        </is>
      </c>
      <c r="H139" s="19" t="inlineStr">
        <is>
          <t>Receita</t>
        </is>
      </c>
      <c r="I139" s="19" t="inlineStr">
        <is>
          <t>Salário</t>
        </is>
      </c>
      <c r="J139" s="19" t="n"/>
      <c r="K139" s="19" t="n"/>
      <c r="L139" s="19" t="n"/>
      <c r="M139" s="19" t="inlineStr">
        <is>
          <t>Conta corrente Itaú</t>
        </is>
      </c>
      <c r="N139" s="19" t="inlineStr">
        <is>
          <t>Transferência</t>
        </is>
      </c>
      <c r="O139" s="48" t="n"/>
      <c r="P139" s="19" t="n"/>
      <c r="Q139" s="49" t="inlineStr">
        <is>
          <t>prevista (conta fixa)</t>
        </is>
      </c>
      <c r="R1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9" s="4" t="n"/>
      <c r="V139" s="4" t="n"/>
    </row>
    <row r="140" ht="20" customHeight="1">
      <c r="A140" s="4" t="n"/>
      <c r="B140" s="47" t="n">
        <v>46363</v>
      </c>
      <c r="C140" s="19" t="inlineStr">
        <is>
          <t>Mercado do mês</t>
        </is>
      </c>
      <c r="D140" s="20" t="n"/>
      <c r="E140" s="21" t="n">
        <v>934.1799999999999</v>
      </c>
      <c r="F140" s="47" t="n">
        <v>46363</v>
      </c>
      <c r="G140" s="19" t="inlineStr">
        <is>
          <t>Pendente</t>
        </is>
      </c>
      <c r="H140" s="19" t="inlineStr">
        <is>
          <t>Despesa</t>
        </is>
      </c>
      <c r="I140" s="19" t="inlineStr">
        <is>
          <t>Alimentação</t>
        </is>
      </c>
      <c r="J140" s="19" t="inlineStr">
        <is>
          <t>Essenciais</t>
        </is>
      </c>
      <c r="K140" s="19" t="n"/>
      <c r="L140" s="19" t="n"/>
      <c r="M140" s="19" t="inlineStr">
        <is>
          <t>Cartão Nubank</t>
        </is>
      </c>
      <c r="N140" s="19" t="inlineStr">
        <is>
          <t>Cartão de crédito</t>
        </is>
      </c>
      <c r="O140" s="48" t="n"/>
      <c r="P140" s="19" t="n"/>
      <c r="Q140" s="49" t="inlineStr">
        <is>
          <t>prevista (conta fixa)</t>
        </is>
      </c>
      <c r="R1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0" s="4" t="n"/>
      <c r="V140" s="4" t="n"/>
    </row>
    <row r="141" ht="20" customHeight="1">
      <c r="A141" s="4" t="n"/>
      <c r="B141" s="47" t="n">
        <v>46364</v>
      </c>
      <c r="C141" s="19" t="inlineStr">
        <is>
          <t>Mensalidade escolar</t>
        </is>
      </c>
      <c r="D141" s="20" t="n"/>
      <c r="E141" s="21" t="n">
        <v>1450</v>
      </c>
      <c r="F141" s="47" t="n">
        <v>46364</v>
      </c>
      <c r="G141" s="19" t="inlineStr">
        <is>
          <t>Pendente</t>
        </is>
      </c>
      <c r="H141" s="19" t="inlineStr">
        <is>
          <t>Despesa</t>
        </is>
      </c>
      <c r="I141" s="19" t="inlineStr">
        <is>
          <t>Educação</t>
        </is>
      </c>
      <c r="J141" s="19" t="inlineStr">
        <is>
          <t>Essenciais</t>
        </is>
      </c>
      <c r="K141" s="19" t="n"/>
      <c r="L141" s="19" t="n"/>
      <c r="M141" s="19" t="inlineStr">
        <is>
          <t>Conta corrente Itaú</t>
        </is>
      </c>
      <c r="N141" s="19" t="inlineStr">
        <is>
          <t>Boleto</t>
        </is>
      </c>
      <c r="O141" s="48" t="n"/>
      <c r="P141" s="19" t="n"/>
      <c r="Q141" s="49" t="inlineStr">
        <is>
          <t>prevista (conta fixa)</t>
        </is>
      </c>
      <c r="R1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1" s="4" t="n"/>
      <c r="V141" s="4" t="n"/>
    </row>
    <row r="142" ht="20" customHeight="1">
      <c r="A142" s="4" t="n"/>
      <c r="B142" s="47" t="n">
        <v>46366</v>
      </c>
      <c r="C142" s="19" t="inlineStr">
        <is>
          <t>Aluguel do apartamento</t>
        </is>
      </c>
      <c r="D142" s="20" t="n"/>
      <c r="E142" s="21" t="n">
        <v>2350</v>
      </c>
      <c r="F142" s="47" t="n">
        <v>46366</v>
      </c>
      <c r="G142" s="19" t="inlineStr">
        <is>
          <t>Pendente</t>
        </is>
      </c>
      <c r="H142" s="19" t="inlineStr">
        <is>
          <t>Despesa</t>
        </is>
      </c>
      <c r="I142" s="19" t="inlineStr">
        <is>
          <t>Moradia</t>
        </is>
      </c>
      <c r="J142" s="19" t="inlineStr">
        <is>
          <t>Essenciais</t>
        </is>
      </c>
      <c r="K142" s="19" t="n"/>
      <c r="L142" s="19" t="n"/>
      <c r="M142" s="19" t="inlineStr">
        <is>
          <t>Conta corrente Itaú</t>
        </is>
      </c>
      <c r="N142" s="19" t="inlineStr">
        <is>
          <t>Boleto</t>
        </is>
      </c>
      <c r="O142" s="48" t="n"/>
      <c r="P142" s="19" t="n"/>
      <c r="Q142" s="49" t="inlineStr">
        <is>
          <t>prevista (conta fixa)</t>
        </is>
      </c>
      <c r="R1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2" s="4" t="n"/>
      <c r="V142" s="4" t="n"/>
    </row>
    <row r="143" ht="20" customHeight="1">
      <c r="A143" s="4" t="n"/>
      <c r="B143" s="47" t="n">
        <v>46366</v>
      </c>
      <c r="C143" s="19" t="inlineStr">
        <is>
          <t>Conta de energia</t>
        </is>
      </c>
      <c r="D143" s="20" t="n"/>
      <c r="E143" s="21" t="n">
        <v>347.1</v>
      </c>
      <c r="F143" s="47" t="n">
        <v>46366</v>
      </c>
      <c r="G143" s="19" t="inlineStr">
        <is>
          <t>Pendente</t>
        </is>
      </c>
      <c r="H143" s="19" t="inlineStr">
        <is>
          <t>Despesa</t>
        </is>
      </c>
      <c r="I143" s="19" t="inlineStr">
        <is>
          <t>Contas da casa</t>
        </is>
      </c>
      <c r="J143" s="19" t="inlineStr">
        <is>
          <t>Essenciais</t>
        </is>
      </c>
      <c r="K143" s="19" t="n"/>
      <c r="L143" s="19" t="n"/>
      <c r="M143" s="19" t="inlineStr">
        <is>
          <t>Conta corrente Itaú</t>
        </is>
      </c>
      <c r="N143" s="19" t="inlineStr">
        <is>
          <t>Débito automático</t>
        </is>
      </c>
      <c r="O143" s="48" t="n"/>
      <c r="P143" s="19" t="n"/>
      <c r="Q143" s="49" t="inlineStr">
        <is>
          <t>prevista (conta fixa)</t>
        </is>
      </c>
      <c r="R1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3" s="4" t="n"/>
      <c r="V143" s="4" t="n"/>
    </row>
    <row r="144" ht="20" customHeight="1">
      <c r="A144" s="4" t="n"/>
      <c r="B144" s="47" t="n">
        <v>46368</v>
      </c>
      <c r="C144" s="19" t="inlineStr">
        <is>
          <t>Streaming + academia</t>
        </is>
      </c>
      <c r="D144" s="20" t="n"/>
      <c r="E144" s="21" t="n">
        <v>174.8</v>
      </c>
      <c r="F144" s="47" t="n">
        <v>46368</v>
      </c>
      <c r="G144" s="19" t="inlineStr">
        <is>
          <t>Pendente</t>
        </is>
      </c>
      <c r="H144" s="19" t="inlineStr">
        <is>
          <t>Despesa</t>
        </is>
      </c>
      <c r="I144" s="19" t="inlineStr">
        <is>
          <t>Assinaturas</t>
        </is>
      </c>
      <c r="J144" s="19" t="inlineStr">
        <is>
          <t>Essenciais</t>
        </is>
      </c>
      <c r="K144" s="19" t="n"/>
      <c r="L144" s="19" t="n"/>
      <c r="M144" s="19" t="inlineStr">
        <is>
          <t>Cartão Nubank</t>
        </is>
      </c>
      <c r="N144" s="19" t="inlineStr">
        <is>
          <t>Cartão de crédito</t>
        </is>
      </c>
      <c r="O144" s="48" t="n"/>
      <c r="P144" s="19" t="n"/>
      <c r="Q144" s="49" t="inlineStr">
        <is>
          <t>prevista (conta fixa)</t>
        </is>
      </c>
      <c r="R1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4" s="4" t="n"/>
      <c r="V144" s="4" t="n"/>
    </row>
    <row r="145" ht="20" customHeight="1">
      <c r="A145" s="4" t="n"/>
      <c r="B145" s="47" t="n">
        <v>46371</v>
      </c>
      <c r="C145" s="19" t="inlineStr">
        <is>
          <t>Combustível</t>
        </is>
      </c>
      <c r="D145" s="20" t="n"/>
      <c r="E145" s="21" t="n">
        <v>362.8</v>
      </c>
      <c r="F145" s="47" t="n">
        <v>46371</v>
      </c>
      <c r="G145" s="19" t="inlineStr">
        <is>
          <t>Pendente</t>
        </is>
      </c>
      <c r="H145" s="19" t="inlineStr">
        <is>
          <t>Despesa</t>
        </is>
      </c>
      <c r="I145" s="19" t="inlineStr">
        <is>
          <t>Transporte</t>
        </is>
      </c>
      <c r="J145" s="19" t="inlineStr">
        <is>
          <t>Essenciais</t>
        </is>
      </c>
      <c r="K145" s="19" t="n"/>
      <c r="L145" s="19" t="n"/>
      <c r="M145" s="19" t="inlineStr">
        <is>
          <t>Cartão Itaú</t>
        </is>
      </c>
      <c r="N145" s="19" t="inlineStr">
        <is>
          <t>Cartão de crédito</t>
        </is>
      </c>
      <c r="O145" s="48" t="n"/>
      <c r="P145" s="19" t="n"/>
      <c r="Q145" s="49" t="inlineStr">
        <is>
          <t>prevista (conta fixa)</t>
        </is>
      </c>
      <c r="R1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5" s="4" t="n"/>
      <c r="V145" s="4" t="n"/>
    </row>
    <row r="146" ht="20" customHeight="1">
      <c r="A146" s="4" t="n"/>
      <c r="B146" s="47" t="n">
        <v>46383</v>
      </c>
      <c r="C146" s="19" t="inlineStr">
        <is>
          <t>Cinema / passeio</t>
        </is>
      </c>
      <c r="D146" s="20" t="n"/>
      <c r="E146" s="21" t="n">
        <v>188</v>
      </c>
      <c r="F146" s="47" t="n">
        <v>46383</v>
      </c>
      <c r="G146" s="19" t="inlineStr">
        <is>
          <t>Pendente</t>
        </is>
      </c>
      <c r="H146" s="19" t="inlineStr">
        <is>
          <t>Despesa</t>
        </is>
      </c>
      <c r="I146" s="19" t="inlineStr">
        <is>
          <t>Lazer</t>
        </is>
      </c>
      <c r="J146" s="19" t="inlineStr">
        <is>
          <t>Lazer</t>
        </is>
      </c>
      <c r="K146" s="19" t="n"/>
      <c r="L146" s="19" t="n"/>
      <c r="M146" s="19" t="inlineStr">
        <is>
          <t>Conta Nubank</t>
        </is>
      </c>
      <c r="N146" s="19" t="inlineStr">
        <is>
          <t>PIX</t>
        </is>
      </c>
      <c r="O146" s="48" t="n"/>
      <c r="P146" s="19" t="n"/>
      <c r="Q146" s="49" t="inlineStr">
        <is>
          <t>prevista (conta fixa)</t>
        </is>
      </c>
      <c r="R1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6" s="4" t="n"/>
      <c r="V146" s="4" t="n"/>
    </row>
    <row r="147" ht="20" customHeight="1">
      <c r="A147" s="4" t="n"/>
      <c r="B147" s="47" t="n">
        <v>46390</v>
      </c>
      <c r="C147" s="19" t="inlineStr">
        <is>
          <t>Plano de saúde familiar</t>
        </is>
      </c>
      <c r="D147" s="20" t="n"/>
      <c r="E147" s="21" t="n">
        <v>890</v>
      </c>
      <c r="F147" s="47" t="n">
        <v>46390</v>
      </c>
      <c r="G147" s="19" t="inlineStr">
        <is>
          <t>Pendente</t>
        </is>
      </c>
      <c r="H147" s="19" t="inlineStr">
        <is>
          <t>Despesa</t>
        </is>
      </c>
      <c r="I147" s="19" t="inlineStr">
        <is>
          <t>Saúde</t>
        </is>
      </c>
      <c r="J147" s="19" t="inlineStr">
        <is>
          <t>Essenciais</t>
        </is>
      </c>
      <c r="K147" s="19" t="n"/>
      <c r="L147" s="19" t="n"/>
      <c r="M147" s="19" t="inlineStr">
        <is>
          <t>Conta corrente Itaú</t>
        </is>
      </c>
      <c r="N147" s="19" t="inlineStr">
        <is>
          <t>Débito automático</t>
        </is>
      </c>
      <c r="O147" s="48" t="n"/>
      <c r="P147" s="19" t="n"/>
      <c r="Q147" s="49" t="inlineStr">
        <is>
          <t>prevista (conta fixa)</t>
        </is>
      </c>
      <c r="R1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7" s="4" t="n"/>
      <c r="V147" s="4" t="n"/>
    </row>
    <row r="148" ht="20" customHeight="1">
      <c r="A148" s="4" t="n"/>
      <c r="B148" s="47" t="n">
        <v>46392</v>
      </c>
      <c r="C148" s="19" t="inlineStr">
        <is>
          <t>Salário — cônjuge</t>
        </is>
      </c>
      <c r="D148" s="20" t="n"/>
      <c r="E148" s="21" t="n">
        <v>5200</v>
      </c>
      <c r="F148" s="47" t="n">
        <v>46392</v>
      </c>
      <c r="G148" s="19" t="inlineStr">
        <is>
          <t>Pendente</t>
        </is>
      </c>
      <c r="H148" s="19" t="inlineStr">
        <is>
          <t>Receita</t>
        </is>
      </c>
      <c r="I148" s="19" t="inlineStr">
        <is>
          <t>Salário</t>
        </is>
      </c>
      <c r="J148" s="19" t="n"/>
      <c r="K148" s="19" t="n"/>
      <c r="L148" s="19" t="n"/>
      <c r="M148" s="19" t="inlineStr">
        <is>
          <t>Conta Nubank</t>
        </is>
      </c>
      <c r="N148" s="19" t="inlineStr">
        <is>
          <t>Transferência</t>
        </is>
      </c>
      <c r="O148" s="48" t="n"/>
      <c r="P148" s="19" t="n"/>
      <c r="Q148" s="49" t="inlineStr">
        <is>
          <t>prevista (conta fixa)</t>
        </is>
      </c>
      <c r="R1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8" s="4" t="n"/>
      <c r="V148" s="4" t="n"/>
    </row>
    <row r="149" ht="20" customHeight="1">
      <c r="A149" s="4" t="n"/>
      <c r="B149" s="47" t="n">
        <v>46392</v>
      </c>
      <c r="C149" s="19" t="inlineStr">
        <is>
          <t>Salário — titular</t>
        </is>
      </c>
      <c r="D149" s="20" t="n"/>
      <c r="E149" s="21" t="n">
        <v>7800</v>
      </c>
      <c r="F149" s="47" t="n">
        <v>46392</v>
      </c>
      <c r="G149" s="19" t="inlineStr">
        <is>
          <t>Pendente</t>
        </is>
      </c>
      <c r="H149" s="19" t="inlineStr">
        <is>
          <t>Receita</t>
        </is>
      </c>
      <c r="I149" s="19" t="inlineStr">
        <is>
          <t>Salário</t>
        </is>
      </c>
      <c r="J149" s="19" t="n"/>
      <c r="K149" s="19" t="n"/>
      <c r="L149" s="19" t="n"/>
      <c r="M149" s="19" t="inlineStr">
        <is>
          <t>Conta corrente Itaú</t>
        </is>
      </c>
      <c r="N149" s="19" t="inlineStr">
        <is>
          <t>Transferência</t>
        </is>
      </c>
      <c r="O149" s="48" t="n"/>
      <c r="P149" s="19" t="n"/>
      <c r="Q149" s="49" t="inlineStr">
        <is>
          <t>prevista (conta fixa)</t>
        </is>
      </c>
      <c r="R1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9" s="4" t="n"/>
      <c r="V149" s="4" t="n"/>
    </row>
    <row r="150" ht="20" customHeight="1">
      <c r="A150" s="4" t="n"/>
      <c r="B150" s="47" t="n">
        <v>46394</v>
      </c>
      <c r="C150" s="19" t="inlineStr">
        <is>
          <t>Mercado do mês</t>
        </is>
      </c>
      <c r="D150" s="20" t="n"/>
      <c r="E150" s="21" t="n">
        <v>934.1799999999999</v>
      </c>
      <c r="F150" s="47" t="n">
        <v>46394</v>
      </c>
      <c r="G150" s="19" t="inlineStr">
        <is>
          <t>Pendente</t>
        </is>
      </c>
      <c r="H150" s="19" t="inlineStr">
        <is>
          <t>Despesa</t>
        </is>
      </c>
      <c r="I150" s="19" t="inlineStr">
        <is>
          <t>Alimentação</t>
        </is>
      </c>
      <c r="J150" s="19" t="inlineStr">
        <is>
          <t>Essenciais</t>
        </is>
      </c>
      <c r="K150" s="19" t="n"/>
      <c r="L150" s="19" t="n"/>
      <c r="M150" s="19" t="inlineStr">
        <is>
          <t>Cartão Nubank</t>
        </is>
      </c>
      <c r="N150" s="19" t="inlineStr">
        <is>
          <t>Cartão de crédito</t>
        </is>
      </c>
      <c r="O150" s="48" t="n"/>
      <c r="P150" s="19" t="n"/>
      <c r="Q150" s="49" t="inlineStr">
        <is>
          <t>prevista (conta fixa)</t>
        </is>
      </c>
      <c r="R1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0" s="4" t="n"/>
      <c r="V150" s="4" t="n"/>
    </row>
    <row r="151" ht="20" customHeight="1">
      <c r="A151" s="4" t="n"/>
      <c r="B151" s="47" t="n">
        <v>46395</v>
      </c>
      <c r="C151" s="19" t="inlineStr">
        <is>
          <t>Mensalidade escolar</t>
        </is>
      </c>
      <c r="D151" s="20" t="n"/>
      <c r="E151" s="21" t="n">
        <v>1450</v>
      </c>
      <c r="F151" s="47" t="n">
        <v>46395</v>
      </c>
      <c r="G151" s="19" t="inlineStr">
        <is>
          <t>Pendente</t>
        </is>
      </c>
      <c r="H151" s="19" t="inlineStr">
        <is>
          <t>Despesa</t>
        </is>
      </c>
      <c r="I151" s="19" t="inlineStr">
        <is>
          <t>Educação</t>
        </is>
      </c>
      <c r="J151" s="19" t="inlineStr">
        <is>
          <t>Essenciais</t>
        </is>
      </c>
      <c r="K151" s="19" t="n"/>
      <c r="L151" s="19" t="n"/>
      <c r="M151" s="19" t="inlineStr">
        <is>
          <t>Conta corrente Itaú</t>
        </is>
      </c>
      <c r="N151" s="19" t="inlineStr">
        <is>
          <t>Boleto</t>
        </is>
      </c>
      <c r="O151" s="48" t="n"/>
      <c r="P151" s="19" t="n"/>
      <c r="Q151" s="49" t="inlineStr">
        <is>
          <t>prevista (conta fixa)</t>
        </is>
      </c>
      <c r="R1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1" s="4" t="n"/>
      <c r="V151" s="4" t="n"/>
    </row>
    <row r="152" ht="20" customHeight="1">
      <c r="A152" s="4" t="n"/>
      <c r="B152" s="47" t="n">
        <v>46397</v>
      </c>
      <c r="C152" s="19" t="inlineStr">
        <is>
          <t>Aluguel do apartamento</t>
        </is>
      </c>
      <c r="D152" s="20" t="n"/>
      <c r="E152" s="21" t="n">
        <v>2350</v>
      </c>
      <c r="F152" s="47" t="n">
        <v>46397</v>
      </c>
      <c r="G152" s="19" t="inlineStr">
        <is>
          <t>Pendente</t>
        </is>
      </c>
      <c r="H152" s="19" t="inlineStr">
        <is>
          <t>Despesa</t>
        </is>
      </c>
      <c r="I152" s="19" t="inlineStr">
        <is>
          <t>Moradia</t>
        </is>
      </c>
      <c r="J152" s="19" t="inlineStr">
        <is>
          <t>Essenciais</t>
        </is>
      </c>
      <c r="K152" s="19" t="n"/>
      <c r="L152" s="19" t="n"/>
      <c r="M152" s="19" t="inlineStr">
        <is>
          <t>Conta corrente Itaú</t>
        </is>
      </c>
      <c r="N152" s="19" t="inlineStr">
        <is>
          <t>Boleto</t>
        </is>
      </c>
      <c r="O152" s="48" t="n"/>
      <c r="P152" s="19" t="n"/>
      <c r="Q152" s="49" t="inlineStr">
        <is>
          <t>prevista (conta fixa)</t>
        </is>
      </c>
      <c r="R1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2" s="4" t="n"/>
      <c r="V152" s="4" t="n"/>
    </row>
    <row r="153" ht="20" customHeight="1">
      <c r="A153" s="4" t="n"/>
      <c r="B153" s="47" t="n">
        <v>46397</v>
      </c>
      <c r="C153" s="19" t="inlineStr">
        <is>
          <t>Conta de energia</t>
        </is>
      </c>
      <c r="D153" s="20" t="n"/>
      <c r="E153" s="21" t="n">
        <v>347.1</v>
      </c>
      <c r="F153" s="47" t="n">
        <v>46397</v>
      </c>
      <c r="G153" s="19" t="inlineStr">
        <is>
          <t>Pendente</t>
        </is>
      </c>
      <c r="H153" s="19" t="inlineStr">
        <is>
          <t>Despesa</t>
        </is>
      </c>
      <c r="I153" s="19" t="inlineStr">
        <is>
          <t>Contas da casa</t>
        </is>
      </c>
      <c r="J153" s="19" t="inlineStr">
        <is>
          <t>Essenciais</t>
        </is>
      </c>
      <c r="K153" s="19" t="n"/>
      <c r="L153" s="19" t="n"/>
      <c r="M153" s="19" t="inlineStr">
        <is>
          <t>Conta corrente Itaú</t>
        </is>
      </c>
      <c r="N153" s="19" t="inlineStr">
        <is>
          <t>Débito automático</t>
        </is>
      </c>
      <c r="O153" s="48" t="n"/>
      <c r="P153" s="19" t="n"/>
      <c r="Q153" s="49" t="inlineStr">
        <is>
          <t>prevista (conta fixa)</t>
        </is>
      </c>
      <c r="R1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3" s="4" t="n"/>
      <c r="V153" s="4" t="n"/>
    </row>
    <row r="154" ht="20" customHeight="1">
      <c r="A154" s="4" t="n"/>
      <c r="B154" s="47" t="n">
        <v>46399</v>
      </c>
      <c r="C154" s="19" t="inlineStr">
        <is>
          <t>Streaming + academia</t>
        </is>
      </c>
      <c r="D154" s="20" t="n"/>
      <c r="E154" s="21" t="n">
        <v>174.8</v>
      </c>
      <c r="F154" s="47" t="n">
        <v>46399</v>
      </c>
      <c r="G154" s="19" t="inlineStr">
        <is>
          <t>Pendente</t>
        </is>
      </c>
      <c r="H154" s="19" t="inlineStr">
        <is>
          <t>Despesa</t>
        </is>
      </c>
      <c r="I154" s="19" t="inlineStr">
        <is>
          <t>Assinaturas</t>
        </is>
      </c>
      <c r="J154" s="19" t="inlineStr">
        <is>
          <t>Essenciais</t>
        </is>
      </c>
      <c r="K154" s="19" t="n"/>
      <c r="L154" s="19" t="n"/>
      <c r="M154" s="19" t="inlineStr">
        <is>
          <t>Cartão Nubank</t>
        </is>
      </c>
      <c r="N154" s="19" t="inlineStr">
        <is>
          <t>Cartão de crédito</t>
        </is>
      </c>
      <c r="O154" s="48" t="n"/>
      <c r="P154" s="19" t="n"/>
      <c r="Q154" s="49" t="inlineStr">
        <is>
          <t>prevista (conta fixa)</t>
        </is>
      </c>
      <c r="R1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4" s="4" t="n"/>
      <c r="V154" s="4" t="n"/>
    </row>
    <row r="155" ht="20" customHeight="1">
      <c r="A155" s="4" t="n"/>
      <c r="B155" s="47" t="n">
        <v>46402</v>
      </c>
      <c r="C155" s="19" t="inlineStr">
        <is>
          <t>Combustível</t>
        </is>
      </c>
      <c r="D155" s="20" t="n"/>
      <c r="E155" s="21" t="n">
        <v>362.8</v>
      </c>
      <c r="F155" s="47" t="n">
        <v>46402</v>
      </c>
      <c r="G155" s="19" t="inlineStr">
        <is>
          <t>Pendente</t>
        </is>
      </c>
      <c r="H155" s="19" t="inlineStr">
        <is>
          <t>Despesa</t>
        </is>
      </c>
      <c r="I155" s="19" t="inlineStr">
        <is>
          <t>Transporte</t>
        </is>
      </c>
      <c r="J155" s="19" t="inlineStr">
        <is>
          <t>Essenciais</t>
        </is>
      </c>
      <c r="K155" s="19" t="n"/>
      <c r="L155" s="19" t="n"/>
      <c r="M155" s="19" t="inlineStr">
        <is>
          <t>Cartão Itaú</t>
        </is>
      </c>
      <c r="N155" s="19" t="inlineStr">
        <is>
          <t>Cartão de crédito</t>
        </is>
      </c>
      <c r="O155" s="48" t="n"/>
      <c r="P155" s="19" t="n"/>
      <c r="Q155" s="49" t="inlineStr">
        <is>
          <t>prevista (conta fixa)</t>
        </is>
      </c>
      <c r="R1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5" s="4" t="n"/>
      <c r="V155" s="4" t="n"/>
    </row>
    <row r="156" ht="20" customHeight="1">
      <c r="A156" s="4" t="n"/>
      <c r="B156" s="47" t="n">
        <v>46414</v>
      </c>
      <c r="C156" s="19" t="inlineStr">
        <is>
          <t>Cinema / passeio</t>
        </is>
      </c>
      <c r="D156" s="20" t="n"/>
      <c r="E156" s="21" t="n">
        <v>188</v>
      </c>
      <c r="F156" s="47" t="n">
        <v>46414</v>
      </c>
      <c r="G156" s="19" t="inlineStr">
        <is>
          <t>Pendente</t>
        </is>
      </c>
      <c r="H156" s="19" t="inlineStr">
        <is>
          <t>Despesa</t>
        </is>
      </c>
      <c r="I156" s="19" t="inlineStr">
        <is>
          <t>Lazer</t>
        </is>
      </c>
      <c r="J156" s="19" t="inlineStr">
        <is>
          <t>Lazer</t>
        </is>
      </c>
      <c r="K156" s="19" t="n"/>
      <c r="L156" s="19" t="n"/>
      <c r="M156" s="19" t="inlineStr">
        <is>
          <t>Conta Nubank</t>
        </is>
      </c>
      <c r="N156" s="19" t="inlineStr">
        <is>
          <t>PIX</t>
        </is>
      </c>
      <c r="O156" s="48" t="n"/>
      <c r="P156" s="19" t="n"/>
      <c r="Q156" s="49" t="inlineStr">
        <is>
          <t>prevista (conta fixa)</t>
        </is>
      </c>
      <c r="R1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6" s="4" t="n"/>
      <c r="V156" s="4" t="n"/>
    </row>
    <row r="157" ht="20" customHeight="1">
      <c r="A157" s="4" t="n"/>
      <c r="B157" s="47" t="n">
        <v>46421</v>
      </c>
      <c r="C157" s="19" t="inlineStr">
        <is>
          <t>Plano de saúde familiar</t>
        </is>
      </c>
      <c r="D157" s="20" t="n"/>
      <c r="E157" s="21" t="n">
        <v>890</v>
      </c>
      <c r="F157" s="47" t="n">
        <v>46421</v>
      </c>
      <c r="G157" s="19" t="inlineStr">
        <is>
          <t>Pendente</t>
        </is>
      </c>
      <c r="H157" s="19" t="inlineStr">
        <is>
          <t>Despesa</t>
        </is>
      </c>
      <c r="I157" s="19" t="inlineStr">
        <is>
          <t>Saúde</t>
        </is>
      </c>
      <c r="J157" s="19" t="inlineStr">
        <is>
          <t>Essenciais</t>
        </is>
      </c>
      <c r="K157" s="19" t="n"/>
      <c r="L157" s="19" t="n"/>
      <c r="M157" s="19" t="inlineStr">
        <is>
          <t>Conta corrente Itaú</t>
        </is>
      </c>
      <c r="N157" s="19" t="inlineStr">
        <is>
          <t>Débito automático</t>
        </is>
      </c>
      <c r="O157" s="48" t="n"/>
      <c r="P157" s="19" t="n"/>
      <c r="Q157" s="49" t="inlineStr">
        <is>
          <t>prevista (conta fixa)</t>
        </is>
      </c>
      <c r="R1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7" s="4" t="n"/>
      <c r="V157" s="4" t="n"/>
    </row>
    <row r="158" ht="20" customHeight="1">
      <c r="A158" s="4" t="n"/>
      <c r="B158" s="47" t="n">
        <v>46423</v>
      </c>
      <c r="C158" s="19" t="inlineStr">
        <is>
          <t>Salário — cônjuge</t>
        </is>
      </c>
      <c r="D158" s="20" t="n"/>
      <c r="E158" s="21" t="n">
        <v>5200</v>
      </c>
      <c r="F158" s="47" t="n">
        <v>46423</v>
      </c>
      <c r="G158" s="19" t="inlineStr">
        <is>
          <t>Pendente</t>
        </is>
      </c>
      <c r="H158" s="19" t="inlineStr">
        <is>
          <t>Receita</t>
        </is>
      </c>
      <c r="I158" s="19" t="inlineStr">
        <is>
          <t>Salário</t>
        </is>
      </c>
      <c r="J158" s="19" t="n"/>
      <c r="K158" s="19" t="n"/>
      <c r="L158" s="19" t="n"/>
      <c r="M158" s="19" t="inlineStr">
        <is>
          <t>Conta Nubank</t>
        </is>
      </c>
      <c r="N158" s="19" t="inlineStr">
        <is>
          <t>Transferência</t>
        </is>
      </c>
      <c r="O158" s="48" t="n"/>
      <c r="P158" s="19" t="n"/>
      <c r="Q158" s="49" t="inlineStr">
        <is>
          <t>prevista (conta fixa)</t>
        </is>
      </c>
      <c r="R1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8" s="4" t="n"/>
      <c r="V158" s="4" t="n"/>
    </row>
    <row r="159" ht="20" customHeight="1">
      <c r="A159" s="4" t="n"/>
      <c r="B159" s="47" t="n">
        <v>46423</v>
      </c>
      <c r="C159" s="19" t="inlineStr">
        <is>
          <t>Salário — titular</t>
        </is>
      </c>
      <c r="D159" s="20" t="n"/>
      <c r="E159" s="21" t="n">
        <v>7800</v>
      </c>
      <c r="F159" s="47" t="n">
        <v>46423</v>
      </c>
      <c r="G159" s="19" t="inlineStr">
        <is>
          <t>Pendente</t>
        </is>
      </c>
      <c r="H159" s="19" t="inlineStr">
        <is>
          <t>Receita</t>
        </is>
      </c>
      <c r="I159" s="19" t="inlineStr">
        <is>
          <t>Salário</t>
        </is>
      </c>
      <c r="J159" s="19" t="n"/>
      <c r="K159" s="19" t="n"/>
      <c r="L159" s="19" t="n"/>
      <c r="M159" s="19" t="inlineStr">
        <is>
          <t>Conta corrente Itaú</t>
        </is>
      </c>
      <c r="N159" s="19" t="inlineStr">
        <is>
          <t>Transferência</t>
        </is>
      </c>
      <c r="O159" s="48" t="n"/>
      <c r="P159" s="19" t="n"/>
      <c r="Q159" s="49" t="inlineStr">
        <is>
          <t>prevista (conta fixa)</t>
        </is>
      </c>
      <c r="R1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9" s="4" t="n"/>
      <c r="V159" s="4" t="n"/>
    </row>
    <row r="160" ht="20" customHeight="1">
      <c r="A160" s="4" t="n"/>
      <c r="B160" s="47" t="n">
        <v>46425</v>
      </c>
      <c r="C160" s="19" t="inlineStr">
        <is>
          <t>Mercado do mês</t>
        </is>
      </c>
      <c r="D160" s="20" t="n"/>
      <c r="E160" s="21" t="n">
        <v>934.1799999999999</v>
      </c>
      <c r="F160" s="47" t="n">
        <v>46425</v>
      </c>
      <c r="G160" s="19" t="inlineStr">
        <is>
          <t>Pendente</t>
        </is>
      </c>
      <c r="H160" s="19" t="inlineStr">
        <is>
          <t>Despesa</t>
        </is>
      </c>
      <c r="I160" s="19" t="inlineStr">
        <is>
          <t>Alimentação</t>
        </is>
      </c>
      <c r="J160" s="19" t="inlineStr">
        <is>
          <t>Essenciais</t>
        </is>
      </c>
      <c r="K160" s="19" t="n"/>
      <c r="L160" s="19" t="n"/>
      <c r="M160" s="19" t="inlineStr">
        <is>
          <t>Cartão Nubank</t>
        </is>
      </c>
      <c r="N160" s="19" t="inlineStr">
        <is>
          <t>Cartão de crédito</t>
        </is>
      </c>
      <c r="O160" s="48" t="n"/>
      <c r="P160" s="19" t="n"/>
      <c r="Q160" s="49" t="inlineStr">
        <is>
          <t>prevista (conta fixa)</t>
        </is>
      </c>
      <c r="R1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0" s="4" t="n"/>
      <c r="V160" s="4" t="n"/>
    </row>
    <row r="161" ht="20" customHeight="1">
      <c r="A161" s="4" t="n"/>
      <c r="B161" s="47" t="n">
        <v>46426</v>
      </c>
      <c r="C161" s="19" t="inlineStr">
        <is>
          <t>Mensalidade escolar</t>
        </is>
      </c>
      <c r="D161" s="20" t="n"/>
      <c r="E161" s="21" t="n">
        <v>1450</v>
      </c>
      <c r="F161" s="47" t="n">
        <v>46426</v>
      </c>
      <c r="G161" s="19" t="inlineStr">
        <is>
          <t>Pendente</t>
        </is>
      </c>
      <c r="H161" s="19" t="inlineStr">
        <is>
          <t>Despesa</t>
        </is>
      </c>
      <c r="I161" s="19" t="inlineStr">
        <is>
          <t>Educação</t>
        </is>
      </c>
      <c r="J161" s="19" t="inlineStr">
        <is>
          <t>Essenciais</t>
        </is>
      </c>
      <c r="K161" s="19" t="n"/>
      <c r="L161" s="19" t="n"/>
      <c r="M161" s="19" t="inlineStr">
        <is>
          <t>Conta corrente Itaú</t>
        </is>
      </c>
      <c r="N161" s="19" t="inlineStr">
        <is>
          <t>Boleto</t>
        </is>
      </c>
      <c r="O161" s="48" t="n"/>
      <c r="P161" s="19" t="n"/>
      <c r="Q161" s="49" t="inlineStr">
        <is>
          <t>prevista (conta fixa)</t>
        </is>
      </c>
      <c r="R1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1" s="4" t="n"/>
      <c r="V161" s="4" t="n"/>
    </row>
    <row r="162" ht="20" customHeight="1">
      <c r="A162" s="4" t="n"/>
      <c r="B162" s="47" t="n">
        <v>46428</v>
      </c>
      <c r="C162" s="19" t="inlineStr">
        <is>
          <t>Aluguel do apartamento</t>
        </is>
      </c>
      <c r="D162" s="20" t="n"/>
      <c r="E162" s="21" t="n">
        <v>2350</v>
      </c>
      <c r="F162" s="47" t="n">
        <v>46428</v>
      </c>
      <c r="G162" s="19" t="inlineStr">
        <is>
          <t>Pendente</t>
        </is>
      </c>
      <c r="H162" s="19" t="inlineStr">
        <is>
          <t>Despesa</t>
        </is>
      </c>
      <c r="I162" s="19" t="inlineStr">
        <is>
          <t>Moradia</t>
        </is>
      </c>
      <c r="J162" s="19" t="inlineStr">
        <is>
          <t>Essenciais</t>
        </is>
      </c>
      <c r="K162" s="19" t="n"/>
      <c r="L162" s="19" t="n"/>
      <c r="M162" s="19" t="inlineStr">
        <is>
          <t>Conta corrente Itaú</t>
        </is>
      </c>
      <c r="N162" s="19" t="inlineStr">
        <is>
          <t>Boleto</t>
        </is>
      </c>
      <c r="O162" s="48" t="n"/>
      <c r="P162" s="19" t="n"/>
      <c r="Q162" s="49" t="inlineStr">
        <is>
          <t>prevista (conta fixa)</t>
        </is>
      </c>
      <c r="R1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2" s="4" t="n"/>
      <c r="V162" s="4" t="n"/>
    </row>
    <row r="163" ht="20" customHeight="1">
      <c r="A163" s="4" t="n"/>
      <c r="B163" s="47" t="n">
        <v>46428</v>
      </c>
      <c r="C163" s="19" t="inlineStr">
        <is>
          <t>Conta de energia</t>
        </is>
      </c>
      <c r="D163" s="20" t="n"/>
      <c r="E163" s="21" t="n">
        <v>347.1</v>
      </c>
      <c r="F163" s="47" t="n">
        <v>46428</v>
      </c>
      <c r="G163" s="19" t="inlineStr">
        <is>
          <t>Pendente</t>
        </is>
      </c>
      <c r="H163" s="19" t="inlineStr">
        <is>
          <t>Despesa</t>
        </is>
      </c>
      <c r="I163" s="19" t="inlineStr">
        <is>
          <t>Contas da casa</t>
        </is>
      </c>
      <c r="J163" s="19" t="inlineStr">
        <is>
          <t>Essenciais</t>
        </is>
      </c>
      <c r="K163" s="19" t="n"/>
      <c r="L163" s="19" t="n"/>
      <c r="M163" s="19" t="inlineStr">
        <is>
          <t>Conta corrente Itaú</t>
        </is>
      </c>
      <c r="N163" s="19" t="inlineStr">
        <is>
          <t>Débito automático</t>
        </is>
      </c>
      <c r="O163" s="48" t="n"/>
      <c r="P163" s="19" t="n"/>
      <c r="Q163" s="49" t="inlineStr">
        <is>
          <t>prevista (conta fixa)</t>
        </is>
      </c>
      <c r="R1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3" s="4" t="n"/>
      <c r="V163" s="4" t="n"/>
    </row>
    <row r="164" ht="20" customHeight="1">
      <c r="A164" s="4" t="n"/>
      <c r="B164" s="47" t="n">
        <v>46430</v>
      </c>
      <c r="C164" s="19" t="inlineStr">
        <is>
          <t>Streaming + academia</t>
        </is>
      </c>
      <c r="D164" s="20" t="n"/>
      <c r="E164" s="21" t="n">
        <v>174.8</v>
      </c>
      <c r="F164" s="47" t="n">
        <v>46430</v>
      </c>
      <c r="G164" s="19" t="inlineStr">
        <is>
          <t>Pendente</t>
        </is>
      </c>
      <c r="H164" s="19" t="inlineStr">
        <is>
          <t>Despesa</t>
        </is>
      </c>
      <c r="I164" s="19" t="inlineStr">
        <is>
          <t>Assinaturas</t>
        </is>
      </c>
      <c r="J164" s="19" t="inlineStr">
        <is>
          <t>Essenciais</t>
        </is>
      </c>
      <c r="K164" s="19" t="n"/>
      <c r="L164" s="19" t="n"/>
      <c r="M164" s="19" t="inlineStr">
        <is>
          <t>Cartão Nubank</t>
        </is>
      </c>
      <c r="N164" s="19" t="inlineStr">
        <is>
          <t>Cartão de crédito</t>
        </is>
      </c>
      <c r="O164" s="48" t="n"/>
      <c r="P164" s="19" t="n"/>
      <c r="Q164" s="49" t="inlineStr">
        <is>
          <t>prevista (conta fixa)</t>
        </is>
      </c>
      <c r="R1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4" s="4" t="n"/>
      <c r="V164" s="4" t="n"/>
    </row>
    <row r="165" ht="20" customHeight="1">
      <c r="A165" s="4" t="n"/>
      <c r="B165" s="47" t="n">
        <v>46433</v>
      </c>
      <c r="C165" s="19" t="inlineStr">
        <is>
          <t>Combustível</t>
        </is>
      </c>
      <c r="D165" s="20" t="n"/>
      <c r="E165" s="21" t="n">
        <v>362.8</v>
      </c>
      <c r="F165" s="47" t="n">
        <v>46433</v>
      </c>
      <c r="G165" s="19" t="inlineStr">
        <is>
          <t>Pendente</t>
        </is>
      </c>
      <c r="H165" s="19" t="inlineStr">
        <is>
          <t>Despesa</t>
        </is>
      </c>
      <c r="I165" s="19" t="inlineStr">
        <is>
          <t>Transporte</t>
        </is>
      </c>
      <c r="J165" s="19" t="inlineStr">
        <is>
          <t>Essenciais</t>
        </is>
      </c>
      <c r="K165" s="19" t="n"/>
      <c r="L165" s="19" t="n"/>
      <c r="M165" s="19" t="inlineStr">
        <is>
          <t>Cartão Itaú</t>
        </is>
      </c>
      <c r="N165" s="19" t="inlineStr">
        <is>
          <t>Cartão de crédito</t>
        </is>
      </c>
      <c r="O165" s="48" t="n"/>
      <c r="P165" s="19" t="n"/>
      <c r="Q165" s="49" t="inlineStr">
        <is>
          <t>prevista (conta fixa)</t>
        </is>
      </c>
      <c r="R1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5" s="4" t="n"/>
      <c r="V165" s="4" t="n"/>
    </row>
    <row r="166" ht="20" customHeight="1">
      <c r="A166" s="4" t="n"/>
      <c r="B166" s="47" t="n">
        <v>46445</v>
      </c>
      <c r="C166" s="19" t="inlineStr">
        <is>
          <t>Cinema / passeio</t>
        </is>
      </c>
      <c r="D166" s="20" t="n"/>
      <c r="E166" s="21" t="n">
        <v>188</v>
      </c>
      <c r="F166" s="47" t="n">
        <v>46445</v>
      </c>
      <c r="G166" s="19" t="inlineStr">
        <is>
          <t>Pendente</t>
        </is>
      </c>
      <c r="H166" s="19" t="inlineStr">
        <is>
          <t>Despesa</t>
        </is>
      </c>
      <c r="I166" s="19" t="inlineStr">
        <is>
          <t>Lazer</t>
        </is>
      </c>
      <c r="J166" s="19" t="inlineStr">
        <is>
          <t>Lazer</t>
        </is>
      </c>
      <c r="K166" s="19" t="n"/>
      <c r="L166" s="19" t="n"/>
      <c r="M166" s="19" t="inlineStr">
        <is>
          <t>Conta Nubank</t>
        </is>
      </c>
      <c r="N166" s="19" t="inlineStr">
        <is>
          <t>PIX</t>
        </is>
      </c>
      <c r="O166" s="48" t="n"/>
      <c r="P166" s="19" t="n"/>
      <c r="Q166" s="49" t="inlineStr">
        <is>
          <t>prevista (conta fixa)</t>
        </is>
      </c>
      <c r="R1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6" s="4" t="n"/>
      <c r="V166" s="4" t="n"/>
    </row>
    <row r="167" ht="20" customHeight="1">
      <c r="A167" s="4" t="n"/>
      <c r="B167" s="47" t="n">
        <v>46449</v>
      </c>
      <c r="C167" s="19" t="inlineStr">
        <is>
          <t>Plano de saúde familiar</t>
        </is>
      </c>
      <c r="D167" s="20" t="n"/>
      <c r="E167" s="21" t="n">
        <v>890</v>
      </c>
      <c r="F167" s="47" t="n">
        <v>46449</v>
      </c>
      <c r="G167" s="19" t="inlineStr">
        <is>
          <t>Pendente</t>
        </is>
      </c>
      <c r="H167" s="19" t="inlineStr">
        <is>
          <t>Despesa</t>
        </is>
      </c>
      <c r="I167" s="19" t="inlineStr">
        <is>
          <t>Saúde</t>
        </is>
      </c>
      <c r="J167" s="19" t="inlineStr">
        <is>
          <t>Essenciais</t>
        </is>
      </c>
      <c r="K167" s="19" t="n"/>
      <c r="L167" s="19" t="n"/>
      <c r="M167" s="19" t="inlineStr">
        <is>
          <t>Conta corrente Itaú</t>
        </is>
      </c>
      <c r="N167" s="19" t="inlineStr">
        <is>
          <t>Débito automático</t>
        </is>
      </c>
      <c r="O167" s="48" t="n"/>
      <c r="P167" s="19" t="n"/>
      <c r="Q167" s="49" t="inlineStr">
        <is>
          <t>prevista (conta fixa)</t>
        </is>
      </c>
      <c r="R1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7" s="4" t="n"/>
      <c r="V167" s="4" t="n"/>
    </row>
    <row r="168" ht="20" customHeight="1">
      <c r="A168" s="4" t="n"/>
      <c r="B168" s="47" t="n">
        <v>46451</v>
      </c>
      <c r="C168" s="19" t="inlineStr">
        <is>
          <t>Salário — cônjuge</t>
        </is>
      </c>
      <c r="D168" s="20" t="n"/>
      <c r="E168" s="21" t="n">
        <v>5200</v>
      </c>
      <c r="F168" s="47" t="n">
        <v>46451</v>
      </c>
      <c r="G168" s="19" t="inlineStr">
        <is>
          <t>Pendente</t>
        </is>
      </c>
      <c r="H168" s="19" t="inlineStr">
        <is>
          <t>Receita</t>
        </is>
      </c>
      <c r="I168" s="19" t="inlineStr">
        <is>
          <t>Salário</t>
        </is>
      </c>
      <c r="J168" s="19" t="n"/>
      <c r="K168" s="19" t="n"/>
      <c r="L168" s="19" t="n"/>
      <c r="M168" s="19" t="inlineStr">
        <is>
          <t>Conta Nubank</t>
        </is>
      </c>
      <c r="N168" s="19" t="inlineStr">
        <is>
          <t>Transferência</t>
        </is>
      </c>
      <c r="O168" s="48" t="n"/>
      <c r="P168" s="19" t="n"/>
      <c r="Q168" s="49" t="inlineStr">
        <is>
          <t>prevista (conta fixa)</t>
        </is>
      </c>
      <c r="R1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8" s="4" t="n"/>
      <c r="V168" s="4" t="n"/>
    </row>
    <row r="169" ht="20" customHeight="1">
      <c r="A169" s="4" t="n"/>
      <c r="B169" s="47" t="n">
        <v>46451</v>
      </c>
      <c r="C169" s="19" t="inlineStr">
        <is>
          <t>Salário — titular</t>
        </is>
      </c>
      <c r="D169" s="20" t="n"/>
      <c r="E169" s="21" t="n">
        <v>7800</v>
      </c>
      <c r="F169" s="47" t="n">
        <v>46451</v>
      </c>
      <c r="G169" s="19" t="inlineStr">
        <is>
          <t>Pendente</t>
        </is>
      </c>
      <c r="H169" s="19" t="inlineStr">
        <is>
          <t>Receita</t>
        </is>
      </c>
      <c r="I169" s="19" t="inlineStr">
        <is>
          <t>Salário</t>
        </is>
      </c>
      <c r="J169" s="19" t="n"/>
      <c r="K169" s="19" t="n"/>
      <c r="L169" s="19" t="n"/>
      <c r="M169" s="19" t="inlineStr">
        <is>
          <t>Conta corrente Itaú</t>
        </is>
      </c>
      <c r="N169" s="19" t="inlineStr">
        <is>
          <t>Transferência</t>
        </is>
      </c>
      <c r="O169" s="48" t="n"/>
      <c r="P169" s="19" t="n"/>
      <c r="Q169" s="49" t="inlineStr">
        <is>
          <t>prevista (conta fixa)</t>
        </is>
      </c>
      <c r="R1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9" s="4" t="n"/>
      <c r="V169" s="4" t="n"/>
    </row>
    <row r="170" ht="20" customHeight="1">
      <c r="A170" s="4" t="n"/>
      <c r="B170" s="47" t="n">
        <v>46453</v>
      </c>
      <c r="C170" s="19" t="inlineStr">
        <is>
          <t>Mercado do mês</t>
        </is>
      </c>
      <c r="D170" s="20" t="n"/>
      <c r="E170" s="21" t="n">
        <v>934.1799999999999</v>
      </c>
      <c r="F170" s="47" t="n">
        <v>46453</v>
      </c>
      <c r="G170" s="19" t="inlineStr">
        <is>
          <t>Pendente</t>
        </is>
      </c>
      <c r="H170" s="19" t="inlineStr">
        <is>
          <t>Despesa</t>
        </is>
      </c>
      <c r="I170" s="19" t="inlineStr">
        <is>
          <t>Alimentação</t>
        </is>
      </c>
      <c r="J170" s="19" t="inlineStr">
        <is>
          <t>Essenciais</t>
        </is>
      </c>
      <c r="K170" s="19" t="n"/>
      <c r="L170" s="19" t="n"/>
      <c r="M170" s="19" t="inlineStr">
        <is>
          <t>Cartão Nubank</t>
        </is>
      </c>
      <c r="N170" s="19" t="inlineStr">
        <is>
          <t>Cartão de crédito</t>
        </is>
      </c>
      <c r="O170" s="48" t="n"/>
      <c r="P170" s="19" t="n"/>
      <c r="Q170" s="49" t="inlineStr">
        <is>
          <t>prevista (conta fixa)</t>
        </is>
      </c>
      <c r="R1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0" s="4" t="n"/>
      <c r="V170" s="4" t="n"/>
    </row>
    <row r="171" ht="20" customHeight="1">
      <c r="A171" s="4" t="n"/>
      <c r="B171" s="47" t="n">
        <v>46454</v>
      </c>
      <c r="C171" s="19" t="inlineStr">
        <is>
          <t>Mensalidade escolar</t>
        </is>
      </c>
      <c r="D171" s="20" t="n"/>
      <c r="E171" s="21" t="n">
        <v>1450</v>
      </c>
      <c r="F171" s="47" t="n">
        <v>46454</v>
      </c>
      <c r="G171" s="19" t="inlineStr">
        <is>
          <t>Pendente</t>
        </is>
      </c>
      <c r="H171" s="19" t="inlineStr">
        <is>
          <t>Despesa</t>
        </is>
      </c>
      <c r="I171" s="19" t="inlineStr">
        <is>
          <t>Educação</t>
        </is>
      </c>
      <c r="J171" s="19" t="inlineStr">
        <is>
          <t>Essenciais</t>
        </is>
      </c>
      <c r="K171" s="19" t="n"/>
      <c r="L171" s="19" t="n"/>
      <c r="M171" s="19" t="inlineStr">
        <is>
          <t>Conta corrente Itaú</t>
        </is>
      </c>
      <c r="N171" s="19" t="inlineStr">
        <is>
          <t>Boleto</t>
        </is>
      </c>
      <c r="O171" s="48" t="n"/>
      <c r="P171" s="19" t="n"/>
      <c r="Q171" s="49" t="inlineStr">
        <is>
          <t>prevista (conta fixa)</t>
        </is>
      </c>
      <c r="R1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1" s="4" t="n"/>
      <c r="V171" s="4" t="n"/>
    </row>
    <row r="172" ht="20" customHeight="1">
      <c r="A172" s="4" t="n"/>
      <c r="B172" s="47" t="n">
        <v>46456</v>
      </c>
      <c r="C172" s="19" t="inlineStr">
        <is>
          <t>Aluguel do apartamento</t>
        </is>
      </c>
      <c r="D172" s="20" t="n"/>
      <c r="E172" s="21" t="n">
        <v>2350</v>
      </c>
      <c r="F172" s="47" t="n">
        <v>46456</v>
      </c>
      <c r="G172" s="19" t="inlineStr">
        <is>
          <t>Pendente</t>
        </is>
      </c>
      <c r="H172" s="19" t="inlineStr">
        <is>
          <t>Despesa</t>
        </is>
      </c>
      <c r="I172" s="19" t="inlineStr">
        <is>
          <t>Moradia</t>
        </is>
      </c>
      <c r="J172" s="19" t="inlineStr">
        <is>
          <t>Essenciais</t>
        </is>
      </c>
      <c r="K172" s="19" t="n"/>
      <c r="L172" s="19" t="n"/>
      <c r="M172" s="19" t="inlineStr">
        <is>
          <t>Conta corrente Itaú</t>
        </is>
      </c>
      <c r="N172" s="19" t="inlineStr">
        <is>
          <t>Boleto</t>
        </is>
      </c>
      <c r="O172" s="48" t="n"/>
      <c r="P172" s="19" t="n"/>
      <c r="Q172" s="49" t="inlineStr">
        <is>
          <t>prevista (conta fixa)</t>
        </is>
      </c>
      <c r="R1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2" s="4" t="n"/>
      <c r="V172" s="4" t="n"/>
    </row>
    <row r="173" ht="20" customHeight="1">
      <c r="A173" s="4" t="n"/>
      <c r="B173" s="47" t="n">
        <v>46456</v>
      </c>
      <c r="C173" s="19" t="inlineStr">
        <is>
          <t>Conta de energia</t>
        </is>
      </c>
      <c r="D173" s="20" t="n"/>
      <c r="E173" s="21" t="n">
        <v>347.1</v>
      </c>
      <c r="F173" s="47" t="n">
        <v>46456</v>
      </c>
      <c r="G173" s="19" t="inlineStr">
        <is>
          <t>Pendente</t>
        </is>
      </c>
      <c r="H173" s="19" t="inlineStr">
        <is>
          <t>Despesa</t>
        </is>
      </c>
      <c r="I173" s="19" t="inlineStr">
        <is>
          <t>Contas da casa</t>
        </is>
      </c>
      <c r="J173" s="19" t="inlineStr">
        <is>
          <t>Essenciais</t>
        </is>
      </c>
      <c r="K173" s="19" t="n"/>
      <c r="L173" s="19" t="n"/>
      <c r="M173" s="19" t="inlineStr">
        <is>
          <t>Conta corrente Itaú</t>
        </is>
      </c>
      <c r="N173" s="19" t="inlineStr">
        <is>
          <t>Débito automático</t>
        </is>
      </c>
      <c r="O173" s="48" t="n"/>
      <c r="P173" s="19" t="n"/>
      <c r="Q173" s="49" t="inlineStr">
        <is>
          <t>prevista (conta fixa)</t>
        </is>
      </c>
      <c r="R1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3" s="4" t="n"/>
      <c r="V173" s="4" t="n"/>
    </row>
    <row r="174" ht="20" customHeight="1">
      <c r="A174" s="4" t="n"/>
      <c r="B174" s="47" t="n">
        <v>46458</v>
      </c>
      <c r="C174" s="19" t="inlineStr">
        <is>
          <t>Streaming + academia</t>
        </is>
      </c>
      <c r="D174" s="20" t="n"/>
      <c r="E174" s="21" t="n">
        <v>174.8</v>
      </c>
      <c r="F174" s="47" t="n">
        <v>46458</v>
      </c>
      <c r="G174" s="19" t="inlineStr">
        <is>
          <t>Pendente</t>
        </is>
      </c>
      <c r="H174" s="19" t="inlineStr">
        <is>
          <t>Despesa</t>
        </is>
      </c>
      <c r="I174" s="19" t="inlineStr">
        <is>
          <t>Assinaturas</t>
        </is>
      </c>
      <c r="J174" s="19" t="inlineStr">
        <is>
          <t>Essenciais</t>
        </is>
      </c>
      <c r="K174" s="19" t="n"/>
      <c r="L174" s="19" t="n"/>
      <c r="M174" s="19" t="inlineStr">
        <is>
          <t>Cartão Nubank</t>
        </is>
      </c>
      <c r="N174" s="19" t="inlineStr">
        <is>
          <t>Cartão de crédito</t>
        </is>
      </c>
      <c r="O174" s="48" t="n"/>
      <c r="P174" s="19" t="n"/>
      <c r="Q174" s="49" t="inlineStr">
        <is>
          <t>prevista (conta fixa)</t>
        </is>
      </c>
      <c r="R1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4" s="4" t="n"/>
      <c r="V174" s="4" t="n"/>
    </row>
    <row r="175" ht="20" customHeight="1">
      <c r="A175" s="4" t="n"/>
      <c r="B175" s="47" t="n">
        <v>46461</v>
      </c>
      <c r="C175" s="19" t="inlineStr">
        <is>
          <t>Combustível</t>
        </is>
      </c>
      <c r="D175" s="20" t="n"/>
      <c r="E175" s="21" t="n">
        <v>362.8</v>
      </c>
      <c r="F175" s="47" t="n">
        <v>46461</v>
      </c>
      <c r="G175" s="19" t="inlineStr">
        <is>
          <t>Pendente</t>
        </is>
      </c>
      <c r="H175" s="19" t="inlineStr">
        <is>
          <t>Despesa</t>
        </is>
      </c>
      <c r="I175" s="19" t="inlineStr">
        <is>
          <t>Transporte</t>
        </is>
      </c>
      <c r="J175" s="19" t="inlineStr">
        <is>
          <t>Essenciais</t>
        </is>
      </c>
      <c r="K175" s="19" t="n"/>
      <c r="L175" s="19" t="n"/>
      <c r="M175" s="19" t="inlineStr">
        <is>
          <t>Cartão Itaú</t>
        </is>
      </c>
      <c r="N175" s="19" t="inlineStr">
        <is>
          <t>Cartão de crédito</t>
        </is>
      </c>
      <c r="O175" s="48" t="n"/>
      <c r="P175" s="19" t="n"/>
      <c r="Q175" s="49" t="inlineStr">
        <is>
          <t>prevista (conta fixa)</t>
        </is>
      </c>
      <c r="R1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5" s="4" t="n"/>
      <c r="V175" s="4" t="n"/>
    </row>
    <row r="176" ht="20" customHeight="1">
      <c r="A176" s="4" t="n"/>
      <c r="B176" s="47" t="n">
        <v>46473</v>
      </c>
      <c r="C176" s="19" t="inlineStr">
        <is>
          <t>Cinema / passeio</t>
        </is>
      </c>
      <c r="D176" s="20" t="n"/>
      <c r="E176" s="21" t="n">
        <v>188</v>
      </c>
      <c r="F176" s="47" t="n">
        <v>46473</v>
      </c>
      <c r="G176" s="19" t="inlineStr">
        <is>
          <t>Pendente</t>
        </is>
      </c>
      <c r="H176" s="19" t="inlineStr">
        <is>
          <t>Despesa</t>
        </is>
      </c>
      <c r="I176" s="19" t="inlineStr">
        <is>
          <t>Lazer</t>
        </is>
      </c>
      <c r="J176" s="19" t="inlineStr">
        <is>
          <t>Lazer</t>
        </is>
      </c>
      <c r="K176" s="19" t="n"/>
      <c r="L176" s="19" t="n"/>
      <c r="M176" s="19" t="inlineStr">
        <is>
          <t>Conta Nubank</t>
        </is>
      </c>
      <c r="N176" s="19" t="inlineStr">
        <is>
          <t>PIX</t>
        </is>
      </c>
      <c r="O176" s="48" t="n"/>
      <c r="P176" s="19" t="n"/>
      <c r="Q176" s="49" t="inlineStr">
        <is>
          <t>prevista (conta fixa)</t>
        </is>
      </c>
      <c r="R1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6" s="4" t="n"/>
      <c r="V176" s="4" t="n"/>
    </row>
    <row r="177" ht="20" customHeight="1">
      <c r="A177" s="4" t="n"/>
      <c r="B177" s="47" t="n">
        <v>46480</v>
      </c>
      <c r="C177" s="19" t="inlineStr">
        <is>
          <t>Plano de saúde familiar</t>
        </is>
      </c>
      <c r="D177" s="20" t="n"/>
      <c r="E177" s="21" t="n">
        <v>890</v>
      </c>
      <c r="F177" s="47" t="n">
        <v>46480</v>
      </c>
      <c r="G177" s="19" t="inlineStr">
        <is>
          <t>Pendente</t>
        </is>
      </c>
      <c r="H177" s="19" t="inlineStr">
        <is>
          <t>Despesa</t>
        </is>
      </c>
      <c r="I177" s="19" t="inlineStr">
        <is>
          <t>Saúde</t>
        </is>
      </c>
      <c r="J177" s="19" t="inlineStr">
        <is>
          <t>Essenciais</t>
        </is>
      </c>
      <c r="K177" s="19" t="n"/>
      <c r="L177" s="19" t="n"/>
      <c r="M177" s="19" t="inlineStr">
        <is>
          <t>Conta corrente Itaú</t>
        </is>
      </c>
      <c r="N177" s="19" t="inlineStr">
        <is>
          <t>Débito automático</t>
        </is>
      </c>
      <c r="O177" s="48" t="n"/>
      <c r="P177" s="19" t="n"/>
      <c r="Q177" s="49" t="inlineStr">
        <is>
          <t>prevista (conta fixa)</t>
        </is>
      </c>
      <c r="R1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7" s="4" t="n"/>
      <c r="V177" s="4" t="n"/>
    </row>
    <row r="178" ht="20" customHeight="1">
      <c r="A178" s="4" t="n"/>
      <c r="B178" s="47" t="n">
        <v>46482</v>
      </c>
      <c r="C178" s="19" t="inlineStr">
        <is>
          <t>Salário — cônjuge</t>
        </is>
      </c>
      <c r="D178" s="20" t="n"/>
      <c r="E178" s="21" t="n">
        <v>5200</v>
      </c>
      <c r="F178" s="47" t="n">
        <v>46482</v>
      </c>
      <c r="G178" s="19" t="inlineStr">
        <is>
          <t>Pendente</t>
        </is>
      </c>
      <c r="H178" s="19" t="inlineStr">
        <is>
          <t>Receita</t>
        </is>
      </c>
      <c r="I178" s="19" t="inlineStr">
        <is>
          <t>Salário</t>
        </is>
      </c>
      <c r="J178" s="19" t="n"/>
      <c r="K178" s="19" t="n"/>
      <c r="L178" s="19" t="n"/>
      <c r="M178" s="19" t="inlineStr">
        <is>
          <t>Conta Nubank</t>
        </is>
      </c>
      <c r="N178" s="19" t="inlineStr">
        <is>
          <t>Transferência</t>
        </is>
      </c>
      <c r="O178" s="48" t="n"/>
      <c r="P178" s="19" t="n"/>
      <c r="Q178" s="49" t="inlineStr">
        <is>
          <t>prevista (conta fixa)</t>
        </is>
      </c>
      <c r="R1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8" s="4" t="n"/>
      <c r="V178" s="4" t="n"/>
    </row>
    <row r="179" ht="20" customHeight="1">
      <c r="A179" s="4" t="n"/>
      <c r="B179" s="47" t="n">
        <v>46482</v>
      </c>
      <c r="C179" s="19" t="inlineStr">
        <is>
          <t>Salário — titular</t>
        </is>
      </c>
      <c r="D179" s="20" t="n"/>
      <c r="E179" s="21" t="n">
        <v>7800</v>
      </c>
      <c r="F179" s="47" t="n">
        <v>46482</v>
      </c>
      <c r="G179" s="19" t="inlineStr">
        <is>
          <t>Pendente</t>
        </is>
      </c>
      <c r="H179" s="19" t="inlineStr">
        <is>
          <t>Receita</t>
        </is>
      </c>
      <c r="I179" s="19" t="inlineStr">
        <is>
          <t>Salário</t>
        </is>
      </c>
      <c r="J179" s="19" t="n"/>
      <c r="K179" s="19" t="n"/>
      <c r="L179" s="19" t="n"/>
      <c r="M179" s="19" t="inlineStr">
        <is>
          <t>Conta corrente Itaú</t>
        </is>
      </c>
      <c r="N179" s="19" t="inlineStr">
        <is>
          <t>Transferência</t>
        </is>
      </c>
      <c r="O179" s="48" t="n"/>
      <c r="P179" s="19" t="n"/>
      <c r="Q179" s="49" t="inlineStr">
        <is>
          <t>prevista (conta fixa)</t>
        </is>
      </c>
      <c r="R1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9" s="4" t="n"/>
      <c r="V179" s="4" t="n"/>
    </row>
    <row r="180" ht="20" customHeight="1">
      <c r="A180" s="4" t="n"/>
      <c r="B180" s="47" t="n">
        <v>46484</v>
      </c>
      <c r="C180" s="19" t="inlineStr">
        <is>
          <t>Mercado do mês</t>
        </is>
      </c>
      <c r="D180" s="20" t="n"/>
      <c r="E180" s="21" t="n">
        <v>934.1799999999999</v>
      </c>
      <c r="F180" s="47" t="n">
        <v>46484</v>
      </c>
      <c r="G180" s="19" t="inlineStr">
        <is>
          <t>Pendente</t>
        </is>
      </c>
      <c r="H180" s="19" t="inlineStr">
        <is>
          <t>Despesa</t>
        </is>
      </c>
      <c r="I180" s="19" t="inlineStr">
        <is>
          <t>Alimentação</t>
        </is>
      </c>
      <c r="J180" s="19" t="inlineStr">
        <is>
          <t>Essenciais</t>
        </is>
      </c>
      <c r="K180" s="19" t="n"/>
      <c r="L180" s="19" t="n"/>
      <c r="M180" s="19" t="inlineStr">
        <is>
          <t>Cartão Nubank</t>
        </is>
      </c>
      <c r="N180" s="19" t="inlineStr">
        <is>
          <t>Cartão de crédito</t>
        </is>
      </c>
      <c r="O180" s="48" t="n"/>
      <c r="P180" s="19" t="n"/>
      <c r="Q180" s="49" t="inlineStr">
        <is>
          <t>prevista (conta fixa)</t>
        </is>
      </c>
      <c r="R1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0" s="4" t="n"/>
      <c r="V180" s="4" t="n"/>
    </row>
    <row r="181" ht="20" customHeight="1">
      <c r="A181" s="4" t="n"/>
      <c r="B181" s="47" t="n">
        <v>46485</v>
      </c>
      <c r="C181" s="19" t="inlineStr">
        <is>
          <t>Mensalidade escolar</t>
        </is>
      </c>
      <c r="D181" s="20" t="n"/>
      <c r="E181" s="21" t="n">
        <v>1450</v>
      </c>
      <c r="F181" s="47" t="n">
        <v>46485</v>
      </c>
      <c r="G181" s="19" t="inlineStr">
        <is>
          <t>Pendente</t>
        </is>
      </c>
      <c r="H181" s="19" t="inlineStr">
        <is>
          <t>Despesa</t>
        </is>
      </c>
      <c r="I181" s="19" t="inlineStr">
        <is>
          <t>Educação</t>
        </is>
      </c>
      <c r="J181" s="19" t="inlineStr">
        <is>
          <t>Essenciais</t>
        </is>
      </c>
      <c r="K181" s="19" t="n"/>
      <c r="L181" s="19" t="n"/>
      <c r="M181" s="19" t="inlineStr">
        <is>
          <t>Conta corrente Itaú</t>
        </is>
      </c>
      <c r="N181" s="19" t="inlineStr">
        <is>
          <t>Boleto</t>
        </is>
      </c>
      <c r="O181" s="48" t="n"/>
      <c r="P181" s="19" t="n"/>
      <c r="Q181" s="49" t="inlineStr">
        <is>
          <t>prevista (conta fixa)</t>
        </is>
      </c>
      <c r="R1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1" s="4" t="n"/>
      <c r="V181" s="4" t="n"/>
    </row>
    <row r="182" ht="20" customHeight="1">
      <c r="A182" s="4" t="n"/>
      <c r="B182" s="47" t="n">
        <v>46487</v>
      </c>
      <c r="C182" s="19" t="inlineStr">
        <is>
          <t>Aluguel do apartamento</t>
        </is>
      </c>
      <c r="D182" s="20" t="n"/>
      <c r="E182" s="21" t="n">
        <v>2350</v>
      </c>
      <c r="F182" s="47" t="n">
        <v>46487</v>
      </c>
      <c r="G182" s="19" t="inlineStr">
        <is>
          <t>Pendente</t>
        </is>
      </c>
      <c r="H182" s="19" t="inlineStr">
        <is>
          <t>Despesa</t>
        </is>
      </c>
      <c r="I182" s="19" t="inlineStr">
        <is>
          <t>Moradia</t>
        </is>
      </c>
      <c r="J182" s="19" t="inlineStr">
        <is>
          <t>Essenciais</t>
        </is>
      </c>
      <c r="K182" s="19" t="n"/>
      <c r="L182" s="19" t="n"/>
      <c r="M182" s="19" t="inlineStr">
        <is>
          <t>Conta corrente Itaú</t>
        </is>
      </c>
      <c r="N182" s="19" t="inlineStr">
        <is>
          <t>Boleto</t>
        </is>
      </c>
      <c r="O182" s="48" t="n"/>
      <c r="P182" s="19" t="n"/>
      <c r="Q182" s="49" t="inlineStr">
        <is>
          <t>prevista (conta fixa)</t>
        </is>
      </c>
      <c r="R1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2" s="4" t="n"/>
      <c r="V182" s="4" t="n"/>
    </row>
    <row r="183" ht="20" customHeight="1">
      <c r="A183" s="4" t="n"/>
      <c r="B183" s="47" t="n">
        <v>46487</v>
      </c>
      <c r="C183" s="19" t="inlineStr">
        <is>
          <t>Conta de energia</t>
        </is>
      </c>
      <c r="D183" s="20" t="n"/>
      <c r="E183" s="21" t="n">
        <v>347.1</v>
      </c>
      <c r="F183" s="47" t="n">
        <v>46487</v>
      </c>
      <c r="G183" s="19" t="inlineStr">
        <is>
          <t>Pendente</t>
        </is>
      </c>
      <c r="H183" s="19" t="inlineStr">
        <is>
          <t>Despesa</t>
        </is>
      </c>
      <c r="I183" s="19" t="inlineStr">
        <is>
          <t>Contas da casa</t>
        </is>
      </c>
      <c r="J183" s="19" t="inlineStr">
        <is>
          <t>Essenciais</t>
        </is>
      </c>
      <c r="K183" s="19" t="n"/>
      <c r="L183" s="19" t="n"/>
      <c r="M183" s="19" t="inlineStr">
        <is>
          <t>Conta corrente Itaú</t>
        </is>
      </c>
      <c r="N183" s="19" t="inlineStr">
        <is>
          <t>Débito automático</t>
        </is>
      </c>
      <c r="O183" s="48" t="n"/>
      <c r="P183" s="19" t="n"/>
      <c r="Q183" s="49" t="inlineStr">
        <is>
          <t>prevista (conta fixa)</t>
        </is>
      </c>
      <c r="R1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3" s="4" t="n"/>
      <c r="V183" s="4" t="n"/>
    </row>
    <row r="184" ht="20" customHeight="1">
      <c r="A184" s="4" t="n"/>
      <c r="B184" s="47" t="n">
        <v>46489</v>
      </c>
      <c r="C184" s="19" t="inlineStr">
        <is>
          <t>Streaming + academia</t>
        </is>
      </c>
      <c r="D184" s="20" t="n"/>
      <c r="E184" s="21" t="n">
        <v>174.8</v>
      </c>
      <c r="F184" s="47" t="n">
        <v>46489</v>
      </c>
      <c r="G184" s="19" t="inlineStr">
        <is>
          <t>Pendente</t>
        </is>
      </c>
      <c r="H184" s="19" t="inlineStr">
        <is>
          <t>Despesa</t>
        </is>
      </c>
      <c r="I184" s="19" t="inlineStr">
        <is>
          <t>Assinaturas</t>
        </is>
      </c>
      <c r="J184" s="19" t="inlineStr">
        <is>
          <t>Essenciais</t>
        </is>
      </c>
      <c r="K184" s="19" t="n"/>
      <c r="L184" s="19" t="n"/>
      <c r="M184" s="19" t="inlineStr">
        <is>
          <t>Cartão Nubank</t>
        </is>
      </c>
      <c r="N184" s="19" t="inlineStr">
        <is>
          <t>Cartão de crédito</t>
        </is>
      </c>
      <c r="O184" s="48" t="n"/>
      <c r="P184" s="19" t="n"/>
      <c r="Q184" s="49" t="inlineStr">
        <is>
          <t>prevista (conta fixa)</t>
        </is>
      </c>
      <c r="R1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4" s="4" t="n"/>
      <c r="V184" s="4" t="n"/>
    </row>
    <row r="185" ht="20" customHeight="1">
      <c r="A185" s="4" t="n"/>
      <c r="B185" s="47" t="n">
        <v>46492</v>
      </c>
      <c r="C185" s="19" t="inlineStr">
        <is>
          <t>Combustível</t>
        </is>
      </c>
      <c r="D185" s="20" t="n"/>
      <c r="E185" s="21" t="n">
        <v>362.8</v>
      </c>
      <c r="F185" s="47" t="n">
        <v>46492</v>
      </c>
      <c r="G185" s="19" t="inlineStr">
        <is>
          <t>Pendente</t>
        </is>
      </c>
      <c r="H185" s="19" t="inlineStr">
        <is>
          <t>Despesa</t>
        </is>
      </c>
      <c r="I185" s="19" t="inlineStr">
        <is>
          <t>Transporte</t>
        </is>
      </c>
      <c r="J185" s="19" t="inlineStr">
        <is>
          <t>Essenciais</t>
        </is>
      </c>
      <c r="K185" s="19" t="n"/>
      <c r="L185" s="19" t="n"/>
      <c r="M185" s="19" t="inlineStr">
        <is>
          <t>Cartão Itaú</t>
        </is>
      </c>
      <c r="N185" s="19" t="inlineStr">
        <is>
          <t>Cartão de crédito</t>
        </is>
      </c>
      <c r="O185" s="48" t="n"/>
      <c r="P185" s="19" t="n"/>
      <c r="Q185" s="49" t="inlineStr">
        <is>
          <t>prevista (conta fixa)</t>
        </is>
      </c>
      <c r="R1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5" s="4" t="n"/>
      <c r="V185" s="4" t="n"/>
    </row>
    <row r="186" ht="20" customHeight="1">
      <c r="A186" s="4" t="n"/>
      <c r="B186" s="47" t="n">
        <v>46504</v>
      </c>
      <c r="C186" s="19" t="inlineStr">
        <is>
          <t>Cinema / passeio</t>
        </is>
      </c>
      <c r="D186" s="20" t="n"/>
      <c r="E186" s="21" t="n">
        <v>188</v>
      </c>
      <c r="F186" s="47" t="n">
        <v>46504</v>
      </c>
      <c r="G186" s="19" t="inlineStr">
        <is>
          <t>Pendente</t>
        </is>
      </c>
      <c r="H186" s="19" t="inlineStr">
        <is>
          <t>Despesa</t>
        </is>
      </c>
      <c r="I186" s="19" t="inlineStr">
        <is>
          <t>Lazer</t>
        </is>
      </c>
      <c r="J186" s="19" t="inlineStr">
        <is>
          <t>Lazer</t>
        </is>
      </c>
      <c r="K186" s="19" t="n"/>
      <c r="L186" s="19" t="n"/>
      <c r="M186" s="19" t="inlineStr">
        <is>
          <t>Conta Nubank</t>
        </is>
      </c>
      <c r="N186" s="19" t="inlineStr">
        <is>
          <t>PIX</t>
        </is>
      </c>
      <c r="O186" s="48" t="n"/>
      <c r="P186" s="19" t="n"/>
      <c r="Q186" s="49" t="inlineStr">
        <is>
          <t>prevista (conta fixa)</t>
        </is>
      </c>
      <c r="R1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6" s="4" t="n"/>
      <c r="V186" s="4" t="n"/>
    </row>
    <row r="187" ht="20" customHeight="1">
      <c r="A187" s="4" t="n"/>
      <c r="B187" s="47" t="n">
        <v>46510</v>
      </c>
      <c r="C187" s="19" t="inlineStr">
        <is>
          <t>Plano de saúde familiar</t>
        </is>
      </c>
      <c r="D187" s="20" t="n"/>
      <c r="E187" s="21" t="n">
        <v>890</v>
      </c>
      <c r="F187" s="47" t="n">
        <v>46510</v>
      </c>
      <c r="G187" s="19" t="inlineStr">
        <is>
          <t>Pendente</t>
        </is>
      </c>
      <c r="H187" s="19" t="inlineStr">
        <is>
          <t>Despesa</t>
        </is>
      </c>
      <c r="I187" s="19" t="inlineStr">
        <is>
          <t>Saúde</t>
        </is>
      </c>
      <c r="J187" s="19" t="inlineStr">
        <is>
          <t>Essenciais</t>
        </is>
      </c>
      <c r="K187" s="19" t="n"/>
      <c r="L187" s="19" t="n"/>
      <c r="M187" s="19" t="inlineStr">
        <is>
          <t>Conta corrente Itaú</t>
        </is>
      </c>
      <c r="N187" s="19" t="inlineStr">
        <is>
          <t>Débito automático</t>
        </is>
      </c>
      <c r="O187" s="48" t="n"/>
      <c r="P187" s="19" t="n"/>
      <c r="Q187" s="49" t="inlineStr">
        <is>
          <t>prevista (conta fixa)</t>
        </is>
      </c>
      <c r="R1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7" s="4" t="n"/>
      <c r="V187" s="4" t="n"/>
    </row>
    <row r="188" ht="20" customHeight="1">
      <c r="A188" s="4" t="n"/>
      <c r="B188" s="47" t="n">
        <v>46512</v>
      </c>
      <c r="C188" s="19" t="inlineStr">
        <is>
          <t>Salário — cônjuge</t>
        </is>
      </c>
      <c r="D188" s="20" t="n"/>
      <c r="E188" s="21" t="n">
        <v>5200</v>
      </c>
      <c r="F188" s="47" t="n">
        <v>46512</v>
      </c>
      <c r="G188" s="19" t="inlineStr">
        <is>
          <t>Pendente</t>
        </is>
      </c>
      <c r="H188" s="19" t="inlineStr">
        <is>
          <t>Receita</t>
        </is>
      </c>
      <c r="I188" s="19" t="inlineStr">
        <is>
          <t>Salário</t>
        </is>
      </c>
      <c r="J188" s="19" t="n"/>
      <c r="K188" s="19" t="n"/>
      <c r="L188" s="19" t="n"/>
      <c r="M188" s="19" t="inlineStr">
        <is>
          <t>Conta Nubank</t>
        </is>
      </c>
      <c r="N188" s="19" t="inlineStr">
        <is>
          <t>Transferência</t>
        </is>
      </c>
      <c r="O188" s="48" t="n"/>
      <c r="P188" s="19" t="n"/>
      <c r="Q188" s="49" t="inlineStr">
        <is>
          <t>prevista (conta fixa)</t>
        </is>
      </c>
      <c r="R1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8" s="4" t="n"/>
      <c r="V188" s="4" t="n"/>
    </row>
    <row r="189" ht="20" customHeight="1">
      <c r="A189" s="4" t="n"/>
      <c r="B189" s="47" t="n">
        <v>46512</v>
      </c>
      <c r="C189" s="19" t="inlineStr">
        <is>
          <t>Salário — titular</t>
        </is>
      </c>
      <c r="D189" s="20" t="n"/>
      <c r="E189" s="21" t="n">
        <v>7800</v>
      </c>
      <c r="F189" s="47" t="n">
        <v>46512</v>
      </c>
      <c r="G189" s="19" t="inlineStr">
        <is>
          <t>Pendente</t>
        </is>
      </c>
      <c r="H189" s="19" t="inlineStr">
        <is>
          <t>Receita</t>
        </is>
      </c>
      <c r="I189" s="19" t="inlineStr">
        <is>
          <t>Salário</t>
        </is>
      </c>
      <c r="J189" s="19" t="n"/>
      <c r="K189" s="19" t="n"/>
      <c r="L189" s="19" t="n"/>
      <c r="M189" s="19" t="inlineStr">
        <is>
          <t>Conta corrente Itaú</t>
        </is>
      </c>
      <c r="N189" s="19" t="inlineStr">
        <is>
          <t>Transferência</t>
        </is>
      </c>
      <c r="O189" s="48" t="n"/>
      <c r="P189" s="19" t="n"/>
      <c r="Q189" s="49" t="inlineStr">
        <is>
          <t>prevista (conta fixa)</t>
        </is>
      </c>
      <c r="R1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9" s="4" t="n"/>
      <c r="V189" s="4" t="n"/>
    </row>
    <row r="190" ht="20" customHeight="1">
      <c r="A190" s="4" t="n"/>
      <c r="B190" s="47" t="n">
        <v>46514</v>
      </c>
      <c r="C190" s="19" t="inlineStr">
        <is>
          <t>Mercado do mês</t>
        </is>
      </c>
      <c r="D190" s="20" t="n"/>
      <c r="E190" s="21" t="n">
        <v>934.1799999999999</v>
      </c>
      <c r="F190" s="47" t="n">
        <v>46514</v>
      </c>
      <c r="G190" s="19" t="inlineStr">
        <is>
          <t>Pendente</t>
        </is>
      </c>
      <c r="H190" s="19" t="inlineStr">
        <is>
          <t>Despesa</t>
        </is>
      </c>
      <c r="I190" s="19" t="inlineStr">
        <is>
          <t>Alimentação</t>
        </is>
      </c>
      <c r="J190" s="19" t="inlineStr">
        <is>
          <t>Essenciais</t>
        </is>
      </c>
      <c r="K190" s="19" t="n"/>
      <c r="L190" s="19" t="n"/>
      <c r="M190" s="19" t="inlineStr">
        <is>
          <t>Cartão Nubank</t>
        </is>
      </c>
      <c r="N190" s="19" t="inlineStr">
        <is>
          <t>Cartão de crédito</t>
        </is>
      </c>
      <c r="O190" s="48" t="n"/>
      <c r="P190" s="19" t="n"/>
      <c r="Q190" s="49" t="inlineStr">
        <is>
          <t>prevista (conta fixa)</t>
        </is>
      </c>
      <c r="R1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0" s="4" t="n"/>
      <c r="V190" s="4" t="n"/>
    </row>
    <row r="191" ht="20" customHeight="1">
      <c r="A191" s="4" t="n"/>
      <c r="B191" s="47" t="n">
        <v>46515</v>
      </c>
      <c r="C191" s="19" t="inlineStr">
        <is>
          <t>Mensalidade escolar</t>
        </is>
      </c>
      <c r="D191" s="20" t="n"/>
      <c r="E191" s="21" t="n">
        <v>1450</v>
      </c>
      <c r="F191" s="47" t="n">
        <v>46515</v>
      </c>
      <c r="G191" s="19" t="inlineStr">
        <is>
          <t>Pendente</t>
        </is>
      </c>
      <c r="H191" s="19" t="inlineStr">
        <is>
          <t>Despesa</t>
        </is>
      </c>
      <c r="I191" s="19" t="inlineStr">
        <is>
          <t>Educação</t>
        </is>
      </c>
      <c r="J191" s="19" t="inlineStr">
        <is>
          <t>Essenciais</t>
        </is>
      </c>
      <c r="K191" s="19" t="n"/>
      <c r="L191" s="19" t="n"/>
      <c r="M191" s="19" t="inlineStr">
        <is>
          <t>Conta corrente Itaú</t>
        </is>
      </c>
      <c r="N191" s="19" t="inlineStr">
        <is>
          <t>Boleto</t>
        </is>
      </c>
      <c r="O191" s="48" t="n"/>
      <c r="P191" s="19" t="n"/>
      <c r="Q191" s="49" t="inlineStr">
        <is>
          <t>prevista (conta fixa)</t>
        </is>
      </c>
      <c r="R1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1" s="4" t="n"/>
      <c r="V191" s="4" t="n"/>
    </row>
    <row r="192" ht="20" customHeight="1">
      <c r="A192" s="4" t="n"/>
      <c r="B192" s="47" t="n">
        <v>46517</v>
      </c>
      <c r="C192" s="19" t="inlineStr">
        <is>
          <t>Aluguel do apartamento</t>
        </is>
      </c>
      <c r="D192" s="20" t="n"/>
      <c r="E192" s="21" t="n">
        <v>2350</v>
      </c>
      <c r="F192" s="47" t="n">
        <v>46517</v>
      </c>
      <c r="G192" s="19" t="inlineStr">
        <is>
          <t>Pendente</t>
        </is>
      </c>
      <c r="H192" s="19" t="inlineStr">
        <is>
          <t>Despesa</t>
        </is>
      </c>
      <c r="I192" s="19" t="inlineStr">
        <is>
          <t>Moradia</t>
        </is>
      </c>
      <c r="J192" s="19" t="inlineStr">
        <is>
          <t>Essenciais</t>
        </is>
      </c>
      <c r="K192" s="19" t="n"/>
      <c r="L192" s="19" t="n"/>
      <c r="M192" s="19" t="inlineStr">
        <is>
          <t>Conta corrente Itaú</t>
        </is>
      </c>
      <c r="N192" s="19" t="inlineStr">
        <is>
          <t>Boleto</t>
        </is>
      </c>
      <c r="O192" s="48" t="n"/>
      <c r="P192" s="19" t="n"/>
      <c r="Q192" s="49" t="inlineStr">
        <is>
          <t>prevista (conta fixa)</t>
        </is>
      </c>
      <c r="R1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2" s="4" t="n"/>
      <c r="V192" s="4" t="n"/>
    </row>
    <row r="193" ht="20" customHeight="1">
      <c r="A193" s="4" t="n"/>
      <c r="B193" s="47" t="n">
        <v>46517</v>
      </c>
      <c r="C193" s="19" t="inlineStr">
        <is>
          <t>Conta de energia</t>
        </is>
      </c>
      <c r="D193" s="20" t="n"/>
      <c r="E193" s="21" t="n">
        <v>347.1</v>
      </c>
      <c r="F193" s="47" t="n">
        <v>46517</v>
      </c>
      <c r="G193" s="19" t="inlineStr">
        <is>
          <t>Pendente</t>
        </is>
      </c>
      <c r="H193" s="19" t="inlineStr">
        <is>
          <t>Despesa</t>
        </is>
      </c>
      <c r="I193" s="19" t="inlineStr">
        <is>
          <t>Contas da casa</t>
        </is>
      </c>
      <c r="J193" s="19" t="inlineStr">
        <is>
          <t>Essenciais</t>
        </is>
      </c>
      <c r="K193" s="19" t="n"/>
      <c r="L193" s="19" t="n"/>
      <c r="M193" s="19" t="inlineStr">
        <is>
          <t>Conta corrente Itaú</t>
        </is>
      </c>
      <c r="N193" s="19" t="inlineStr">
        <is>
          <t>Débito automático</t>
        </is>
      </c>
      <c r="O193" s="48" t="n"/>
      <c r="P193" s="19" t="n"/>
      <c r="Q193" s="49" t="inlineStr">
        <is>
          <t>prevista (conta fixa)</t>
        </is>
      </c>
      <c r="R1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3" s="4" t="n"/>
      <c r="V193" s="4" t="n"/>
    </row>
    <row r="194" ht="20" customHeight="1">
      <c r="A194" s="4" t="n"/>
      <c r="B194" s="47" t="n">
        <v>46519</v>
      </c>
      <c r="C194" s="19" t="inlineStr">
        <is>
          <t>Streaming + academia</t>
        </is>
      </c>
      <c r="D194" s="20" t="n"/>
      <c r="E194" s="21" t="n">
        <v>174.8</v>
      </c>
      <c r="F194" s="47" t="n">
        <v>46519</v>
      </c>
      <c r="G194" s="19" t="inlineStr">
        <is>
          <t>Pendente</t>
        </is>
      </c>
      <c r="H194" s="19" t="inlineStr">
        <is>
          <t>Despesa</t>
        </is>
      </c>
      <c r="I194" s="19" t="inlineStr">
        <is>
          <t>Assinaturas</t>
        </is>
      </c>
      <c r="J194" s="19" t="inlineStr">
        <is>
          <t>Essenciais</t>
        </is>
      </c>
      <c r="K194" s="19" t="n"/>
      <c r="L194" s="19" t="n"/>
      <c r="M194" s="19" t="inlineStr">
        <is>
          <t>Cartão Nubank</t>
        </is>
      </c>
      <c r="N194" s="19" t="inlineStr">
        <is>
          <t>Cartão de crédito</t>
        </is>
      </c>
      <c r="O194" s="48" t="n"/>
      <c r="P194" s="19" t="n"/>
      <c r="Q194" s="49" t="inlineStr">
        <is>
          <t>prevista (conta fixa)</t>
        </is>
      </c>
      <c r="R1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4" s="4" t="n"/>
      <c r="V194" s="4" t="n"/>
    </row>
    <row r="195" ht="20" customHeight="1">
      <c r="A195" s="4" t="n"/>
      <c r="B195" s="47" t="n">
        <v>46522</v>
      </c>
      <c r="C195" s="19" t="inlineStr">
        <is>
          <t>Combustível</t>
        </is>
      </c>
      <c r="D195" s="20" t="n"/>
      <c r="E195" s="21" t="n">
        <v>362.8</v>
      </c>
      <c r="F195" s="47" t="n">
        <v>46522</v>
      </c>
      <c r="G195" s="19" t="inlineStr">
        <is>
          <t>Pendente</t>
        </is>
      </c>
      <c r="H195" s="19" t="inlineStr">
        <is>
          <t>Despesa</t>
        </is>
      </c>
      <c r="I195" s="19" t="inlineStr">
        <is>
          <t>Transporte</t>
        </is>
      </c>
      <c r="J195" s="19" t="inlineStr">
        <is>
          <t>Essenciais</t>
        </is>
      </c>
      <c r="K195" s="19" t="n"/>
      <c r="L195" s="19" t="n"/>
      <c r="M195" s="19" t="inlineStr">
        <is>
          <t>Cartão Itaú</t>
        </is>
      </c>
      <c r="N195" s="19" t="inlineStr">
        <is>
          <t>Cartão de crédito</t>
        </is>
      </c>
      <c r="O195" s="48" t="n"/>
      <c r="P195" s="19" t="n"/>
      <c r="Q195" s="49" t="inlineStr">
        <is>
          <t>prevista (conta fixa)</t>
        </is>
      </c>
      <c r="R1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5" s="4" t="n"/>
      <c r="V195" s="4" t="n"/>
    </row>
    <row r="196" ht="20" customHeight="1">
      <c r="A196" s="4" t="n"/>
      <c r="B196" s="47" t="n">
        <v>46534</v>
      </c>
      <c r="C196" s="19" t="inlineStr">
        <is>
          <t>Cinema / passeio</t>
        </is>
      </c>
      <c r="D196" s="20" t="n"/>
      <c r="E196" s="21" t="n">
        <v>188</v>
      </c>
      <c r="F196" s="47" t="n">
        <v>46534</v>
      </c>
      <c r="G196" s="19" t="inlineStr">
        <is>
          <t>Pendente</t>
        </is>
      </c>
      <c r="H196" s="19" t="inlineStr">
        <is>
          <t>Despesa</t>
        </is>
      </c>
      <c r="I196" s="19" t="inlineStr">
        <is>
          <t>Lazer</t>
        </is>
      </c>
      <c r="J196" s="19" t="inlineStr">
        <is>
          <t>Lazer</t>
        </is>
      </c>
      <c r="K196" s="19" t="n"/>
      <c r="L196" s="19" t="n"/>
      <c r="M196" s="19" t="inlineStr">
        <is>
          <t>Conta Nubank</t>
        </is>
      </c>
      <c r="N196" s="19" t="inlineStr">
        <is>
          <t>PIX</t>
        </is>
      </c>
      <c r="O196" s="48" t="n"/>
      <c r="P196" s="19" t="n"/>
      <c r="Q196" s="49" t="inlineStr">
        <is>
          <t>prevista (conta fixa)</t>
        </is>
      </c>
      <c r="R1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6" s="4" t="n"/>
      <c r="V196" s="4" t="n"/>
    </row>
    <row r="197" ht="20" customHeight="1">
      <c r="A197" s="4" t="n"/>
      <c r="B197" s="47" t="n">
        <v>46541</v>
      </c>
      <c r="C197" s="19" t="inlineStr">
        <is>
          <t>Plano de saúde familiar</t>
        </is>
      </c>
      <c r="D197" s="20" t="n"/>
      <c r="E197" s="21" t="n">
        <v>890</v>
      </c>
      <c r="F197" s="47" t="n">
        <v>46541</v>
      </c>
      <c r="G197" s="19" t="inlineStr">
        <is>
          <t>Pendente</t>
        </is>
      </c>
      <c r="H197" s="19" t="inlineStr">
        <is>
          <t>Despesa</t>
        </is>
      </c>
      <c r="I197" s="19" t="inlineStr">
        <is>
          <t>Saúde</t>
        </is>
      </c>
      <c r="J197" s="19" t="inlineStr">
        <is>
          <t>Essenciais</t>
        </is>
      </c>
      <c r="K197" s="19" t="n"/>
      <c r="L197" s="19" t="n"/>
      <c r="M197" s="19" t="inlineStr">
        <is>
          <t>Conta corrente Itaú</t>
        </is>
      </c>
      <c r="N197" s="19" t="inlineStr">
        <is>
          <t>Débito automático</t>
        </is>
      </c>
      <c r="O197" s="48" t="n"/>
      <c r="P197" s="19" t="n"/>
      <c r="Q197" s="49" t="inlineStr">
        <is>
          <t>prevista (conta fixa)</t>
        </is>
      </c>
      <c r="R1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7" s="4" t="n"/>
      <c r="V197" s="4" t="n"/>
    </row>
    <row r="198" ht="20" customHeight="1">
      <c r="A198" s="4" t="n"/>
      <c r="B198" s="47" t="n">
        <v>46543</v>
      </c>
      <c r="C198" s="19" t="inlineStr">
        <is>
          <t>Salário — cônjuge</t>
        </is>
      </c>
      <c r="D198" s="20" t="n"/>
      <c r="E198" s="21" t="n">
        <v>5200</v>
      </c>
      <c r="F198" s="47" t="n">
        <v>46543</v>
      </c>
      <c r="G198" s="19" t="inlineStr">
        <is>
          <t>Pendente</t>
        </is>
      </c>
      <c r="H198" s="19" t="inlineStr">
        <is>
          <t>Receita</t>
        </is>
      </c>
      <c r="I198" s="19" t="inlineStr">
        <is>
          <t>Salário</t>
        </is>
      </c>
      <c r="J198" s="19" t="n"/>
      <c r="K198" s="19" t="n"/>
      <c r="L198" s="19" t="n"/>
      <c r="M198" s="19" t="inlineStr">
        <is>
          <t>Conta Nubank</t>
        </is>
      </c>
      <c r="N198" s="19" t="inlineStr">
        <is>
          <t>Transferência</t>
        </is>
      </c>
      <c r="O198" s="48" t="n"/>
      <c r="P198" s="19" t="n"/>
      <c r="Q198" s="49" t="inlineStr">
        <is>
          <t>prevista (conta fixa)</t>
        </is>
      </c>
      <c r="R1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8" s="4" t="n"/>
      <c r="V198" s="4" t="n"/>
    </row>
    <row r="199" ht="20" customHeight="1">
      <c r="A199" s="4" t="n"/>
      <c r="B199" s="47" t="n">
        <v>46543</v>
      </c>
      <c r="C199" s="19" t="inlineStr">
        <is>
          <t>Salário — titular</t>
        </is>
      </c>
      <c r="D199" s="20" t="n"/>
      <c r="E199" s="21" t="n">
        <v>7800</v>
      </c>
      <c r="F199" s="47" t="n">
        <v>46543</v>
      </c>
      <c r="G199" s="19" t="inlineStr">
        <is>
          <t>Pendente</t>
        </is>
      </c>
      <c r="H199" s="19" t="inlineStr">
        <is>
          <t>Receita</t>
        </is>
      </c>
      <c r="I199" s="19" t="inlineStr">
        <is>
          <t>Salário</t>
        </is>
      </c>
      <c r="J199" s="19" t="n"/>
      <c r="K199" s="19" t="n"/>
      <c r="L199" s="19" t="n"/>
      <c r="M199" s="19" t="inlineStr">
        <is>
          <t>Conta corrente Itaú</t>
        </is>
      </c>
      <c r="N199" s="19" t="inlineStr">
        <is>
          <t>Transferência</t>
        </is>
      </c>
      <c r="O199" s="48" t="n"/>
      <c r="P199" s="19" t="n"/>
      <c r="Q199" s="49" t="inlineStr">
        <is>
          <t>prevista (conta fixa)</t>
        </is>
      </c>
      <c r="R1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9" s="4" t="n"/>
      <c r="V199" s="4" t="n"/>
    </row>
    <row r="200" ht="20" customHeight="1">
      <c r="A200" s="4" t="n"/>
      <c r="B200" s="47" t="n">
        <v>46545</v>
      </c>
      <c r="C200" s="19" t="inlineStr">
        <is>
          <t>Mercado do mês</t>
        </is>
      </c>
      <c r="D200" s="20" t="n"/>
      <c r="E200" s="21" t="n">
        <v>934.1799999999999</v>
      </c>
      <c r="F200" s="47" t="n">
        <v>46545</v>
      </c>
      <c r="G200" s="19" t="inlineStr">
        <is>
          <t>Pendente</t>
        </is>
      </c>
      <c r="H200" s="19" t="inlineStr">
        <is>
          <t>Despesa</t>
        </is>
      </c>
      <c r="I200" s="19" t="inlineStr">
        <is>
          <t>Alimentação</t>
        </is>
      </c>
      <c r="J200" s="19" t="inlineStr">
        <is>
          <t>Essenciais</t>
        </is>
      </c>
      <c r="K200" s="19" t="n"/>
      <c r="L200" s="19" t="n"/>
      <c r="M200" s="19" t="inlineStr">
        <is>
          <t>Cartão Nubank</t>
        </is>
      </c>
      <c r="N200" s="19" t="inlineStr">
        <is>
          <t>Cartão de crédito</t>
        </is>
      </c>
      <c r="O200" s="48" t="n"/>
      <c r="P200" s="19" t="n"/>
      <c r="Q200" s="49" t="inlineStr">
        <is>
          <t>prevista (conta fixa)</t>
        </is>
      </c>
      <c r="R2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0" s="4" t="n"/>
      <c r="V200" s="4" t="n"/>
    </row>
    <row r="201" ht="20" customHeight="1">
      <c r="A201" s="4" t="n"/>
      <c r="B201" s="47" t="n">
        <v>46546</v>
      </c>
      <c r="C201" s="19" t="inlineStr">
        <is>
          <t>Mensalidade escolar</t>
        </is>
      </c>
      <c r="D201" s="20" t="n"/>
      <c r="E201" s="21" t="n">
        <v>1450</v>
      </c>
      <c r="F201" s="47" t="n">
        <v>46546</v>
      </c>
      <c r="G201" s="19" t="inlineStr">
        <is>
          <t>Pendente</t>
        </is>
      </c>
      <c r="H201" s="19" t="inlineStr">
        <is>
          <t>Despesa</t>
        </is>
      </c>
      <c r="I201" s="19" t="inlineStr">
        <is>
          <t>Educação</t>
        </is>
      </c>
      <c r="J201" s="19" t="inlineStr">
        <is>
          <t>Essenciais</t>
        </is>
      </c>
      <c r="K201" s="19" t="n"/>
      <c r="L201" s="19" t="n"/>
      <c r="M201" s="19" t="inlineStr">
        <is>
          <t>Conta corrente Itaú</t>
        </is>
      </c>
      <c r="N201" s="19" t="inlineStr">
        <is>
          <t>Boleto</t>
        </is>
      </c>
      <c r="O201" s="48" t="n"/>
      <c r="P201" s="19" t="n"/>
      <c r="Q201" s="49" t="inlineStr">
        <is>
          <t>prevista (conta fixa)</t>
        </is>
      </c>
      <c r="R2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1" s="4" t="n"/>
      <c r="V201" s="4" t="n"/>
    </row>
    <row r="202" ht="20" customHeight="1">
      <c r="A202" s="4" t="n"/>
      <c r="B202" s="47" t="n">
        <v>46548</v>
      </c>
      <c r="C202" s="19" t="inlineStr">
        <is>
          <t>Aluguel do apartamento</t>
        </is>
      </c>
      <c r="D202" s="20" t="n"/>
      <c r="E202" s="21" t="n">
        <v>2350</v>
      </c>
      <c r="F202" s="47" t="n">
        <v>46548</v>
      </c>
      <c r="G202" s="19" t="inlineStr">
        <is>
          <t>Pendente</t>
        </is>
      </c>
      <c r="H202" s="19" t="inlineStr">
        <is>
          <t>Despesa</t>
        </is>
      </c>
      <c r="I202" s="19" t="inlineStr">
        <is>
          <t>Moradia</t>
        </is>
      </c>
      <c r="J202" s="19" t="inlineStr">
        <is>
          <t>Essenciais</t>
        </is>
      </c>
      <c r="K202" s="19" t="n"/>
      <c r="L202" s="19" t="n"/>
      <c r="M202" s="19" t="inlineStr">
        <is>
          <t>Conta corrente Itaú</t>
        </is>
      </c>
      <c r="N202" s="19" t="inlineStr">
        <is>
          <t>Boleto</t>
        </is>
      </c>
      <c r="O202" s="48" t="n"/>
      <c r="P202" s="19" t="n"/>
      <c r="Q202" s="49" t="inlineStr">
        <is>
          <t>prevista (conta fixa)</t>
        </is>
      </c>
      <c r="R2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2" s="4" t="n"/>
      <c r="V202" s="4" t="n"/>
    </row>
    <row r="203" ht="20" customHeight="1">
      <c r="A203" s="4" t="n"/>
      <c r="B203" s="47" t="n">
        <v>46548</v>
      </c>
      <c r="C203" s="19" t="inlineStr">
        <is>
          <t>Conta de energia</t>
        </is>
      </c>
      <c r="D203" s="20" t="n"/>
      <c r="E203" s="21" t="n">
        <v>347.1</v>
      </c>
      <c r="F203" s="47" t="n">
        <v>46548</v>
      </c>
      <c r="G203" s="19" t="inlineStr">
        <is>
          <t>Pendente</t>
        </is>
      </c>
      <c r="H203" s="19" t="inlineStr">
        <is>
          <t>Despesa</t>
        </is>
      </c>
      <c r="I203" s="19" t="inlineStr">
        <is>
          <t>Contas da casa</t>
        </is>
      </c>
      <c r="J203" s="19" t="inlineStr">
        <is>
          <t>Essenciais</t>
        </is>
      </c>
      <c r="K203" s="19" t="n"/>
      <c r="L203" s="19" t="n"/>
      <c r="M203" s="19" t="inlineStr">
        <is>
          <t>Conta corrente Itaú</t>
        </is>
      </c>
      <c r="N203" s="19" t="inlineStr">
        <is>
          <t>Débito automático</t>
        </is>
      </c>
      <c r="O203" s="48" t="n"/>
      <c r="P203" s="19" t="n"/>
      <c r="Q203" s="49" t="inlineStr">
        <is>
          <t>prevista (conta fixa)</t>
        </is>
      </c>
      <c r="R2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3" s="4" t="n"/>
      <c r="V203" s="4" t="n"/>
    </row>
    <row r="204" ht="20" customHeight="1">
      <c r="A204" s="4" t="n"/>
      <c r="B204" s="47" t="n">
        <v>46550</v>
      </c>
      <c r="C204" s="19" t="inlineStr">
        <is>
          <t>Streaming + academia</t>
        </is>
      </c>
      <c r="D204" s="20" t="n"/>
      <c r="E204" s="21" t="n">
        <v>174.8</v>
      </c>
      <c r="F204" s="47" t="n">
        <v>46550</v>
      </c>
      <c r="G204" s="19" t="inlineStr">
        <is>
          <t>Pendente</t>
        </is>
      </c>
      <c r="H204" s="19" t="inlineStr">
        <is>
          <t>Despesa</t>
        </is>
      </c>
      <c r="I204" s="19" t="inlineStr">
        <is>
          <t>Assinaturas</t>
        </is>
      </c>
      <c r="J204" s="19" t="inlineStr">
        <is>
          <t>Essenciais</t>
        </is>
      </c>
      <c r="K204" s="19" t="n"/>
      <c r="L204" s="19" t="n"/>
      <c r="M204" s="19" t="inlineStr">
        <is>
          <t>Cartão Nubank</t>
        </is>
      </c>
      <c r="N204" s="19" t="inlineStr">
        <is>
          <t>Cartão de crédito</t>
        </is>
      </c>
      <c r="O204" s="48" t="n"/>
      <c r="P204" s="19" t="n"/>
      <c r="Q204" s="49" t="inlineStr">
        <is>
          <t>prevista (conta fixa)</t>
        </is>
      </c>
      <c r="R2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4" s="4" t="n"/>
      <c r="V204" s="4" t="n"/>
    </row>
    <row r="205" ht="20" customHeight="1">
      <c r="A205" s="4" t="n"/>
      <c r="B205" s="47" t="n">
        <v>46553</v>
      </c>
      <c r="C205" s="19" t="inlineStr">
        <is>
          <t>Combustível</t>
        </is>
      </c>
      <c r="D205" s="20" t="n"/>
      <c r="E205" s="21" t="n">
        <v>362.8</v>
      </c>
      <c r="F205" s="47" t="n">
        <v>46553</v>
      </c>
      <c r="G205" s="19" t="inlineStr">
        <is>
          <t>Pendente</t>
        </is>
      </c>
      <c r="H205" s="19" t="inlineStr">
        <is>
          <t>Despesa</t>
        </is>
      </c>
      <c r="I205" s="19" t="inlineStr">
        <is>
          <t>Transporte</t>
        </is>
      </c>
      <c r="J205" s="19" t="inlineStr">
        <is>
          <t>Essenciais</t>
        </is>
      </c>
      <c r="K205" s="19" t="n"/>
      <c r="L205" s="19" t="n"/>
      <c r="M205" s="19" t="inlineStr">
        <is>
          <t>Cartão Itaú</t>
        </is>
      </c>
      <c r="N205" s="19" t="inlineStr">
        <is>
          <t>Cartão de crédito</t>
        </is>
      </c>
      <c r="O205" s="48" t="n"/>
      <c r="P205" s="19" t="n"/>
      <c r="Q205" s="49" t="inlineStr">
        <is>
          <t>prevista (conta fixa)</t>
        </is>
      </c>
      <c r="R2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5" s="4" t="n"/>
      <c r="V205" s="4" t="n"/>
    </row>
    <row r="206" ht="20" customHeight="1">
      <c r="A206" s="4" t="n"/>
      <c r="B206" s="47" t="n">
        <v>46565</v>
      </c>
      <c r="C206" s="19" t="inlineStr">
        <is>
          <t>Cinema / passeio</t>
        </is>
      </c>
      <c r="D206" s="20" t="n"/>
      <c r="E206" s="21" t="n">
        <v>188</v>
      </c>
      <c r="F206" s="47" t="n">
        <v>46565</v>
      </c>
      <c r="G206" s="19" t="inlineStr">
        <is>
          <t>Pendente</t>
        </is>
      </c>
      <c r="H206" s="19" t="inlineStr">
        <is>
          <t>Despesa</t>
        </is>
      </c>
      <c r="I206" s="19" t="inlineStr">
        <is>
          <t>Lazer</t>
        </is>
      </c>
      <c r="J206" s="19" t="inlineStr">
        <is>
          <t>Lazer</t>
        </is>
      </c>
      <c r="K206" s="19" t="n"/>
      <c r="L206" s="19" t="n"/>
      <c r="M206" s="19" t="inlineStr">
        <is>
          <t>Conta Nubank</t>
        </is>
      </c>
      <c r="N206" s="19" t="inlineStr">
        <is>
          <t>PIX</t>
        </is>
      </c>
      <c r="O206" s="48" t="n"/>
      <c r="P206" s="19" t="n"/>
      <c r="Q206" s="49" t="inlineStr">
        <is>
          <t>prevista (conta fixa)</t>
        </is>
      </c>
      <c r="R2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6" s="4" t="n"/>
      <c r="V206" s="4" t="n"/>
    </row>
    <row r="207" ht="20" customHeight="1">
      <c r="A207" s="4" t="n"/>
      <c r="B207" s="47" t="n">
        <v>46571</v>
      </c>
      <c r="C207" s="19" t="inlineStr">
        <is>
          <t>Plano de saúde familiar</t>
        </is>
      </c>
      <c r="D207" s="20" t="n"/>
      <c r="E207" s="21" t="n">
        <v>890</v>
      </c>
      <c r="F207" s="47" t="n">
        <v>46571</v>
      </c>
      <c r="G207" s="19" t="inlineStr">
        <is>
          <t>Pendente</t>
        </is>
      </c>
      <c r="H207" s="19" t="inlineStr">
        <is>
          <t>Despesa</t>
        </is>
      </c>
      <c r="I207" s="19" t="inlineStr">
        <is>
          <t>Saúde</t>
        </is>
      </c>
      <c r="J207" s="19" t="inlineStr">
        <is>
          <t>Essenciais</t>
        </is>
      </c>
      <c r="K207" s="19" t="n"/>
      <c r="L207" s="19" t="n"/>
      <c r="M207" s="19" t="inlineStr">
        <is>
          <t>Conta corrente Itaú</t>
        </is>
      </c>
      <c r="N207" s="19" t="inlineStr">
        <is>
          <t>Débito automático</t>
        </is>
      </c>
      <c r="O207" s="48" t="n"/>
      <c r="P207" s="19" t="n"/>
      <c r="Q207" s="49" t="inlineStr">
        <is>
          <t>prevista (conta fixa)</t>
        </is>
      </c>
      <c r="R20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7" s="4" t="n"/>
      <c r="V207" s="4" t="n"/>
    </row>
    <row r="208" ht="20" customHeight="1">
      <c r="A208" s="4" t="n"/>
      <c r="B208" s="47" t="n">
        <v>46573</v>
      </c>
      <c r="C208" s="19" t="inlineStr">
        <is>
          <t>Salário — cônjuge</t>
        </is>
      </c>
      <c r="D208" s="20" t="n"/>
      <c r="E208" s="21" t="n">
        <v>5200</v>
      </c>
      <c r="F208" s="47" t="n">
        <v>46573</v>
      </c>
      <c r="G208" s="19" t="inlineStr">
        <is>
          <t>Pendente</t>
        </is>
      </c>
      <c r="H208" s="19" t="inlineStr">
        <is>
          <t>Receita</t>
        </is>
      </c>
      <c r="I208" s="19" t="inlineStr">
        <is>
          <t>Salário</t>
        </is>
      </c>
      <c r="J208" s="19" t="n"/>
      <c r="K208" s="19" t="n"/>
      <c r="L208" s="19" t="n"/>
      <c r="M208" s="19" t="inlineStr">
        <is>
          <t>Conta Nubank</t>
        </is>
      </c>
      <c r="N208" s="19" t="inlineStr">
        <is>
          <t>Transferência</t>
        </is>
      </c>
      <c r="O208" s="48" t="n"/>
      <c r="P208" s="19" t="n"/>
      <c r="Q208" s="49" t="inlineStr">
        <is>
          <t>prevista (conta fixa)</t>
        </is>
      </c>
      <c r="R20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8" s="4" t="n"/>
      <c r="V208" s="4" t="n"/>
    </row>
    <row r="209" ht="20" customHeight="1">
      <c r="A209" s="4" t="n"/>
      <c r="B209" s="47" t="n">
        <v>46573</v>
      </c>
      <c r="C209" s="19" t="inlineStr">
        <is>
          <t>Salário — titular</t>
        </is>
      </c>
      <c r="D209" s="20" t="n"/>
      <c r="E209" s="21" t="n">
        <v>7800</v>
      </c>
      <c r="F209" s="47" t="n">
        <v>46573</v>
      </c>
      <c r="G209" s="19" t="inlineStr">
        <is>
          <t>Pendente</t>
        </is>
      </c>
      <c r="H209" s="19" t="inlineStr">
        <is>
          <t>Receita</t>
        </is>
      </c>
      <c r="I209" s="19" t="inlineStr">
        <is>
          <t>Salário</t>
        </is>
      </c>
      <c r="J209" s="19" t="n"/>
      <c r="K209" s="19" t="n"/>
      <c r="L209" s="19" t="n"/>
      <c r="M209" s="19" t="inlineStr">
        <is>
          <t>Conta corrente Itaú</t>
        </is>
      </c>
      <c r="N209" s="19" t="inlineStr">
        <is>
          <t>Transferência</t>
        </is>
      </c>
      <c r="O209" s="48" t="n"/>
      <c r="P209" s="19" t="n"/>
      <c r="Q209" s="49" t="inlineStr">
        <is>
          <t>prevista (conta fixa)</t>
        </is>
      </c>
      <c r="R20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9" s="4" t="n"/>
      <c r="V209" s="4" t="n"/>
    </row>
    <row r="210" ht="20" customHeight="1">
      <c r="A210" s="4" t="n"/>
      <c r="B210" s="47" t="n">
        <v>46575</v>
      </c>
      <c r="C210" s="19" t="inlineStr">
        <is>
          <t>Mercado do mês</t>
        </is>
      </c>
      <c r="D210" s="20" t="n"/>
      <c r="E210" s="21" t="n">
        <v>934.1799999999999</v>
      </c>
      <c r="F210" s="47" t="n">
        <v>46575</v>
      </c>
      <c r="G210" s="19" t="inlineStr">
        <is>
          <t>Pendente</t>
        </is>
      </c>
      <c r="H210" s="19" t="inlineStr">
        <is>
          <t>Despesa</t>
        </is>
      </c>
      <c r="I210" s="19" t="inlineStr">
        <is>
          <t>Alimentação</t>
        </is>
      </c>
      <c r="J210" s="19" t="inlineStr">
        <is>
          <t>Essenciais</t>
        </is>
      </c>
      <c r="K210" s="19" t="n"/>
      <c r="L210" s="19" t="n"/>
      <c r="M210" s="19" t="inlineStr">
        <is>
          <t>Cartão Nubank</t>
        </is>
      </c>
      <c r="N210" s="19" t="inlineStr">
        <is>
          <t>Cartão de crédito</t>
        </is>
      </c>
      <c r="O210" s="48" t="n"/>
      <c r="P210" s="19" t="n"/>
      <c r="Q210" s="49" t="inlineStr">
        <is>
          <t>prevista (conta fixa)</t>
        </is>
      </c>
      <c r="R2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0" s="4" t="n"/>
      <c r="V210" s="4" t="n"/>
    </row>
    <row r="211" ht="20" customHeight="1">
      <c r="A211" s="4" t="n"/>
      <c r="B211" s="47" t="n">
        <v>46576</v>
      </c>
      <c r="C211" s="19" t="inlineStr">
        <is>
          <t>Mensalidade escolar</t>
        </is>
      </c>
      <c r="D211" s="20" t="n"/>
      <c r="E211" s="21" t="n">
        <v>1450</v>
      </c>
      <c r="F211" s="47" t="n">
        <v>46576</v>
      </c>
      <c r="G211" s="19" t="inlineStr">
        <is>
          <t>Pendente</t>
        </is>
      </c>
      <c r="H211" s="19" t="inlineStr">
        <is>
          <t>Despesa</t>
        </is>
      </c>
      <c r="I211" s="19" t="inlineStr">
        <is>
          <t>Educação</t>
        </is>
      </c>
      <c r="J211" s="19" t="inlineStr">
        <is>
          <t>Essenciais</t>
        </is>
      </c>
      <c r="K211" s="19" t="n"/>
      <c r="L211" s="19" t="n"/>
      <c r="M211" s="19" t="inlineStr">
        <is>
          <t>Conta corrente Itaú</t>
        </is>
      </c>
      <c r="N211" s="19" t="inlineStr">
        <is>
          <t>Boleto</t>
        </is>
      </c>
      <c r="O211" s="48" t="n"/>
      <c r="P211" s="19" t="n"/>
      <c r="Q211" s="49" t="inlineStr">
        <is>
          <t>prevista (conta fixa)</t>
        </is>
      </c>
      <c r="R2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1" s="4" t="n"/>
      <c r="V211" s="4" t="n"/>
    </row>
    <row r="212" ht="20" customHeight="1">
      <c r="A212" s="4" t="n"/>
      <c r="B212" s="47" t="n">
        <v>46578</v>
      </c>
      <c r="C212" s="19" t="inlineStr">
        <is>
          <t>Aluguel do apartamento</t>
        </is>
      </c>
      <c r="D212" s="20" t="n"/>
      <c r="E212" s="21" t="n">
        <v>2350</v>
      </c>
      <c r="F212" s="47" t="n">
        <v>46578</v>
      </c>
      <c r="G212" s="19" t="inlineStr">
        <is>
          <t>Pendente</t>
        </is>
      </c>
      <c r="H212" s="19" t="inlineStr">
        <is>
          <t>Despesa</t>
        </is>
      </c>
      <c r="I212" s="19" t="inlineStr">
        <is>
          <t>Moradia</t>
        </is>
      </c>
      <c r="J212" s="19" t="inlineStr">
        <is>
          <t>Essenciais</t>
        </is>
      </c>
      <c r="K212" s="19" t="n"/>
      <c r="L212" s="19" t="n"/>
      <c r="M212" s="19" t="inlineStr">
        <is>
          <t>Conta corrente Itaú</t>
        </is>
      </c>
      <c r="N212" s="19" t="inlineStr">
        <is>
          <t>Boleto</t>
        </is>
      </c>
      <c r="O212" s="48" t="n"/>
      <c r="P212" s="19" t="n"/>
      <c r="Q212" s="49" t="inlineStr">
        <is>
          <t>prevista (conta fixa)</t>
        </is>
      </c>
      <c r="R2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2" s="4" t="n"/>
      <c r="V212" s="4" t="n"/>
    </row>
    <row r="213" ht="20" customHeight="1">
      <c r="A213" s="4" t="n"/>
      <c r="B213" s="47" t="n">
        <v>46578</v>
      </c>
      <c r="C213" s="19" t="inlineStr">
        <is>
          <t>Conta de energia</t>
        </is>
      </c>
      <c r="D213" s="20" t="n"/>
      <c r="E213" s="21" t="n">
        <v>347.1</v>
      </c>
      <c r="F213" s="47" t="n">
        <v>46578</v>
      </c>
      <c r="G213" s="19" t="inlineStr">
        <is>
          <t>Pendente</t>
        </is>
      </c>
      <c r="H213" s="19" t="inlineStr">
        <is>
          <t>Despesa</t>
        </is>
      </c>
      <c r="I213" s="19" t="inlineStr">
        <is>
          <t>Contas da casa</t>
        </is>
      </c>
      <c r="J213" s="19" t="inlineStr">
        <is>
          <t>Essenciais</t>
        </is>
      </c>
      <c r="K213" s="19" t="n"/>
      <c r="L213" s="19" t="n"/>
      <c r="M213" s="19" t="inlineStr">
        <is>
          <t>Conta corrente Itaú</t>
        </is>
      </c>
      <c r="N213" s="19" t="inlineStr">
        <is>
          <t>Débito automático</t>
        </is>
      </c>
      <c r="O213" s="48" t="n"/>
      <c r="P213" s="19" t="n"/>
      <c r="Q213" s="49" t="inlineStr">
        <is>
          <t>prevista (conta fixa)</t>
        </is>
      </c>
      <c r="R2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3" s="4" t="n"/>
      <c r="V213" s="4" t="n"/>
    </row>
    <row r="214" ht="20" customHeight="1">
      <c r="A214" s="4" t="n"/>
      <c r="B214" s="47" t="n">
        <v>46580</v>
      </c>
      <c r="C214" s="19" t="inlineStr">
        <is>
          <t>Streaming + academia</t>
        </is>
      </c>
      <c r="D214" s="20" t="n"/>
      <c r="E214" s="21" t="n">
        <v>174.8</v>
      </c>
      <c r="F214" s="47" t="n">
        <v>46580</v>
      </c>
      <c r="G214" s="19" t="inlineStr">
        <is>
          <t>Pendente</t>
        </is>
      </c>
      <c r="H214" s="19" t="inlineStr">
        <is>
          <t>Despesa</t>
        </is>
      </c>
      <c r="I214" s="19" t="inlineStr">
        <is>
          <t>Assinaturas</t>
        </is>
      </c>
      <c r="J214" s="19" t="inlineStr">
        <is>
          <t>Essenciais</t>
        </is>
      </c>
      <c r="K214" s="19" t="n"/>
      <c r="L214" s="19" t="n"/>
      <c r="M214" s="19" t="inlineStr">
        <is>
          <t>Cartão Nubank</t>
        </is>
      </c>
      <c r="N214" s="19" t="inlineStr">
        <is>
          <t>Cartão de crédito</t>
        </is>
      </c>
      <c r="O214" s="48" t="n"/>
      <c r="P214" s="19" t="n"/>
      <c r="Q214" s="49" t="inlineStr">
        <is>
          <t>prevista (conta fixa)</t>
        </is>
      </c>
      <c r="R2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4" s="4" t="n"/>
      <c r="V214" s="4" t="n"/>
    </row>
    <row r="215" ht="20" customHeight="1">
      <c r="A215" s="4" t="n"/>
      <c r="B215" s="47" t="n">
        <v>46583</v>
      </c>
      <c r="C215" s="19" t="inlineStr">
        <is>
          <t>Combustível</t>
        </is>
      </c>
      <c r="D215" s="20" t="n"/>
      <c r="E215" s="21" t="n">
        <v>362.8</v>
      </c>
      <c r="F215" s="47" t="n">
        <v>46583</v>
      </c>
      <c r="G215" s="19" t="inlineStr">
        <is>
          <t>Pendente</t>
        </is>
      </c>
      <c r="H215" s="19" t="inlineStr">
        <is>
          <t>Despesa</t>
        </is>
      </c>
      <c r="I215" s="19" t="inlineStr">
        <is>
          <t>Transporte</t>
        </is>
      </c>
      <c r="J215" s="19" t="inlineStr">
        <is>
          <t>Essenciais</t>
        </is>
      </c>
      <c r="K215" s="19" t="n"/>
      <c r="L215" s="19" t="n"/>
      <c r="M215" s="19" t="inlineStr">
        <is>
          <t>Cartão Itaú</t>
        </is>
      </c>
      <c r="N215" s="19" t="inlineStr">
        <is>
          <t>Cartão de crédito</t>
        </is>
      </c>
      <c r="O215" s="48" t="n"/>
      <c r="P215" s="19" t="n"/>
      <c r="Q215" s="49" t="inlineStr">
        <is>
          <t>prevista (conta fixa)</t>
        </is>
      </c>
      <c r="R2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5" s="4" t="n"/>
      <c r="V215" s="4" t="n"/>
    </row>
    <row r="216" ht="20" customHeight="1">
      <c r="A216" s="4" t="n"/>
      <c r="B216" s="47" t="n">
        <v>46595</v>
      </c>
      <c r="C216" s="19" t="inlineStr">
        <is>
          <t>Cinema / passeio</t>
        </is>
      </c>
      <c r="D216" s="20" t="n"/>
      <c r="E216" s="21" t="n">
        <v>188</v>
      </c>
      <c r="F216" s="47" t="n">
        <v>46595</v>
      </c>
      <c r="G216" s="19" t="inlineStr">
        <is>
          <t>Pendente</t>
        </is>
      </c>
      <c r="H216" s="19" t="inlineStr">
        <is>
          <t>Despesa</t>
        </is>
      </c>
      <c r="I216" s="19" t="inlineStr">
        <is>
          <t>Lazer</t>
        </is>
      </c>
      <c r="J216" s="19" t="inlineStr">
        <is>
          <t>Lazer</t>
        </is>
      </c>
      <c r="K216" s="19" t="n"/>
      <c r="L216" s="19" t="n"/>
      <c r="M216" s="19" t="inlineStr">
        <is>
          <t>Conta Nubank</t>
        </is>
      </c>
      <c r="N216" s="19" t="inlineStr">
        <is>
          <t>PIX</t>
        </is>
      </c>
      <c r="O216" s="48" t="n"/>
      <c r="P216" s="19" t="n"/>
      <c r="Q216" s="49" t="inlineStr">
        <is>
          <t>prevista (conta fixa)</t>
        </is>
      </c>
      <c r="R2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6" s="4" t="n"/>
      <c r="V216" s="4" t="n"/>
    </row>
    <row r="217" ht="20" customHeight="1">
      <c r="A217" s="4" t="n"/>
      <c r="B217" s="47" t="n">
        <v>46602</v>
      </c>
      <c r="C217" s="19" t="inlineStr">
        <is>
          <t>Plano de saúde familiar</t>
        </is>
      </c>
      <c r="D217" s="20" t="n"/>
      <c r="E217" s="21" t="n">
        <v>890</v>
      </c>
      <c r="F217" s="47" t="n">
        <v>46602</v>
      </c>
      <c r="G217" s="19" t="inlineStr">
        <is>
          <t>Pendente</t>
        </is>
      </c>
      <c r="H217" s="19" t="inlineStr">
        <is>
          <t>Despesa</t>
        </is>
      </c>
      <c r="I217" s="19" t="inlineStr">
        <is>
          <t>Saúde</t>
        </is>
      </c>
      <c r="J217" s="19" t="inlineStr">
        <is>
          <t>Essenciais</t>
        </is>
      </c>
      <c r="K217" s="19" t="n"/>
      <c r="L217" s="19" t="n"/>
      <c r="M217" s="19" t="inlineStr">
        <is>
          <t>Conta corrente Itaú</t>
        </is>
      </c>
      <c r="N217" s="19" t="inlineStr">
        <is>
          <t>Débito automático</t>
        </is>
      </c>
      <c r="O217" s="48" t="n"/>
      <c r="P217" s="19" t="n"/>
      <c r="Q217" s="49" t="inlineStr">
        <is>
          <t>prevista (conta fixa)</t>
        </is>
      </c>
      <c r="R2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7" s="4" t="n"/>
      <c r="V217" s="4" t="n"/>
    </row>
    <row r="218" ht="20" customHeight="1">
      <c r="A218" s="4" t="n"/>
      <c r="B218" s="47" t="n">
        <v>46604</v>
      </c>
      <c r="C218" s="19" t="inlineStr">
        <is>
          <t>Salário — cônjuge</t>
        </is>
      </c>
      <c r="D218" s="20" t="n"/>
      <c r="E218" s="21" t="n">
        <v>5200</v>
      </c>
      <c r="F218" s="47" t="n">
        <v>46604</v>
      </c>
      <c r="G218" s="19" t="inlineStr">
        <is>
          <t>Pendente</t>
        </is>
      </c>
      <c r="H218" s="19" t="inlineStr">
        <is>
          <t>Receita</t>
        </is>
      </c>
      <c r="I218" s="19" t="inlineStr">
        <is>
          <t>Salário</t>
        </is>
      </c>
      <c r="J218" s="19" t="n"/>
      <c r="K218" s="19" t="n"/>
      <c r="L218" s="19" t="n"/>
      <c r="M218" s="19" t="inlineStr">
        <is>
          <t>Conta Nubank</t>
        </is>
      </c>
      <c r="N218" s="19" t="inlineStr">
        <is>
          <t>Transferência</t>
        </is>
      </c>
      <c r="O218" s="48" t="n"/>
      <c r="P218" s="19" t="n"/>
      <c r="Q218" s="49" t="inlineStr">
        <is>
          <t>prevista (conta fixa)</t>
        </is>
      </c>
      <c r="R2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8" s="4" t="n"/>
      <c r="V218" s="4" t="n"/>
    </row>
    <row r="219" ht="20" customHeight="1">
      <c r="A219" s="4" t="n"/>
      <c r="B219" s="47" t="n">
        <v>46604</v>
      </c>
      <c r="C219" s="19" t="inlineStr">
        <is>
          <t>Salário — titular</t>
        </is>
      </c>
      <c r="D219" s="20" t="n"/>
      <c r="E219" s="21" t="n">
        <v>7800</v>
      </c>
      <c r="F219" s="47" t="n">
        <v>46604</v>
      </c>
      <c r="G219" s="19" t="inlineStr">
        <is>
          <t>Pendente</t>
        </is>
      </c>
      <c r="H219" s="19" t="inlineStr">
        <is>
          <t>Receita</t>
        </is>
      </c>
      <c r="I219" s="19" t="inlineStr">
        <is>
          <t>Salário</t>
        </is>
      </c>
      <c r="J219" s="19" t="n"/>
      <c r="K219" s="19" t="n"/>
      <c r="L219" s="19" t="n"/>
      <c r="M219" s="19" t="inlineStr">
        <is>
          <t>Conta corrente Itaú</t>
        </is>
      </c>
      <c r="N219" s="19" t="inlineStr">
        <is>
          <t>Transferência</t>
        </is>
      </c>
      <c r="O219" s="48" t="n"/>
      <c r="P219" s="19" t="n"/>
      <c r="Q219" s="49" t="inlineStr">
        <is>
          <t>prevista (conta fixa)</t>
        </is>
      </c>
      <c r="R2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9" s="4" t="n"/>
      <c r="V219" s="4" t="n"/>
    </row>
    <row r="220" ht="20" customHeight="1">
      <c r="A220" s="4" t="n"/>
      <c r="B220" s="47" t="n">
        <v>46606</v>
      </c>
      <c r="C220" s="19" t="inlineStr">
        <is>
          <t>Mercado do mês</t>
        </is>
      </c>
      <c r="D220" s="20" t="n"/>
      <c r="E220" s="21" t="n">
        <v>934.1799999999999</v>
      </c>
      <c r="F220" s="47" t="n">
        <v>46606</v>
      </c>
      <c r="G220" s="19" t="inlineStr">
        <is>
          <t>Pendente</t>
        </is>
      </c>
      <c r="H220" s="19" t="inlineStr">
        <is>
          <t>Despesa</t>
        </is>
      </c>
      <c r="I220" s="19" t="inlineStr">
        <is>
          <t>Alimentação</t>
        </is>
      </c>
      <c r="J220" s="19" t="inlineStr">
        <is>
          <t>Essenciais</t>
        </is>
      </c>
      <c r="K220" s="19" t="n"/>
      <c r="L220" s="19" t="n"/>
      <c r="M220" s="19" t="inlineStr">
        <is>
          <t>Cartão Nubank</t>
        </is>
      </c>
      <c r="N220" s="19" t="inlineStr">
        <is>
          <t>Cartão de crédito</t>
        </is>
      </c>
      <c r="O220" s="48" t="n"/>
      <c r="P220" s="19" t="n"/>
      <c r="Q220" s="49" t="inlineStr">
        <is>
          <t>prevista (conta fixa)</t>
        </is>
      </c>
      <c r="R2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0" s="4" t="n"/>
      <c r="V220" s="4" t="n"/>
    </row>
    <row r="221" ht="20" customHeight="1">
      <c r="A221" s="4" t="n"/>
      <c r="B221" s="47" t="n">
        <v>46607</v>
      </c>
      <c r="C221" s="19" t="inlineStr">
        <is>
          <t>Mensalidade escolar</t>
        </is>
      </c>
      <c r="D221" s="20" t="n"/>
      <c r="E221" s="21" t="n">
        <v>1450</v>
      </c>
      <c r="F221" s="47" t="n">
        <v>46607</v>
      </c>
      <c r="G221" s="19" t="inlineStr">
        <is>
          <t>Pendente</t>
        </is>
      </c>
      <c r="H221" s="19" t="inlineStr">
        <is>
          <t>Despesa</t>
        </is>
      </c>
      <c r="I221" s="19" t="inlineStr">
        <is>
          <t>Educação</t>
        </is>
      </c>
      <c r="J221" s="19" t="inlineStr">
        <is>
          <t>Essenciais</t>
        </is>
      </c>
      <c r="K221" s="19" t="n"/>
      <c r="L221" s="19" t="n"/>
      <c r="M221" s="19" t="inlineStr">
        <is>
          <t>Conta corrente Itaú</t>
        </is>
      </c>
      <c r="N221" s="19" t="inlineStr">
        <is>
          <t>Boleto</t>
        </is>
      </c>
      <c r="O221" s="48" t="n"/>
      <c r="P221" s="19" t="n"/>
      <c r="Q221" s="49" t="inlineStr">
        <is>
          <t>prevista (conta fixa)</t>
        </is>
      </c>
      <c r="R2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1" s="4" t="n"/>
      <c r="V221" s="4" t="n"/>
    </row>
    <row r="222" ht="20" customHeight="1">
      <c r="A222" s="4" t="n"/>
      <c r="B222" s="47" t="n">
        <v>46609</v>
      </c>
      <c r="C222" s="19" t="inlineStr">
        <is>
          <t>Aluguel do apartamento</t>
        </is>
      </c>
      <c r="D222" s="20" t="n"/>
      <c r="E222" s="21" t="n">
        <v>2350</v>
      </c>
      <c r="F222" s="47" t="n">
        <v>46609</v>
      </c>
      <c r="G222" s="19" t="inlineStr">
        <is>
          <t>Pendente</t>
        </is>
      </c>
      <c r="H222" s="19" t="inlineStr">
        <is>
          <t>Despesa</t>
        </is>
      </c>
      <c r="I222" s="19" t="inlineStr">
        <is>
          <t>Moradia</t>
        </is>
      </c>
      <c r="J222" s="19" t="inlineStr">
        <is>
          <t>Essenciais</t>
        </is>
      </c>
      <c r="K222" s="19" t="n"/>
      <c r="L222" s="19" t="n"/>
      <c r="M222" s="19" t="inlineStr">
        <is>
          <t>Conta corrente Itaú</t>
        </is>
      </c>
      <c r="N222" s="19" t="inlineStr">
        <is>
          <t>Boleto</t>
        </is>
      </c>
      <c r="O222" s="48" t="n"/>
      <c r="P222" s="19" t="n"/>
      <c r="Q222" s="49" t="inlineStr">
        <is>
          <t>prevista (conta fixa)</t>
        </is>
      </c>
      <c r="R2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2" s="4" t="n"/>
      <c r="V222" s="4" t="n"/>
    </row>
    <row r="223" ht="20" customHeight="1">
      <c r="A223" s="4" t="n"/>
      <c r="B223" s="47" t="n">
        <v>46609</v>
      </c>
      <c r="C223" s="19" t="inlineStr">
        <is>
          <t>Conta de energia</t>
        </is>
      </c>
      <c r="D223" s="20" t="n"/>
      <c r="E223" s="21" t="n">
        <v>347.1</v>
      </c>
      <c r="F223" s="47" t="n">
        <v>46609</v>
      </c>
      <c r="G223" s="19" t="inlineStr">
        <is>
          <t>Pendente</t>
        </is>
      </c>
      <c r="H223" s="19" t="inlineStr">
        <is>
          <t>Despesa</t>
        </is>
      </c>
      <c r="I223" s="19" t="inlineStr">
        <is>
          <t>Contas da casa</t>
        </is>
      </c>
      <c r="J223" s="19" t="inlineStr">
        <is>
          <t>Essenciais</t>
        </is>
      </c>
      <c r="K223" s="19" t="n"/>
      <c r="L223" s="19" t="n"/>
      <c r="M223" s="19" t="inlineStr">
        <is>
          <t>Conta corrente Itaú</t>
        </is>
      </c>
      <c r="N223" s="19" t="inlineStr">
        <is>
          <t>Débito automático</t>
        </is>
      </c>
      <c r="O223" s="48" t="n"/>
      <c r="P223" s="19" t="n"/>
      <c r="Q223" s="49" t="inlineStr">
        <is>
          <t>prevista (conta fixa)</t>
        </is>
      </c>
      <c r="R2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3" s="4" t="n"/>
      <c r="V223" s="4" t="n"/>
    </row>
    <row r="224" ht="20" customHeight="1">
      <c r="A224" s="4" t="n"/>
      <c r="B224" s="47" t="n">
        <v>46611</v>
      </c>
      <c r="C224" s="19" t="inlineStr">
        <is>
          <t>Streaming + academia</t>
        </is>
      </c>
      <c r="D224" s="20" t="n"/>
      <c r="E224" s="21" t="n">
        <v>174.8</v>
      </c>
      <c r="F224" s="47" t="n">
        <v>46611</v>
      </c>
      <c r="G224" s="19" t="inlineStr">
        <is>
          <t>Pendente</t>
        </is>
      </c>
      <c r="H224" s="19" t="inlineStr">
        <is>
          <t>Despesa</t>
        </is>
      </c>
      <c r="I224" s="19" t="inlineStr">
        <is>
          <t>Assinaturas</t>
        </is>
      </c>
      <c r="J224" s="19" t="inlineStr">
        <is>
          <t>Essenciais</t>
        </is>
      </c>
      <c r="K224" s="19" t="n"/>
      <c r="L224" s="19" t="n"/>
      <c r="M224" s="19" t="inlineStr">
        <is>
          <t>Cartão Nubank</t>
        </is>
      </c>
      <c r="N224" s="19" t="inlineStr">
        <is>
          <t>Cartão de crédito</t>
        </is>
      </c>
      <c r="O224" s="48" t="n"/>
      <c r="P224" s="19" t="n"/>
      <c r="Q224" s="49" t="inlineStr">
        <is>
          <t>prevista (conta fixa)</t>
        </is>
      </c>
      <c r="R2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4" s="4" t="n"/>
      <c r="V224" s="4" t="n"/>
    </row>
    <row r="225" ht="20" customHeight="1">
      <c r="A225" s="4" t="n"/>
      <c r="B225" s="47" t="n">
        <v>46614</v>
      </c>
      <c r="C225" s="19" t="inlineStr">
        <is>
          <t>Combustível</t>
        </is>
      </c>
      <c r="D225" s="20" t="n"/>
      <c r="E225" s="21" t="n">
        <v>362.8</v>
      </c>
      <c r="F225" s="47" t="n">
        <v>46614</v>
      </c>
      <c r="G225" s="19" t="inlineStr">
        <is>
          <t>Pendente</t>
        </is>
      </c>
      <c r="H225" s="19" t="inlineStr">
        <is>
          <t>Despesa</t>
        </is>
      </c>
      <c r="I225" s="19" t="inlineStr">
        <is>
          <t>Transporte</t>
        </is>
      </c>
      <c r="J225" s="19" t="inlineStr">
        <is>
          <t>Essenciais</t>
        </is>
      </c>
      <c r="K225" s="19" t="n"/>
      <c r="L225" s="19" t="n"/>
      <c r="M225" s="19" t="inlineStr">
        <is>
          <t>Cartão Itaú</t>
        </is>
      </c>
      <c r="N225" s="19" t="inlineStr">
        <is>
          <t>Cartão de crédito</t>
        </is>
      </c>
      <c r="O225" s="48" t="n"/>
      <c r="P225" s="19" t="n"/>
      <c r="Q225" s="49" t="inlineStr">
        <is>
          <t>prevista (conta fixa)</t>
        </is>
      </c>
      <c r="R2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5" s="4" t="n"/>
      <c r="V225" s="4" t="n"/>
    </row>
    <row r="226" ht="20" customHeight="1">
      <c r="A226" s="4" t="n"/>
      <c r="B226" s="47" t="n">
        <v>46626</v>
      </c>
      <c r="C226" s="19" t="inlineStr">
        <is>
          <t>Cinema / passeio</t>
        </is>
      </c>
      <c r="D226" s="20" t="n"/>
      <c r="E226" s="21" t="n">
        <v>188</v>
      </c>
      <c r="F226" s="47" t="n">
        <v>46626</v>
      </c>
      <c r="G226" s="19" t="inlineStr">
        <is>
          <t>Pendente</t>
        </is>
      </c>
      <c r="H226" s="19" t="inlineStr">
        <is>
          <t>Despesa</t>
        </is>
      </c>
      <c r="I226" s="19" t="inlineStr">
        <is>
          <t>Lazer</t>
        </is>
      </c>
      <c r="J226" s="19" t="inlineStr">
        <is>
          <t>Lazer</t>
        </is>
      </c>
      <c r="K226" s="19" t="n"/>
      <c r="L226" s="19" t="n"/>
      <c r="M226" s="19" t="inlineStr">
        <is>
          <t>Conta Nubank</t>
        </is>
      </c>
      <c r="N226" s="19" t="inlineStr">
        <is>
          <t>PIX</t>
        </is>
      </c>
      <c r="O226" s="48" t="n"/>
      <c r="P226" s="19" t="n"/>
      <c r="Q226" s="49" t="inlineStr">
        <is>
          <t>prevista (conta fixa)</t>
        </is>
      </c>
      <c r="R2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6" s="4" t="n"/>
      <c r="V226" s="4" t="n"/>
    </row>
    <row r="227" ht="20" customHeight="1">
      <c r="A227" s="4" t="n"/>
      <c r="B227" s="47" t="n">
        <v>46633</v>
      </c>
      <c r="C227" s="19" t="inlineStr">
        <is>
          <t>Plano de saúde familiar</t>
        </is>
      </c>
      <c r="D227" s="20" t="n"/>
      <c r="E227" s="21" t="n">
        <v>890</v>
      </c>
      <c r="F227" s="47" t="n">
        <v>46633</v>
      </c>
      <c r="G227" s="19" t="inlineStr">
        <is>
          <t>Pendente</t>
        </is>
      </c>
      <c r="H227" s="19" t="inlineStr">
        <is>
          <t>Despesa</t>
        </is>
      </c>
      <c r="I227" s="19" t="inlineStr">
        <is>
          <t>Saúde</t>
        </is>
      </c>
      <c r="J227" s="19" t="inlineStr">
        <is>
          <t>Essenciais</t>
        </is>
      </c>
      <c r="K227" s="19" t="n"/>
      <c r="L227" s="19" t="n"/>
      <c r="M227" s="19" t="inlineStr">
        <is>
          <t>Conta corrente Itaú</t>
        </is>
      </c>
      <c r="N227" s="19" t="inlineStr">
        <is>
          <t>Débito automático</t>
        </is>
      </c>
      <c r="O227" s="48" t="n"/>
      <c r="P227" s="19" t="n"/>
      <c r="Q227" s="49" t="inlineStr">
        <is>
          <t>prevista (conta fixa)</t>
        </is>
      </c>
      <c r="R2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7" s="4" t="n"/>
      <c r="V227" s="4" t="n"/>
    </row>
    <row r="228" ht="20" customHeight="1">
      <c r="A228" s="4" t="n"/>
      <c r="B228" s="47" t="n">
        <v>46635</v>
      </c>
      <c r="C228" s="19" t="inlineStr">
        <is>
          <t>Salário — cônjuge</t>
        </is>
      </c>
      <c r="D228" s="20" t="n"/>
      <c r="E228" s="21" t="n">
        <v>5200</v>
      </c>
      <c r="F228" s="47" t="n">
        <v>46635</v>
      </c>
      <c r="G228" s="19" t="inlineStr">
        <is>
          <t>Pendente</t>
        </is>
      </c>
      <c r="H228" s="19" t="inlineStr">
        <is>
          <t>Receita</t>
        </is>
      </c>
      <c r="I228" s="19" t="inlineStr">
        <is>
          <t>Salário</t>
        </is>
      </c>
      <c r="J228" s="19" t="n"/>
      <c r="K228" s="19" t="n"/>
      <c r="L228" s="19" t="n"/>
      <c r="M228" s="19" t="inlineStr">
        <is>
          <t>Conta Nubank</t>
        </is>
      </c>
      <c r="N228" s="19" t="inlineStr">
        <is>
          <t>Transferência</t>
        </is>
      </c>
      <c r="O228" s="48" t="n"/>
      <c r="P228" s="19" t="n"/>
      <c r="Q228" s="49" t="inlineStr">
        <is>
          <t>prevista (conta fixa)</t>
        </is>
      </c>
      <c r="R2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8" s="4" t="n"/>
      <c r="V228" s="4" t="n"/>
    </row>
    <row r="229" ht="20" customHeight="1">
      <c r="A229" s="4" t="n"/>
      <c r="B229" s="47" t="n">
        <v>46635</v>
      </c>
      <c r="C229" s="19" t="inlineStr">
        <is>
          <t>Salário — titular</t>
        </is>
      </c>
      <c r="D229" s="20" t="n"/>
      <c r="E229" s="21" t="n">
        <v>7800</v>
      </c>
      <c r="F229" s="47" t="n">
        <v>46635</v>
      </c>
      <c r="G229" s="19" t="inlineStr">
        <is>
          <t>Pendente</t>
        </is>
      </c>
      <c r="H229" s="19" t="inlineStr">
        <is>
          <t>Receita</t>
        </is>
      </c>
      <c r="I229" s="19" t="inlineStr">
        <is>
          <t>Salário</t>
        </is>
      </c>
      <c r="J229" s="19" t="n"/>
      <c r="K229" s="19" t="n"/>
      <c r="L229" s="19" t="n"/>
      <c r="M229" s="19" t="inlineStr">
        <is>
          <t>Conta corrente Itaú</t>
        </is>
      </c>
      <c r="N229" s="19" t="inlineStr">
        <is>
          <t>Transferência</t>
        </is>
      </c>
      <c r="O229" s="48" t="n"/>
      <c r="P229" s="19" t="n"/>
      <c r="Q229" s="49" t="inlineStr">
        <is>
          <t>prevista (conta fixa)</t>
        </is>
      </c>
      <c r="R2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9" s="4" t="n"/>
      <c r="V229" s="4" t="n"/>
    </row>
    <row r="230" ht="20" customHeight="1">
      <c r="A230" s="4" t="n"/>
      <c r="B230" s="47" t="n">
        <v>46637</v>
      </c>
      <c r="C230" s="19" t="inlineStr">
        <is>
          <t>Mercado do mês</t>
        </is>
      </c>
      <c r="D230" s="20" t="n"/>
      <c r="E230" s="21" t="n">
        <v>934.1799999999999</v>
      </c>
      <c r="F230" s="47" t="n">
        <v>46637</v>
      </c>
      <c r="G230" s="19" t="inlineStr">
        <is>
          <t>Pendente</t>
        </is>
      </c>
      <c r="H230" s="19" t="inlineStr">
        <is>
          <t>Despesa</t>
        </is>
      </c>
      <c r="I230" s="19" t="inlineStr">
        <is>
          <t>Alimentação</t>
        </is>
      </c>
      <c r="J230" s="19" t="inlineStr">
        <is>
          <t>Essenciais</t>
        </is>
      </c>
      <c r="K230" s="19" t="n"/>
      <c r="L230" s="19" t="n"/>
      <c r="M230" s="19" t="inlineStr">
        <is>
          <t>Cartão Nubank</t>
        </is>
      </c>
      <c r="N230" s="19" t="inlineStr">
        <is>
          <t>Cartão de crédito</t>
        </is>
      </c>
      <c r="O230" s="48" t="n"/>
      <c r="P230" s="19" t="n"/>
      <c r="Q230" s="49" t="inlineStr">
        <is>
          <t>prevista (conta fixa)</t>
        </is>
      </c>
      <c r="R2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0" s="4" t="n"/>
      <c r="V230" s="4" t="n"/>
    </row>
    <row r="231" ht="20" customHeight="1">
      <c r="A231" s="4" t="n"/>
      <c r="B231" s="47" t="n">
        <v>46638</v>
      </c>
      <c r="C231" s="19" t="inlineStr">
        <is>
          <t>Mensalidade escolar</t>
        </is>
      </c>
      <c r="D231" s="20" t="n"/>
      <c r="E231" s="21" t="n">
        <v>1450</v>
      </c>
      <c r="F231" s="47" t="n">
        <v>46638</v>
      </c>
      <c r="G231" s="19" t="inlineStr">
        <is>
          <t>Pendente</t>
        </is>
      </c>
      <c r="H231" s="19" t="inlineStr">
        <is>
          <t>Despesa</t>
        </is>
      </c>
      <c r="I231" s="19" t="inlineStr">
        <is>
          <t>Educação</t>
        </is>
      </c>
      <c r="J231" s="19" t="inlineStr">
        <is>
          <t>Essenciais</t>
        </is>
      </c>
      <c r="K231" s="19" t="n"/>
      <c r="L231" s="19" t="n"/>
      <c r="M231" s="19" t="inlineStr">
        <is>
          <t>Conta corrente Itaú</t>
        </is>
      </c>
      <c r="N231" s="19" t="inlineStr">
        <is>
          <t>Boleto</t>
        </is>
      </c>
      <c r="O231" s="48" t="n"/>
      <c r="P231" s="19" t="n"/>
      <c r="Q231" s="49" t="inlineStr">
        <is>
          <t>prevista (conta fixa)</t>
        </is>
      </c>
      <c r="R2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1" s="4" t="n"/>
      <c r="V231" s="4" t="n"/>
    </row>
    <row r="232" ht="20" customHeight="1">
      <c r="A232" s="4" t="n"/>
      <c r="B232" s="47" t="n">
        <v>46640</v>
      </c>
      <c r="C232" s="19" t="inlineStr">
        <is>
          <t>Aluguel do apartamento</t>
        </is>
      </c>
      <c r="D232" s="20" t="n"/>
      <c r="E232" s="21" t="n">
        <v>2350</v>
      </c>
      <c r="F232" s="47" t="n">
        <v>46640</v>
      </c>
      <c r="G232" s="19" t="inlineStr">
        <is>
          <t>Pendente</t>
        </is>
      </c>
      <c r="H232" s="19" t="inlineStr">
        <is>
          <t>Despesa</t>
        </is>
      </c>
      <c r="I232" s="19" t="inlineStr">
        <is>
          <t>Moradia</t>
        </is>
      </c>
      <c r="J232" s="19" t="inlineStr">
        <is>
          <t>Essenciais</t>
        </is>
      </c>
      <c r="K232" s="19" t="n"/>
      <c r="L232" s="19" t="n"/>
      <c r="M232" s="19" t="inlineStr">
        <is>
          <t>Conta corrente Itaú</t>
        </is>
      </c>
      <c r="N232" s="19" t="inlineStr">
        <is>
          <t>Boleto</t>
        </is>
      </c>
      <c r="O232" s="48" t="n"/>
      <c r="P232" s="19" t="n"/>
      <c r="Q232" s="49" t="inlineStr">
        <is>
          <t>prevista (conta fixa)</t>
        </is>
      </c>
      <c r="R2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2" s="4" t="n"/>
      <c r="V232" s="4" t="n"/>
    </row>
    <row r="233" ht="20" customHeight="1">
      <c r="A233" s="4" t="n"/>
      <c r="B233" s="47" t="n">
        <v>46640</v>
      </c>
      <c r="C233" s="19" t="inlineStr">
        <is>
          <t>Conta de energia</t>
        </is>
      </c>
      <c r="D233" s="20" t="n"/>
      <c r="E233" s="21" t="n">
        <v>347.1</v>
      </c>
      <c r="F233" s="47" t="n">
        <v>46640</v>
      </c>
      <c r="G233" s="19" t="inlineStr">
        <is>
          <t>Pendente</t>
        </is>
      </c>
      <c r="H233" s="19" t="inlineStr">
        <is>
          <t>Despesa</t>
        </is>
      </c>
      <c r="I233" s="19" t="inlineStr">
        <is>
          <t>Contas da casa</t>
        </is>
      </c>
      <c r="J233" s="19" t="inlineStr">
        <is>
          <t>Essenciais</t>
        </is>
      </c>
      <c r="K233" s="19" t="n"/>
      <c r="L233" s="19" t="n"/>
      <c r="M233" s="19" t="inlineStr">
        <is>
          <t>Conta corrente Itaú</t>
        </is>
      </c>
      <c r="N233" s="19" t="inlineStr">
        <is>
          <t>Débito automático</t>
        </is>
      </c>
      <c r="O233" s="48" t="n"/>
      <c r="P233" s="19" t="n"/>
      <c r="Q233" s="49" t="inlineStr">
        <is>
          <t>prevista (conta fixa)</t>
        </is>
      </c>
      <c r="R2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3" s="4" t="n"/>
      <c r="V233" s="4" t="n"/>
    </row>
    <row r="234" ht="20" customHeight="1">
      <c r="A234" s="4" t="n"/>
      <c r="B234" s="47" t="n">
        <v>46642</v>
      </c>
      <c r="C234" s="19" t="inlineStr">
        <is>
          <t>Streaming + academia</t>
        </is>
      </c>
      <c r="D234" s="20" t="n"/>
      <c r="E234" s="21" t="n">
        <v>174.8</v>
      </c>
      <c r="F234" s="47" t="n">
        <v>46642</v>
      </c>
      <c r="G234" s="19" t="inlineStr">
        <is>
          <t>Pendente</t>
        </is>
      </c>
      <c r="H234" s="19" t="inlineStr">
        <is>
          <t>Despesa</t>
        </is>
      </c>
      <c r="I234" s="19" t="inlineStr">
        <is>
          <t>Assinaturas</t>
        </is>
      </c>
      <c r="J234" s="19" t="inlineStr">
        <is>
          <t>Essenciais</t>
        </is>
      </c>
      <c r="K234" s="19" t="n"/>
      <c r="L234" s="19" t="n"/>
      <c r="M234" s="19" t="inlineStr">
        <is>
          <t>Cartão Nubank</t>
        </is>
      </c>
      <c r="N234" s="19" t="inlineStr">
        <is>
          <t>Cartão de crédito</t>
        </is>
      </c>
      <c r="O234" s="48" t="n"/>
      <c r="P234" s="19" t="n"/>
      <c r="Q234" s="49" t="inlineStr">
        <is>
          <t>prevista (conta fixa)</t>
        </is>
      </c>
      <c r="R2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4" s="4" t="n"/>
      <c r="V234" s="4" t="n"/>
    </row>
    <row r="235" ht="20" customHeight="1">
      <c r="A235" s="4" t="n"/>
      <c r="B235" s="47" t="n">
        <v>46645</v>
      </c>
      <c r="C235" s="19" t="inlineStr">
        <is>
          <t>Combustível</t>
        </is>
      </c>
      <c r="D235" s="20" t="n"/>
      <c r="E235" s="21" t="n">
        <v>362.8</v>
      </c>
      <c r="F235" s="47" t="n">
        <v>46645</v>
      </c>
      <c r="G235" s="19" t="inlineStr">
        <is>
          <t>Pendente</t>
        </is>
      </c>
      <c r="H235" s="19" t="inlineStr">
        <is>
          <t>Despesa</t>
        </is>
      </c>
      <c r="I235" s="19" t="inlineStr">
        <is>
          <t>Transporte</t>
        </is>
      </c>
      <c r="J235" s="19" t="inlineStr">
        <is>
          <t>Essenciais</t>
        </is>
      </c>
      <c r="K235" s="19" t="n"/>
      <c r="L235" s="19" t="n"/>
      <c r="M235" s="19" t="inlineStr">
        <is>
          <t>Cartão Itaú</t>
        </is>
      </c>
      <c r="N235" s="19" t="inlineStr">
        <is>
          <t>Cartão de crédito</t>
        </is>
      </c>
      <c r="O235" s="48" t="n"/>
      <c r="P235" s="19" t="n"/>
      <c r="Q235" s="49" t="inlineStr">
        <is>
          <t>prevista (conta fixa)</t>
        </is>
      </c>
      <c r="R2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5" s="4" t="n"/>
      <c r="V235" s="4" t="n"/>
    </row>
    <row r="236" ht="20" customHeight="1">
      <c r="A236" s="4" t="n"/>
      <c r="B236" s="47" t="n">
        <v>46657</v>
      </c>
      <c r="C236" s="19" t="inlineStr">
        <is>
          <t>Cinema / passeio</t>
        </is>
      </c>
      <c r="D236" s="20" t="n"/>
      <c r="E236" s="21" t="n">
        <v>188</v>
      </c>
      <c r="F236" s="47" t="n">
        <v>46657</v>
      </c>
      <c r="G236" s="19" t="inlineStr">
        <is>
          <t>Pendente</t>
        </is>
      </c>
      <c r="H236" s="19" t="inlineStr">
        <is>
          <t>Despesa</t>
        </is>
      </c>
      <c r="I236" s="19" t="inlineStr">
        <is>
          <t>Lazer</t>
        </is>
      </c>
      <c r="J236" s="19" t="inlineStr">
        <is>
          <t>Lazer</t>
        </is>
      </c>
      <c r="K236" s="19" t="n"/>
      <c r="L236" s="19" t="n"/>
      <c r="M236" s="19" t="inlineStr">
        <is>
          <t>Conta Nubank</t>
        </is>
      </c>
      <c r="N236" s="19" t="inlineStr">
        <is>
          <t>PIX</t>
        </is>
      </c>
      <c r="O236" s="48" t="n"/>
      <c r="P236" s="19" t="n"/>
      <c r="Q236" s="49" t="inlineStr">
        <is>
          <t>prevista (conta fixa)</t>
        </is>
      </c>
      <c r="R2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6" s="4" t="n"/>
      <c r="V236" s="4" t="n"/>
    </row>
    <row r="237" ht="20" customHeight="1">
      <c r="A237" s="4" t="n"/>
      <c r="B237" s="47" t="n">
        <v>46663</v>
      </c>
      <c r="C237" s="19" t="inlineStr">
        <is>
          <t>Plano de saúde familiar</t>
        </is>
      </c>
      <c r="D237" s="20" t="n"/>
      <c r="E237" s="21" t="n">
        <v>890</v>
      </c>
      <c r="F237" s="47" t="n">
        <v>46663</v>
      </c>
      <c r="G237" s="19" t="inlineStr">
        <is>
          <t>Pendente</t>
        </is>
      </c>
      <c r="H237" s="19" t="inlineStr">
        <is>
          <t>Despesa</t>
        </is>
      </c>
      <c r="I237" s="19" t="inlineStr">
        <is>
          <t>Saúde</t>
        </is>
      </c>
      <c r="J237" s="19" t="inlineStr">
        <is>
          <t>Essenciais</t>
        </is>
      </c>
      <c r="K237" s="19" t="n"/>
      <c r="L237" s="19" t="n"/>
      <c r="M237" s="19" t="inlineStr">
        <is>
          <t>Conta corrente Itaú</t>
        </is>
      </c>
      <c r="N237" s="19" t="inlineStr">
        <is>
          <t>Débito automático</t>
        </is>
      </c>
      <c r="O237" s="48" t="n"/>
      <c r="P237" s="19" t="n"/>
      <c r="Q237" s="49" t="inlineStr">
        <is>
          <t>prevista (conta fixa)</t>
        </is>
      </c>
      <c r="R2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7" s="4" t="n"/>
      <c r="V237" s="4" t="n"/>
    </row>
    <row r="238" ht="20" customHeight="1">
      <c r="A238" s="4" t="n"/>
      <c r="B238" s="47" t="n">
        <v>46665</v>
      </c>
      <c r="C238" s="19" t="inlineStr">
        <is>
          <t>Salário — cônjuge</t>
        </is>
      </c>
      <c r="D238" s="20" t="n"/>
      <c r="E238" s="21" t="n">
        <v>5200</v>
      </c>
      <c r="F238" s="47" t="n">
        <v>46665</v>
      </c>
      <c r="G238" s="19" t="inlineStr">
        <is>
          <t>Pendente</t>
        </is>
      </c>
      <c r="H238" s="19" t="inlineStr">
        <is>
          <t>Receita</t>
        </is>
      </c>
      <c r="I238" s="19" t="inlineStr">
        <is>
          <t>Salário</t>
        </is>
      </c>
      <c r="J238" s="19" t="n"/>
      <c r="K238" s="19" t="n"/>
      <c r="L238" s="19" t="n"/>
      <c r="M238" s="19" t="inlineStr">
        <is>
          <t>Conta Nubank</t>
        </is>
      </c>
      <c r="N238" s="19" t="inlineStr">
        <is>
          <t>Transferência</t>
        </is>
      </c>
      <c r="O238" s="48" t="n"/>
      <c r="P238" s="19" t="n"/>
      <c r="Q238" s="49" t="inlineStr">
        <is>
          <t>prevista (conta fixa)</t>
        </is>
      </c>
      <c r="R2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8" s="4" t="n"/>
      <c r="V238" s="4" t="n"/>
    </row>
    <row r="239" ht="20" customHeight="1">
      <c r="A239" s="4" t="n"/>
      <c r="B239" s="47" t="n">
        <v>46665</v>
      </c>
      <c r="C239" s="19" t="inlineStr">
        <is>
          <t>Salário — titular</t>
        </is>
      </c>
      <c r="D239" s="20" t="n"/>
      <c r="E239" s="21" t="n">
        <v>7800</v>
      </c>
      <c r="F239" s="47" t="n">
        <v>46665</v>
      </c>
      <c r="G239" s="19" t="inlineStr">
        <is>
          <t>Pendente</t>
        </is>
      </c>
      <c r="H239" s="19" t="inlineStr">
        <is>
          <t>Receita</t>
        </is>
      </c>
      <c r="I239" s="19" t="inlineStr">
        <is>
          <t>Salário</t>
        </is>
      </c>
      <c r="J239" s="19" t="n"/>
      <c r="K239" s="19" t="n"/>
      <c r="L239" s="19" t="n"/>
      <c r="M239" s="19" t="inlineStr">
        <is>
          <t>Conta corrente Itaú</t>
        </is>
      </c>
      <c r="N239" s="19" t="inlineStr">
        <is>
          <t>Transferência</t>
        </is>
      </c>
      <c r="O239" s="48" t="n"/>
      <c r="P239" s="19" t="n"/>
      <c r="Q239" s="49" t="inlineStr">
        <is>
          <t>prevista (conta fixa)</t>
        </is>
      </c>
      <c r="R2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9" s="4" t="n"/>
      <c r="V239" s="4" t="n"/>
    </row>
    <row r="240" ht="20" customHeight="1">
      <c r="A240" s="4" t="n"/>
      <c r="B240" s="47" t="n">
        <v>46667</v>
      </c>
      <c r="C240" s="19" t="inlineStr">
        <is>
          <t>Mercado do mês</t>
        </is>
      </c>
      <c r="D240" s="20" t="n"/>
      <c r="E240" s="21" t="n">
        <v>934.1799999999999</v>
      </c>
      <c r="F240" s="47" t="n">
        <v>46667</v>
      </c>
      <c r="G240" s="19" t="inlineStr">
        <is>
          <t>Pendente</t>
        </is>
      </c>
      <c r="H240" s="19" t="inlineStr">
        <is>
          <t>Despesa</t>
        </is>
      </c>
      <c r="I240" s="19" t="inlineStr">
        <is>
          <t>Alimentação</t>
        </is>
      </c>
      <c r="J240" s="19" t="inlineStr">
        <is>
          <t>Essenciais</t>
        </is>
      </c>
      <c r="K240" s="19" t="n"/>
      <c r="L240" s="19" t="n"/>
      <c r="M240" s="19" t="inlineStr">
        <is>
          <t>Cartão Nubank</t>
        </is>
      </c>
      <c r="N240" s="19" t="inlineStr">
        <is>
          <t>Cartão de crédito</t>
        </is>
      </c>
      <c r="O240" s="48" t="n"/>
      <c r="P240" s="19" t="n"/>
      <c r="Q240" s="49" t="inlineStr">
        <is>
          <t>prevista (conta fixa)</t>
        </is>
      </c>
      <c r="R2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0" s="4" t="n"/>
      <c r="V240" s="4" t="n"/>
    </row>
    <row r="241" ht="20" customHeight="1">
      <c r="A241" s="4" t="n"/>
      <c r="B241" s="47" t="n">
        <v>46668</v>
      </c>
      <c r="C241" s="19" t="inlineStr">
        <is>
          <t>Mensalidade escolar</t>
        </is>
      </c>
      <c r="D241" s="20" t="n"/>
      <c r="E241" s="21" t="n">
        <v>1450</v>
      </c>
      <c r="F241" s="47" t="n">
        <v>46668</v>
      </c>
      <c r="G241" s="19" t="inlineStr">
        <is>
          <t>Pendente</t>
        </is>
      </c>
      <c r="H241" s="19" t="inlineStr">
        <is>
          <t>Despesa</t>
        </is>
      </c>
      <c r="I241" s="19" t="inlineStr">
        <is>
          <t>Educação</t>
        </is>
      </c>
      <c r="J241" s="19" t="inlineStr">
        <is>
          <t>Essenciais</t>
        </is>
      </c>
      <c r="K241" s="19" t="n"/>
      <c r="L241" s="19" t="n"/>
      <c r="M241" s="19" t="inlineStr">
        <is>
          <t>Conta corrente Itaú</t>
        </is>
      </c>
      <c r="N241" s="19" t="inlineStr">
        <is>
          <t>Boleto</t>
        </is>
      </c>
      <c r="O241" s="48" t="n"/>
      <c r="P241" s="19" t="n"/>
      <c r="Q241" s="49" t="inlineStr">
        <is>
          <t>prevista (conta fixa)</t>
        </is>
      </c>
      <c r="R2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1" s="4" t="n"/>
      <c r="V241" s="4" t="n"/>
    </row>
    <row r="242" ht="20" customHeight="1">
      <c r="A242" s="4" t="n"/>
      <c r="B242" s="47" t="n">
        <v>46670</v>
      </c>
      <c r="C242" s="19" t="inlineStr">
        <is>
          <t>Aluguel do apartamento</t>
        </is>
      </c>
      <c r="D242" s="20" t="n"/>
      <c r="E242" s="21" t="n">
        <v>2350</v>
      </c>
      <c r="F242" s="47" t="n">
        <v>46670</v>
      </c>
      <c r="G242" s="19" t="inlineStr">
        <is>
          <t>Pendente</t>
        </is>
      </c>
      <c r="H242" s="19" t="inlineStr">
        <is>
          <t>Despesa</t>
        </is>
      </c>
      <c r="I242" s="19" t="inlineStr">
        <is>
          <t>Moradia</t>
        </is>
      </c>
      <c r="J242" s="19" t="inlineStr">
        <is>
          <t>Essenciais</t>
        </is>
      </c>
      <c r="K242" s="19" t="n"/>
      <c r="L242" s="19" t="n"/>
      <c r="M242" s="19" t="inlineStr">
        <is>
          <t>Conta corrente Itaú</t>
        </is>
      </c>
      <c r="N242" s="19" t="inlineStr">
        <is>
          <t>Boleto</t>
        </is>
      </c>
      <c r="O242" s="48" t="n"/>
      <c r="P242" s="19" t="n"/>
      <c r="Q242" s="49" t="inlineStr">
        <is>
          <t>prevista (conta fixa)</t>
        </is>
      </c>
      <c r="R2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2" s="4" t="n"/>
      <c r="V242" s="4" t="n"/>
    </row>
    <row r="243" ht="20" customHeight="1">
      <c r="A243" s="4" t="n"/>
      <c r="B243" s="47" t="n">
        <v>46670</v>
      </c>
      <c r="C243" s="19" t="inlineStr">
        <is>
          <t>Conta de energia</t>
        </is>
      </c>
      <c r="D243" s="20" t="n"/>
      <c r="E243" s="21" t="n">
        <v>347.1</v>
      </c>
      <c r="F243" s="47" t="n">
        <v>46670</v>
      </c>
      <c r="G243" s="19" t="inlineStr">
        <is>
          <t>Pendente</t>
        </is>
      </c>
      <c r="H243" s="19" t="inlineStr">
        <is>
          <t>Despesa</t>
        </is>
      </c>
      <c r="I243" s="19" t="inlineStr">
        <is>
          <t>Contas da casa</t>
        </is>
      </c>
      <c r="J243" s="19" t="inlineStr">
        <is>
          <t>Essenciais</t>
        </is>
      </c>
      <c r="K243" s="19" t="n"/>
      <c r="L243" s="19" t="n"/>
      <c r="M243" s="19" t="inlineStr">
        <is>
          <t>Conta corrente Itaú</t>
        </is>
      </c>
      <c r="N243" s="19" t="inlineStr">
        <is>
          <t>Débito automático</t>
        </is>
      </c>
      <c r="O243" s="48" t="n"/>
      <c r="P243" s="19" t="n"/>
      <c r="Q243" s="49" t="inlineStr">
        <is>
          <t>prevista (conta fixa)</t>
        </is>
      </c>
      <c r="R2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3" s="4" t="n"/>
      <c r="V243" s="4" t="n"/>
    </row>
    <row r="244" ht="20" customHeight="1">
      <c r="A244" s="4" t="n"/>
      <c r="B244" s="47" t="n">
        <v>46672</v>
      </c>
      <c r="C244" s="19" t="inlineStr">
        <is>
          <t>Streaming + academia</t>
        </is>
      </c>
      <c r="D244" s="20" t="n"/>
      <c r="E244" s="21" t="n">
        <v>174.8</v>
      </c>
      <c r="F244" s="47" t="n">
        <v>46672</v>
      </c>
      <c r="G244" s="19" t="inlineStr">
        <is>
          <t>Pendente</t>
        </is>
      </c>
      <c r="H244" s="19" t="inlineStr">
        <is>
          <t>Despesa</t>
        </is>
      </c>
      <c r="I244" s="19" t="inlineStr">
        <is>
          <t>Assinaturas</t>
        </is>
      </c>
      <c r="J244" s="19" t="inlineStr">
        <is>
          <t>Essenciais</t>
        </is>
      </c>
      <c r="K244" s="19" t="n"/>
      <c r="L244" s="19" t="n"/>
      <c r="M244" s="19" t="inlineStr">
        <is>
          <t>Cartão Nubank</t>
        </is>
      </c>
      <c r="N244" s="19" t="inlineStr">
        <is>
          <t>Cartão de crédito</t>
        </is>
      </c>
      <c r="O244" s="48" t="n"/>
      <c r="P244" s="19" t="n"/>
      <c r="Q244" s="49" t="inlineStr">
        <is>
          <t>prevista (conta fixa)</t>
        </is>
      </c>
      <c r="R2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4" s="4" t="n"/>
      <c r="V244" s="4" t="n"/>
    </row>
    <row r="245" ht="20" customHeight="1">
      <c r="A245" s="4" t="n"/>
      <c r="B245" s="47" t="n">
        <v>46675</v>
      </c>
      <c r="C245" s="19" t="inlineStr">
        <is>
          <t>Combustível</t>
        </is>
      </c>
      <c r="D245" s="20" t="n"/>
      <c r="E245" s="21" t="n">
        <v>362.8</v>
      </c>
      <c r="F245" s="47" t="n">
        <v>46675</v>
      </c>
      <c r="G245" s="19" t="inlineStr">
        <is>
          <t>Pendente</t>
        </is>
      </c>
      <c r="H245" s="19" t="inlineStr">
        <is>
          <t>Despesa</t>
        </is>
      </c>
      <c r="I245" s="19" t="inlineStr">
        <is>
          <t>Transporte</t>
        </is>
      </c>
      <c r="J245" s="19" t="inlineStr">
        <is>
          <t>Essenciais</t>
        </is>
      </c>
      <c r="K245" s="19" t="n"/>
      <c r="L245" s="19" t="n"/>
      <c r="M245" s="19" t="inlineStr">
        <is>
          <t>Cartão Itaú</t>
        </is>
      </c>
      <c r="N245" s="19" t="inlineStr">
        <is>
          <t>Cartão de crédito</t>
        </is>
      </c>
      <c r="O245" s="48" t="n"/>
      <c r="P245" s="19" t="n"/>
      <c r="Q245" s="49" t="inlineStr">
        <is>
          <t>prevista (conta fixa)</t>
        </is>
      </c>
      <c r="R2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5" s="4" t="n"/>
      <c r="V245" s="4" t="n"/>
    </row>
    <row r="246" ht="20" customHeight="1">
      <c r="A246" s="4" t="n"/>
      <c r="B246" s="47" t="n">
        <v>46687</v>
      </c>
      <c r="C246" s="19" t="inlineStr">
        <is>
          <t>Cinema / passeio</t>
        </is>
      </c>
      <c r="D246" s="20" t="n"/>
      <c r="E246" s="21" t="n">
        <v>188</v>
      </c>
      <c r="F246" s="47" t="n">
        <v>46687</v>
      </c>
      <c r="G246" s="19" t="inlineStr">
        <is>
          <t>Pendente</t>
        </is>
      </c>
      <c r="H246" s="19" t="inlineStr">
        <is>
          <t>Despesa</t>
        </is>
      </c>
      <c r="I246" s="19" t="inlineStr">
        <is>
          <t>Lazer</t>
        </is>
      </c>
      <c r="J246" s="19" t="inlineStr">
        <is>
          <t>Lazer</t>
        </is>
      </c>
      <c r="K246" s="19" t="n"/>
      <c r="L246" s="19" t="n"/>
      <c r="M246" s="19" t="inlineStr">
        <is>
          <t>Conta Nubank</t>
        </is>
      </c>
      <c r="N246" s="19" t="inlineStr">
        <is>
          <t>PIX</t>
        </is>
      </c>
      <c r="O246" s="48" t="n"/>
      <c r="P246" s="19" t="n"/>
      <c r="Q246" s="49" t="inlineStr">
        <is>
          <t>prevista (conta fixa)</t>
        </is>
      </c>
      <c r="R2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6" s="4" t="n"/>
      <c r="V246" s="4" t="n"/>
    </row>
    <row r="247" ht="20" customHeight="1">
      <c r="A247" s="4" t="n"/>
      <c r="B247" s="47" t="n">
        <v>46694</v>
      </c>
      <c r="C247" s="19" t="inlineStr">
        <is>
          <t>Plano de saúde familiar</t>
        </is>
      </c>
      <c r="D247" s="20" t="n"/>
      <c r="E247" s="21" t="n">
        <v>890</v>
      </c>
      <c r="F247" s="47" t="n">
        <v>46694</v>
      </c>
      <c r="G247" s="19" t="inlineStr">
        <is>
          <t>Pendente</t>
        </is>
      </c>
      <c r="H247" s="19" t="inlineStr">
        <is>
          <t>Despesa</t>
        </is>
      </c>
      <c r="I247" s="19" t="inlineStr">
        <is>
          <t>Saúde</t>
        </is>
      </c>
      <c r="J247" s="19" t="inlineStr">
        <is>
          <t>Essenciais</t>
        </is>
      </c>
      <c r="K247" s="19" t="n"/>
      <c r="L247" s="19" t="n"/>
      <c r="M247" s="19" t="inlineStr">
        <is>
          <t>Conta corrente Itaú</t>
        </is>
      </c>
      <c r="N247" s="19" t="inlineStr">
        <is>
          <t>Débito automático</t>
        </is>
      </c>
      <c r="O247" s="48" t="n"/>
      <c r="P247" s="19" t="n"/>
      <c r="Q247" s="49" t="inlineStr">
        <is>
          <t>prevista (conta fixa)</t>
        </is>
      </c>
      <c r="R2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7" s="4" t="n"/>
      <c r="V247" s="4" t="n"/>
    </row>
    <row r="248" ht="20" customHeight="1">
      <c r="A248" s="4" t="n"/>
      <c r="B248" s="47" t="n">
        <v>46696</v>
      </c>
      <c r="C248" s="19" t="inlineStr">
        <is>
          <t>Salário — cônjuge</t>
        </is>
      </c>
      <c r="D248" s="20" t="n"/>
      <c r="E248" s="21" t="n">
        <v>5200</v>
      </c>
      <c r="F248" s="47" t="n">
        <v>46696</v>
      </c>
      <c r="G248" s="19" t="inlineStr">
        <is>
          <t>Pendente</t>
        </is>
      </c>
      <c r="H248" s="19" t="inlineStr">
        <is>
          <t>Receita</t>
        </is>
      </c>
      <c r="I248" s="19" t="inlineStr">
        <is>
          <t>Salário</t>
        </is>
      </c>
      <c r="J248" s="19" t="n"/>
      <c r="K248" s="19" t="n"/>
      <c r="L248" s="19" t="n"/>
      <c r="M248" s="19" t="inlineStr">
        <is>
          <t>Conta Nubank</t>
        </is>
      </c>
      <c r="N248" s="19" t="inlineStr">
        <is>
          <t>Transferência</t>
        </is>
      </c>
      <c r="O248" s="48" t="n"/>
      <c r="P248" s="19" t="n"/>
      <c r="Q248" s="49" t="inlineStr">
        <is>
          <t>prevista (conta fixa)</t>
        </is>
      </c>
      <c r="R2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8" s="4" t="n"/>
      <c r="V248" s="4" t="n"/>
    </row>
    <row r="249" ht="20" customHeight="1">
      <c r="A249" s="4" t="n"/>
      <c r="B249" s="47" t="n">
        <v>46696</v>
      </c>
      <c r="C249" s="19" t="inlineStr">
        <is>
          <t>Salário — titular</t>
        </is>
      </c>
      <c r="D249" s="20" t="n"/>
      <c r="E249" s="21" t="n">
        <v>7800</v>
      </c>
      <c r="F249" s="47" t="n">
        <v>46696</v>
      </c>
      <c r="G249" s="19" t="inlineStr">
        <is>
          <t>Pendente</t>
        </is>
      </c>
      <c r="H249" s="19" t="inlineStr">
        <is>
          <t>Receita</t>
        </is>
      </c>
      <c r="I249" s="19" t="inlineStr">
        <is>
          <t>Salário</t>
        </is>
      </c>
      <c r="J249" s="19" t="n"/>
      <c r="K249" s="19" t="n"/>
      <c r="L249" s="19" t="n"/>
      <c r="M249" s="19" t="inlineStr">
        <is>
          <t>Conta corrente Itaú</t>
        </is>
      </c>
      <c r="N249" s="19" t="inlineStr">
        <is>
          <t>Transferência</t>
        </is>
      </c>
      <c r="O249" s="48" t="n"/>
      <c r="P249" s="19" t="n"/>
      <c r="Q249" s="49" t="inlineStr">
        <is>
          <t>prevista (conta fixa)</t>
        </is>
      </c>
      <c r="R2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9" s="4" t="n"/>
      <c r="V249" s="4" t="n"/>
    </row>
    <row r="250" ht="20" customHeight="1">
      <c r="A250" s="4" t="n"/>
      <c r="B250" s="47" t="n">
        <v>46698</v>
      </c>
      <c r="C250" s="19" t="inlineStr">
        <is>
          <t>Mercado do mês</t>
        </is>
      </c>
      <c r="D250" s="20" t="n"/>
      <c r="E250" s="21" t="n">
        <v>934.1799999999999</v>
      </c>
      <c r="F250" s="47" t="n">
        <v>46698</v>
      </c>
      <c r="G250" s="19" t="inlineStr">
        <is>
          <t>Pendente</t>
        </is>
      </c>
      <c r="H250" s="19" t="inlineStr">
        <is>
          <t>Despesa</t>
        </is>
      </c>
      <c r="I250" s="19" t="inlineStr">
        <is>
          <t>Alimentação</t>
        </is>
      </c>
      <c r="J250" s="19" t="inlineStr">
        <is>
          <t>Essenciais</t>
        </is>
      </c>
      <c r="K250" s="19" t="n"/>
      <c r="L250" s="19" t="n"/>
      <c r="M250" s="19" t="inlineStr">
        <is>
          <t>Cartão Nubank</t>
        </is>
      </c>
      <c r="N250" s="19" t="inlineStr">
        <is>
          <t>Cartão de crédito</t>
        </is>
      </c>
      <c r="O250" s="48" t="n"/>
      <c r="P250" s="19" t="n"/>
      <c r="Q250" s="49" t="inlineStr">
        <is>
          <t>prevista (conta fixa)</t>
        </is>
      </c>
      <c r="R2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0" s="4" t="n"/>
      <c r="V250" s="4" t="n"/>
    </row>
    <row r="251" ht="20" customHeight="1">
      <c r="A251" s="4" t="n"/>
      <c r="B251" s="47" t="n">
        <v>46699</v>
      </c>
      <c r="C251" s="19" t="inlineStr">
        <is>
          <t>Mensalidade escolar</t>
        </is>
      </c>
      <c r="D251" s="20" t="n"/>
      <c r="E251" s="21" t="n">
        <v>1450</v>
      </c>
      <c r="F251" s="47" t="n">
        <v>46699</v>
      </c>
      <c r="G251" s="19" t="inlineStr">
        <is>
          <t>Pendente</t>
        </is>
      </c>
      <c r="H251" s="19" t="inlineStr">
        <is>
          <t>Despesa</t>
        </is>
      </c>
      <c r="I251" s="19" t="inlineStr">
        <is>
          <t>Educação</t>
        </is>
      </c>
      <c r="J251" s="19" t="inlineStr">
        <is>
          <t>Essenciais</t>
        </is>
      </c>
      <c r="K251" s="19" t="n"/>
      <c r="L251" s="19" t="n"/>
      <c r="M251" s="19" t="inlineStr">
        <is>
          <t>Conta corrente Itaú</t>
        </is>
      </c>
      <c r="N251" s="19" t="inlineStr">
        <is>
          <t>Boleto</t>
        </is>
      </c>
      <c r="O251" s="48" t="n"/>
      <c r="P251" s="19" t="n"/>
      <c r="Q251" s="49" t="inlineStr">
        <is>
          <t>prevista (conta fixa)</t>
        </is>
      </c>
      <c r="R2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1" s="4" t="n"/>
      <c r="V251" s="4" t="n"/>
    </row>
    <row r="252" ht="20" customHeight="1">
      <c r="A252" s="4" t="n"/>
      <c r="B252" s="47" t="n">
        <v>46701</v>
      </c>
      <c r="C252" s="19" t="inlineStr">
        <is>
          <t>Aluguel do apartamento</t>
        </is>
      </c>
      <c r="D252" s="20" t="n"/>
      <c r="E252" s="21" t="n">
        <v>2350</v>
      </c>
      <c r="F252" s="47" t="n">
        <v>46701</v>
      </c>
      <c r="G252" s="19" t="inlineStr">
        <is>
          <t>Pendente</t>
        </is>
      </c>
      <c r="H252" s="19" t="inlineStr">
        <is>
          <t>Despesa</t>
        </is>
      </c>
      <c r="I252" s="19" t="inlineStr">
        <is>
          <t>Moradia</t>
        </is>
      </c>
      <c r="J252" s="19" t="inlineStr">
        <is>
          <t>Essenciais</t>
        </is>
      </c>
      <c r="K252" s="19" t="n"/>
      <c r="L252" s="19" t="n"/>
      <c r="M252" s="19" t="inlineStr">
        <is>
          <t>Conta corrente Itaú</t>
        </is>
      </c>
      <c r="N252" s="19" t="inlineStr">
        <is>
          <t>Boleto</t>
        </is>
      </c>
      <c r="O252" s="48" t="n"/>
      <c r="P252" s="19" t="n"/>
      <c r="Q252" s="49" t="inlineStr">
        <is>
          <t>prevista (conta fixa)</t>
        </is>
      </c>
      <c r="R2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2" s="4" t="n"/>
      <c r="V252" s="4" t="n"/>
    </row>
    <row r="253" ht="20" customHeight="1">
      <c r="A253" s="4" t="n"/>
      <c r="B253" s="47" t="n">
        <v>46701</v>
      </c>
      <c r="C253" s="19" t="inlineStr">
        <is>
          <t>Conta de energia</t>
        </is>
      </c>
      <c r="D253" s="20" t="n"/>
      <c r="E253" s="21" t="n">
        <v>347.1</v>
      </c>
      <c r="F253" s="47" t="n">
        <v>46701</v>
      </c>
      <c r="G253" s="19" t="inlineStr">
        <is>
          <t>Pendente</t>
        </is>
      </c>
      <c r="H253" s="19" t="inlineStr">
        <is>
          <t>Despesa</t>
        </is>
      </c>
      <c r="I253" s="19" t="inlineStr">
        <is>
          <t>Contas da casa</t>
        </is>
      </c>
      <c r="J253" s="19" t="inlineStr">
        <is>
          <t>Essenciais</t>
        </is>
      </c>
      <c r="K253" s="19" t="n"/>
      <c r="L253" s="19" t="n"/>
      <c r="M253" s="19" t="inlineStr">
        <is>
          <t>Conta corrente Itaú</t>
        </is>
      </c>
      <c r="N253" s="19" t="inlineStr">
        <is>
          <t>Débito automático</t>
        </is>
      </c>
      <c r="O253" s="48" t="n"/>
      <c r="P253" s="19" t="n"/>
      <c r="Q253" s="49" t="inlineStr">
        <is>
          <t>prevista (conta fixa)</t>
        </is>
      </c>
      <c r="R2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3" s="4" t="n"/>
      <c r="V253" s="4" t="n"/>
    </row>
    <row r="254" ht="20" customHeight="1">
      <c r="A254" s="4" t="n"/>
      <c r="B254" s="47" t="n">
        <v>46703</v>
      </c>
      <c r="C254" s="19" t="inlineStr">
        <is>
          <t>Streaming + academia</t>
        </is>
      </c>
      <c r="D254" s="20" t="n"/>
      <c r="E254" s="21" t="n">
        <v>174.8</v>
      </c>
      <c r="F254" s="47" t="n">
        <v>46703</v>
      </c>
      <c r="G254" s="19" t="inlineStr">
        <is>
          <t>Pendente</t>
        </is>
      </c>
      <c r="H254" s="19" t="inlineStr">
        <is>
          <t>Despesa</t>
        </is>
      </c>
      <c r="I254" s="19" t="inlineStr">
        <is>
          <t>Assinaturas</t>
        </is>
      </c>
      <c r="J254" s="19" t="inlineStr">
        <is>
          <t>Essenciais</t>
        </is>
      </c>
      <c r="K254" s="19" t="n"/>
      <c r="L254" s="19" t="n"/>
      <c r="M254" s="19" t="inlineStr">
        <is>
          <t>Cartão Nubank</t>
        </is>
      </c>
      <c r="N254" s="19" t="inlineStr">
        <is>
          <t>Cartão de crédito</t>
        </is>
      </c>
      <c r="O254" s="48" t="n"/>
      <c r="P254" s="19" t="n"/>
      <c r="Q254" s="49" t="inlineStr">
        <is>
          <t>prevista (conta fixa)</t>
        </is>
      </c>
      <c r="R2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4" s="4" t="n"/>
      <c r="V254" s="4" t="n"/>
    </row>
    <row r="255" ht="20" customHeight="1">
      <c r="A255" s="4" t="n"/>
      <c r="B255" s="47" t="n">
        <v>46706</v>
      </c>
      <c r="C255" s="19" t="inlineStr">
        <is>
          <t>Combustível</t>
        </is>
      </c>
      <c r="D255" s="20" t="n"/>
      <c r="E255" s="21" t="n">
        <v>362.8</v>
      </c>
      <c r="F255" s="47" t="n">
        <v>46706</v>
      </c>
      <c r="G255" s="19" t="inlineStr">
        <is>
          <t>Pendente</t>
        </is>
      </c>
      <c r="H255" s="19" t="inlineStr">
        <is>
          <t>Despesa</t>
        </is>
      </c>
      <c r="I255" s="19" t="inlineStr">
        <is>
          <t>Transporte</t>
        </is>
      </c>
      <c r="J255" s="19" t="inlineStr">
        <is>
          <t>Essenciais</t>
        </is>
      </c>
      <c r="K255" s="19" t="n"/>
      <c r="L255" s="19" t="n"/>
      <c r="M255" s="19" t="inlineStr">
        <is>
          <t>Cartão Itaú</t>
        </is>
      </c>
      <c r="N255" s="19" t="inlineStr">
        <is>
          <t>Cartão de crédito</t>
        </is>
      </c>
      <c r="O255" s="48" t="n"/>
      <c r="P255" s="19" t="n"/>
      <c r="Q255" s="49" t="inlineStr">
        <is>
          <t>prevista (conta fixa)</t>
        </is>
      </c>
      <c r="R2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5" s="4" t="n"/>
      <c r="V255" s="4" t="n"/>
    </row>
    <row r="256" ht="20" customHeight="1">
      <c r="A256" s="4" t="n"/>
      <c r="B256" s="47" t="n">
        <v>46718</v>
      </c>
      <c r="C256" s="19" t="inlineStr">
        <is>
          <t>Cinema / passeio</t>
        </is>
      </c>
      <c r="D256" s="20" t="n"/>
      <c r="E256" s="21" t="n">
        <v>188</v>
      </c>
      <c r="F256" s="47" t="n">
        <v>46718</v>
      </c>
      <c r="G256" s="19" t="inlineStr">
        <is>
          <t>Pendente</t>
        </is>
      </c>
      <c r="H256" s="19" t="inlineStr">
        <is>
          <t>Despesa</t>
        </is>
      </c>
      <c r="I256" s="19" t="inlineStr">
        <is>
          <t>Lazer</t>
        </is>
      </c>
      <c r="J256" s="19" t="inlineStr">
        <is>
          <t>Lazer</t>
        </is>
      </c>
      <c r="K256" s="19" t="n"/>
      <c r="L256" s="19" t="n"/>
      <c r="M256" s="19" t="inlineStr">
        <is>
          <t>Conta Nubank</t>
        </is>
      </c>
      <c r="N256" s="19" t="inlineStr">
        <is>
          <t>PIX</t>
        </is>
      </c>
      <c r="O256" s="48" t="n"/>
      <c r="P256" s="19" t="n"/>
      <c r="Q256" s="49" t="inlineStr">
        <is>
          <t>prevista (conta fixa)</t>
        </is>
      </c>
      <c r="R2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6" s="4" t="n"/>
      <c r="V256" s="4" t="n"/>
    </row>
    <row r="257" ht="20" customHeight="1">
      <c r="A257" s="4" t="n"/>
      <c r="B257" s="47" t="n">
        <v>46724</v>
      </c>
      <c r="C257" s="19" t="inlineStr">
        <is>
          <t>Plano de saúde familiar</t>
        </is>
      </c>
      <c r="D257" s="20" t="n"/>
      <c r="E257" s="21" t="n">
        <v>890</v>
      </c>
      <c r="F257" s="47" t="n">
        <v>46724</v>
      </c>
      <c r="G257" s="19" t="inlineStr">
        <is>
          <t>Pendente</t>
        </is>
      </c>
      <c r="H257" s="19" t="inlineStr">
        <is>
          <t>Despesa</t>
        </is>
      </c>
      <c r="I257" s="19" t="inlineStr">
        <is>
          <t>Saúde</t>
        </is>
      </c>
      <c r="J257" s="19" t="inlineStr">
        <is>
          <t>Essenciais</t>
        </is>
      </c>
      <c r="K257" s="19" t="n"/>
      <c r="L257" s="19" t="n"/>
      <c r="M257" s="19" t="inlineStr">
        <is>
          <t>Conta corrente Itaú</t>
        </is>
      </c>
      <c r="N257" s="19" t="inlineStr">
        <is>
          <t>Débito automático</t>
        </is>
      </c>
      <c r="O257" s="48" t="n"/>
      <c r="P257" s="19" t="n"/>
      <c r="Q257" s="49" t="inlineStr">
        <is>
          <t>prevista (conta fixa)</t>
        </is>
      </c>
      <c r="R2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7" s="4" t="n"/>
      <c r="V257" s="4" t="n"/>
    </row>
    <row r="258" ht="20" customHeight="1">
      <c r="A258" s="4" t="n"/>
      <c r="B258" s="47" t="n">
        <v>46726</v>
      </c>
      <c r="C258" s="19" t="inlineStr">
        <is>
          <t>Salário — cônjuge</t>
        </is>
      </c>
      <c r="D258" s="20" t="n"/>
      <c r="E258" s="21" t="n">
        <v>5200</v>
      </c>
      <c r="F258" s="47" t="n">
        <v>46726</v>
      </c>
      <c r="G258" s="19" t="inlineStr">
        <is>
          <t>Pendente</t>
        </is>
      </c>
      <c r="H258" s="19" t="inlineStr">
        <is>
          <t>Receita</t>
        </is>
      </c>
      <c r="I258" s="19" t="inlineStr">
        <is>
          <t>Salário</t>
        </is>
      </c>
      <c r="J258" s="19" t="n"/>
      <c r="K258" s="19" t="n"/>
      <c r="L258" s="19" t="n"/>
      <c r="M258" s="19" t="inlineStr">
        <is>
          <t>Conta Nubank</t>
        </is>
      </c>
      <c r="N258" s="19" t="inlineStr">
        <is>
          <t>Transferência</t>
        </is>
      </c>
      <c r="O258" s="48" t="n"/>
      <c r="P258" s="19" t="n"/>
      <c r="Q258" s="49" t="inlineStr">
        <is>
          <t>prevista (conta fixa)</t>
        </is>
      </c>
      <c r="R2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8" s="4" t="n"/>
      <c r="V258" s="4" t="n"/>
    </row>
    <row r="259" ht="20" customHeight="1">
      <c r="A259" s="4" t="n"/>
      <c r="B259" s="47" t="n">
        <v>46726</v>
      </c>
      <c r="C259" s="19" t="inlineStr">
        <is>
          <t>Salário — titular</t>
        </is>
      </c>
      <c r="D259" s="20" t="n"/>
      <c r="E259" s="21" t="n">
        <v>7800</v>
      </c>
      <c r="F259" s="47" t="n">
        <v>46726</v>
      </c>
      <c r="G259" s="19" t="inlineStr">
        <is>
          <t>Pendente</t>
        </is>
      </c>
      <c r="H259" s="19" t="inlineStr">
        <is>
          <t>Receita</t>
        </is>
      </c>
      <c r="I259" s="19" t="inlineStr">
        <is>
          <t>Salário</t>
        </is>
      </c>
      <c r="J259" s="19" t="n"/>
      <c r="K259" s="19" t="n"/>
      <c r="L259" s="19" t="n"/>
      <c r="M259" s="19" t="inlineStr">
        <is>
          <t>Conta corrente Itaú</t>
        </is>
      </c>
      <c r="N259" s="19" t="inlineStr">
        <is>
          <t>Transferência</t>
        </is>
      </c>
      <c r="O259" s="48" t="n"/>
      <c r="P259" s="19" t="n"/>
      <c r="Q259" s="49" t="inlineStr">
        <is>
          <t>prevista (conta fixa)</t>
        </is>
      </c>
      <c r="R2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9" s="4" t="n"/>
      <c r="V259" s="4" t="n"/>
    </row>
    <row r="260" ht="20" customHeight="1">
      <c r="A260" s="4" t="n"/>
      <c r="B260" s="47" t="n">
        <v>46728</v>
      </c>
      <c r="C260" s="19" t="inlineStr">
        <is>
          <t>Mercado do mês</t>
        </is>
      </c>
      <c r="D260" s="20" t="n"/>
      <c r="E260" s="21" t="n">
        <v>934.1799999999999</v>
      </c>
      <c r="F260" s="47" t="n">
        <v>46728</v>
      </c>
      <c r="G260" s="19" t="inlineStr">
        <is>
          <t>Pendente</t>
        </is>
      </c>
      <c r="H260" s="19" t="inlineStr">
        <is>
          <t>Despesa</t>
        </is>
      </c>
      <c r="I260" s="19" t="inlineStr">
        <is>
          <t>Alimentação</t>
        </is>
      </c>
      <c r="J260" s="19" t="inlineStr">
        <is>
          <t>Essenciais</t>
        </is>
      </c>
      <c r="K260" s="19" t="n"/>
      <c r="L260" s="19" t="n"/>
      <c r="M260" s="19" t="inlineStr">
        <is>
          <t>Cartão Nubank</t>
        </is>
      </c>
      <c r="N260" s="19" t="inlineStr">
        <is>
          <t>Cartão de crédito</t>
        </is>
      </c>
      <c r="O260" s="48" t="n"/>
      <c r="P260" s="19" t="n"/>
      <c r="Q260" s="49" t="inlineStr">
        <is>
          <t>prevista (conta fixa)</t>
        </is>
      </c>
      <c r="R2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0" s="4" t="n"/>
      <c r="V260" s="4" t="n"/>
    </row>
    <row r="261" ht="20" customHeight="1">
      <c r="A261" s="4" t="n"/>
      <c r="B261" s="47" t="n">
        <v>46729</v>
      </c>
      <c r="C261" s="19" t="inlineStr">
        <is>
          <t>Mensalidade escolar</t>
        </is>
      </c>
      <c r="D261" s="20" t="n"/>
      <c r="E261" s="21" t="n">
        <v>1450</v>
      </c>
      <c r="F261" s="47" t="n">
        <v>46729</v>
      </c>
      <c r="G261" s="19" t="inlineStr">
        <is>
          <t>Pendente</t>
        </is>
      </c>
      <c r="H261" s="19" t="inlineStr">
        <is>
          <t>Despesa</t>
        </is>
      </c>
      <c r="I261" s="19" t="inlineStr">
        <is>
          <t>Educação</t>
        </is>
      </c>
      <c r="J261" s="19" t="inlineStr">
        <is>
          <t>Essenciais</t>
        </is>
      </c>
      <c r="K261" s="19" t="n"/>
      <c r="L261" s="19" t="n"/>
      <c r="M261" s="19" t="inlineStr">
        <is>
          <t>Conta corrente Itaú</t>
        </is>
      </c>
      <c r="N261" s="19" t="inlineStr">
        <is>
          <t>Boleto</t>
        </is>
      </c>
      <c r="O261" s="48" t="n"/>
      <c r="P261" s="19" t="n"/>
      <c r="Q261" s="49" t="inlineStr">
        <is>
          <t>prevista (conta fixa)</t>
        </is>
      </c>
      <c r="R2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1" s="4" t="n"/>
      <c r="V261" s="4" t="n"/>
    </row>
    <row r="262" ht="20" customHeight="1">
      <c r="A262" s="4" t="n"/>
      <c r="B262" s="47" t="n">
        <v>46731</v>
      </c>
      <c r="C262" s="19" t="inlineStr">
        <is>
          <t>Aluguel do apartamento</t>
        </is>
      </c>
      <c r="D262" s="20" t="n"/>
      <c r="E262" s="21" t="n">
        <v>2350</v>
      </c>
      <c r="F262" s="47" t="n">
        <v>46731</v>
      </c>
      <c r="G262" s="19" t="inlineStr">
        <is>
          <t>Pendente</t>
        </is>
      </c>
      <c r="H262" s="19" t="inlineStr">
        <is>
          <t>Despesa</t>
        </is>
      </c>
      <c r="I262" s="19" t="inlineStr">
        <is>
          <t>Moradia</t>
        </is>
      </c>
      <c r="J262" s="19" t="inlineStr">
        <is>
          <t>Essenciais</t>
        </is>
      </c>
      <c r="K262" s="19" t="n"/>
      <c r="L262" s="19" t="n"/>
      <c r="M262" s="19" t="inlineStr">
        <is>
          <t>Conta corrente Itaú</t>
        </is>
      </c>
      <c r="N262" s="19" t="inlineStr">
        <is>
          <t>Boleto</t>
        </is>
      </c>
      <c r="O262" s="48" t="n"/>
      <c r="P262" s="19" t="n"/>
      <c r="Q262" s="49" t="inlineStr">
        <is>
          <t>prevista (conta fixa)</t>
        </is>
      </c>
      <c r="R2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2" s="4" t="n"/>
      <c r="V262" s="4" t="n"/>
    </row>
    <row r="263" ht="20" customHeight="1">
      <c r="A263" s="4" t="n"/>
      <c r="B263" s="47" t="n">
        <v>46731</v>
      </c>
      <c r="C263" s="19" t="inlineStr">
        <is>
          <t>Conta de energia</t>
        </is>
      </c>
      <c r="D263" s="20" t="n"/>
      <c r="E263" s="21" t="n">
        <v>347.1</v>
      </c>
      <c r="F263" s="47" t="n">
        <v>46731</v>
      </c>
      <c r="G263" s="19" t="inlineStr">
        <is>
          <t>Pendente</t>
        </is>
      </c>
      <c r="H263" s="19" t="inlineStr">
        <is>
          <t>Despesa</t>
        </is>
      </c>
      <c r="I263" s="19" t="inlineStr">
        <is>
          <t>Contas da casa</t>
        </is>
      </c>
      <c r="J263" s="19" t="inlineStr">
        <is>
          <t>Essenciais</t>
        </is>
      </c>
      <c r="K263" s="19" t="n"/>
      <c r="L263" s="19" t="n"/>
      <c r="M263" s="19" t="inlineStr">
        <is>
          <t>Conta corrente Itaú</t>
        </is>
      </c>
      <c r="N263" s="19" t="inlineStr">
        <is>
          <t>Débito automático</t>
        </is>
      </c>
      <c r="O263" s="48" t="n"/>
      <c r="P263" s="19" t="n"/>
      <c r="Q263" s="49" t="inlineStr">
        <is>
          <t>prevista (conta fixa)</t>
        </is>
      </c>
      <c r="R2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3" s="4" t="n"/>
      <c r="V263" s="4" t="n"/>
    </row>
    <row r="264" ht="20" customHeight="1">
      <c r="A264" s="4" t="n"/>
      <c r="B264" s="47" t="n">
        <v>46733</v>
      </c>
      <c r="C264" s="19" t="inlineStr">
        <is>
          <t>Streaming + academia</t>
        </is>
      </c>
      <c r="D264" s="20" t="n"/>
      <c r="E264" s="21" t="n">
        <v>174.8</v>
      </c>
      <c r="F264" s="47" t="n">
        <v>46733</v>
      </c>
      <c r="G264" s="19" t="inlineStr">
        <is>
          <t>Pendente</t>
        </is>
      </c>
      <c r="H264" s="19" t="inlineStr">
        <is>
          <t>Despesa</t>
        </is>
      </c>
      <c r="I264" s="19" t="inlineStr">
        <is>
          <t>Assinaturas</t>
        </is>
      </c>
      <c r="J264" s="19" t="inlineStr">
        <is>
          <t>Essenciais</t>
        </is>
      </c>
      <c r="K264" s="19" t="n"/>
      <c r="L264" s="19" t="n"/>
      <c r="M264" s="19" t="inlineStr">
        <is>
          <t>Cartão Nubank</t>
        </is>
      </c>
      <c r="N264" s="19" t="inlineStr">
        <is>
          <t>Cartão de crédito</t>
        </is>
      </c>
      <c r="O264" s="48" t="n"/>
      <c r="P264" s="19" t="n"/>
      <c r="Q264" s="49" t="inlineStr">
        <is>
          <t>prevista (conta fixa)</t>
        </is>
      </c>
      <c r="R2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4" s="4" t="n"/>
      <c r="V264" s="4" t="n"/>
    </row>
    <row r="265" ht="20" customHeight="1">
      <c r="A265" s="4" t="n"/>
      <c r="B265" s="47" t="n">
        <v>46736</v>
      </c>
      <c r="C265" s="19" t="inlineStr">
        <is>
          <t>Combustível</t>
        </is>
      </c>
      <c r="D265" s="20" t="n"/>
      <c r="E265" s="21" t="n">
        <v>362.8</v>
      </c>
      <c r="F265" s="47" t="n">
        <v>46736</v>
      </c>
      <c r="G265" s="19" t="inlineStr">
        <is>
          <t>Pendente</t>
        </is>
      </c>
      <c r="H265" s="19" t="inlineStr">
        <is>
          <t>Despesa</t>
        </is>
      </c>
      <c r="I265" s="19" t="inlineStr">
        <is>
          <t>Transporte</t>
        </is>
      </c>
      <c r="J265" s="19" t="inlineStr">
        <is>
          <t>Essenciais</t>
        </is>
      </c>
      <c r="K265" s="19" t="n"/>
      <c r="L265" s="19" t="n"/>
      <c r="M265" s="19" t="inlineStr">
        <is>
          <t>Cartão Itaú</t>
        </is>
      </c>
      <c r="N265" s="19" t="inlineStr">
        <is>
          <t>Cartão de crédito</t>
        </is>
      </c>
      <c r="O265" s="48" t="n"/>
      <c r="P265" s="19" t="n"/>
      <c r="Q265" s="49" t="inlineStr">
        <is>
          <t>prevista (conta fixa)</t>
        </is>
      </c>
      <c r="R2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5" s="4" t="n"/>
      <c r="V265" s="4" t="n"/>
    </row>
    <row r="266" ht="20" customHeight="1">
      <c r="A266" s="4" t="n"/>
      <c r="B266" s="47" t="n">
        <v>46748</v>
      </c>
      <c r="C266" s="19" t="inlineStr">
        <is>
          <t>Cinema / passeio</t>
        </is>
      </c>
      <c r="D266" s="20" t="n"/>
      <c r="E266" s="21" t="n">
        <v>188</v>
      </c>
      <c r="F266" s="47" t="n">
        <v>46748</v>
      </c>
      <c r="G266" s="19" t="inlineStr">
        <is>
          <t>Pendente</t>
        </is>
      </c>
      <c r="H266" s="19" t="inlineStr">
        <is>
          <t>Despesa</t>
        </is>
      </c>
      <c r="I266" s="19" t="inlineStr">
        <is>
          <t>Lazer</t>
        </is>
      </c>
      <c r="J266" s="19" t="inlineStr">
        <is>
          <t>Lazer</t>
        </is>
      </c>
      <c r="K266" s="19" t="n"/>
      <c r="L266" s="19" t="n"/>
      <c r="M266" s="19" t="inlineStr">
        <is>
          <t>Conta Nubank</t>
        </is>
      </c>
      <c r="N266" s="19" t="inlineStr">
        <is>
          <t>PIX</t>
        </is>
      </c>
      <c r="O266" s="48" t="n"/>
      <c r="P266" s="19" t="n"/>
      <c r="Q266" s="49" t="inlineStr">
        <is>
          <t>prevista (conta fixa)</t>
        </is>
      </c>
      <c r="R2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6" s="4" t="n"/>
      <c r="V266" s="4" t="n"/>
    </row>
    <row r="267">
      <c r="A267" s="4" t="n"/>
      <c r="B267" s="50" t="n"/>
      <c r="C267" s="4" t="n"/>
      <c r="D267" s="4" t="n"/>
      <c r="E267" s="51" t="n"/>
      <c r="F267" s="50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2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50" t="n"/>
      <c r="C268" s="4" t="n"/>
      <c r="D268" s="4" t="n"/>
      <c r="E268" s="51" t="n"/>
      <c r="F268" s="50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2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50" t="n"/>
      <c r="C269" s="4" t="n"/>
      <c r="D269" s="4" t="n"/>
      <c r="E269" s="51" t="n"/>
      <c r="F269" s="50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2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50" t="n"/>
      <c r="C270" s="4" t="n"/>
      <c r="D270" s="4" t="n"/>
      <c r="E270" s="51" t="n"/>
      <c r="F270" s="50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2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50" t="n"/>
      <c r="C271" s="4" t="n"/>
      <c r="D271" s="4" t="n"/>
      <c r="E271" s="51" t="n"/>
      <c r="F271" s="50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2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50" t="n"/>
      <c r="C272" s="4" t="n"/>
      <c r="D272" s="4" t="n"/>
      <c r="E272" s="51" t="n"/>
      <c r="F272" s="50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2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50" t="n"/>
      <c r="C273" s="4" t="n"/>
      <c r="D273" s="4" t="n"/>
      <c r="E273" s="51" t="n"/>
      <c r="F273" s="50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2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50" t="n"/>
      <c r="C274" s="4" t="n"/>
      <c r="D274" s="4" t="n"/>
      <c r="E274" s="51" t="n"/>
      <c r="F274" s="50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2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50" t="n"/>
      <c r="C275" s="4" t="n"/>
      <c r="D275" s="4" t="n"/>
      <c r="E275" s="51" t="n"/>
      <c r="F275" s="50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2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50" t="n"/>
      <c r="C276" s="4" t="n"/>
      <c r="D276" s="4" t="n"/>
      <c r="E276" s="51" t="n"/>
      <c r="F276" s="50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2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50" t="n"/>
      <c r="C277" s="4" t="n"/>
      <c r="D277" s="4" t="n"/>
      <c r="E277" s="51" t="n"/>
      <c r="F277" s="50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2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50" t="n"/>
      <c r="C278" s="4" t="n"/>
      <c r="D278" s="4" t="n"/>
      <c r="E278" s="51" t="n"/>
      <c r="F278" s="50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2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50" t="n"/>
      <c r="C279" s="4" t="n"/>
      <c r="D279" s="4" t="n"/>
      <c r="E279" s="51" t="n"/>
      <c r="F279" s="50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2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50" t="n"/>
      <c r="C280" s="4" t="n"/>
      <c r="D280" s="4" t="n"/>
      <c r="E280" s="51" t="n"/>
      <c r="F280" s="50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2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50" t="n"/>
      <c r="C281" s="4" t="n"/>
      <c r="D281" s="4" t="n"/>
      <c r="E281" s="51" t="n"/>
      <c r="F281" s="50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2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50" t="n"/>
      <c r="C282" s="4" t="n"/>
      <c r="D282" s="4" t="n"/>
      <c r="E282" s="51" t="n"/>
      <c r="F282" s="50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2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50" t="n"/>
      <c r="C283" s="4" t="n"/>
      <c r="D283" s="4" t="n"/>
      <c r="E283" s="51" t="n"/>
      <c r="F283" s="50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2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50" t="n"/>
      <c r="C284" s="4" t="n"/>
      <c r="D284" s="4" t="n"/>
      <c r="E284" s="51" t="n"/>
      <c r="F284" s="50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2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50" t="n"/>
      <c r="C285" s="4" t="n"/>
      <c r="D285" s="4" t="n"/>
      <c r="E285" s="51" t="n"/>
      <c r="F285" s="50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2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50" t="n"/>
      <c r="C286" s="4" t="n"/>
      <c r="D286" s="4" t="n"/>
      <c r="E286" s="51" t="n"/>
      <c r="F286" s="50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2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50" t="n"/>
      <c r="C287" s="4" t="n"/>
      <c r="D287" s="4" t="n"/>
      <c r="E287" s="51" t="n"/>
      <c r="F287" s="50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2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50" t="n"/>
      <c r="C288" s="4" t="n"/>
      <c r="D288" s="4" t="n"/>
      <c r="E288" s="51" t="n"/>
      <c r="F288" s="50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2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50" t="n"/>
      <c r="C289" s="4" t="n"/>
      <c r="D289" s="4" t="n"/>
      <c r="E289" s="51" t="n"/>
      <c r="F289" s="50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2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50" t="n"/>
      <c r="C290" s="4" t="n"/>
      <c r="D290" s="4" t="n"/>
      <c r="E290" s="51" t="n"/>
      <c r="F290" s="50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2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50" t="n"/>
      <c r="C291" s="4" t="n"/>
      <c r="D291" s="4" t="n"/>
      <c r="E291" s="51" t="n"/>
      <c r="F291" s="50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2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50" t="n"/>
      <c r="C292" s="4" t="n"/>
      <c r="D292" s="4" t="n"/>
      <c r="E292" s="51" t="n"/>
      <c r="F292" s="50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2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50" t="n"/>
      <c r="C293" s="4" t="n"/>
      <c r="D293" s="4" t="n"/>
      <c r="E293" s="51" t="n"/>
      <c r="F293" s="50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2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50" t="n"/>
      <c r="C294" s="4" t="n"/>
      <c r="D294" s="4" t="n"/>
      <c r="E294" s="51" t="n"/>
      <c r="F294" s="50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2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50" t="n"/>
      <c r="C295" s="4" t="n"/>
      <c r="D295" s="4" t="n"/>
      <c r="E295" s="51" t="n"/>
      <c r="F295" s="50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2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50" t="n"/>
      <c r="C296" s="4" t="n"/>
      <c r="D296" s="4" t="n"/>
      <c r="E296" s="51" t="n"/>
      <c r="F296" s="50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2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50" t="n"/>
      <c r="C297" s="4" t="n"/>
      <c r="D297" s="4" t="n"/>
      <c r="E297" s="51" t="n"/>
      <c r="F297" s="50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2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50" t="n"/>
      <c r="C298" s="4" t="n"/>
      <c r="D298" s="4" t="n"/>
      <c r="E298" s="51" t="n"/>
      <c r="F298" s="50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2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50" t="n"/>
      <c r="C299" s="4" t="n"/>
      <c r="D299" s="4" t="n"/>
      <c r="E299" s="51" t="n"/>
      <c r="F299" s="50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2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50" t="n"/>
      <c r="C300" s="4" t="n"/>
      <c r="D300" s="4" t="n"/>
      <c r="E300" s="51" t="n"/>
      <c r="F300" s="50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2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50" t="n"/>
      <c r="C301" s="4" t="n"/>
      <c r="D301" s="4" t="n"/>
      <c r="E301" s="51" t="n"/>
      <c r="F301" s="50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2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50" t="n"/>
      <c r="C302" s="4" t="n"/>
      <c r="D302" s="4" t="n"/>
      <c r="E302" s="51" t="n"/>
      <c r="F302" s="50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2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50" t="n"/>
      <c r="C303" s="4" t="n"/>
      <c r="D303" s="4" t="n"/>
      <c r="E303" s="51" t="n"/>
      <c r="F303" s="50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2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50" t="n"/>
      <c r="C304" s="4" t="n"/>
      <c r="D304" s="4" t="n"/>
      <c r="E304" s="51" t="n"/>
      <c r="F304" s="50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2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50" t="n"/>
      <c r="C305" s="4" t="n"/>
      <c r="D305" s="4" t="n"/>
      <c r="E305" s="51" t="n"/>
      <c r="F305" s="50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2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50" t="n"/>
      <c r="C306" s="4" t="n"/>
      <c r="D306" s="4" t="n"/>
      <c r="E306" s="51" t="n"/>
      <c r="F306" s="50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2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50" t="n"/>
      <c r="C307" s="4" t="n"/>
      <c r="D307" s="4" t="n"/>
      <c r="E307" s="51" t="n"/>
      <c r="F307" s="50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2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50" t="n"/>
      <c r="C308" s="4" t="n"/>
      <c r="D308" s="4" t="n"/>
      <c r="E308" s="51" t="n"/>
      <c r="F308" s="50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2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50" t="n"/>
      <c r="C309" s="4" t="n"/>
      <c r="D309" s="4" t="n"/>
      <c r="E309" s="51" t="n"/>
      <c r="F309" s="50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2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50" t="n"/>
      <c r="C310" s="4" t="n"/>
      <c r="D310" s="4" t="n"/>
      <c r="E310" s="51" t="n"/>
      <c r="F310" s="50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2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50" t="n"/>
      <c r="C311" s="4" t="n"/>
      <c r="D311" s="4" t="n"/>
      <c r="E311" s="51" t="n"/>
      <c r="F311" s="50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2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50" t="n"/>
      <c r="C312" s="4" t="n"/>
      <c r="D312" s="4" t="n"/>
      <c r="E312" s="51" t="n"/>
      <c r="F312" s="50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2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50" t="n"/>
      <c r="C313" s="4" t="n"/>
      <c r="D313" s="4" t="n"/>
      <c r="E313" s="51" t="n"/>
      <c r="F313" s="50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2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50" t="n"/>
      <c r="C314" s="4" t="n"/>
      <c r="D314" s="4" t="n"/>
      <c r="E314" s="51" t="n"/>
      <c r="F314" s="50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2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50" t="n"/>
      <c r="C315" s="4" t="n"/>
      <c r="D315" s="4" t="n"/>
      <c r="E315" s="51" t="n"/>
      <c r="F315" s="50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2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50" t="n"/>
      <c r="C316" s="4" t="n"/>
      <c r="D316" s="4" t="n"/>
      <c r="E316" s="51" t="n"/>
      <c r="F316" s="50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2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50" t="n"/>
      <c r="C317" s="4" t="n"/>
      <c r="D317" s="4" t="n"/>
      <c r="E317" s="51" t="n"/>
      <c r="F317" s="50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2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50" t="n"/>
      <c r="C318" s="4" t="n"/>
      <c r="D318" s="4" t="n"/>
      <c r="E318" s="51" t="n"/>
      <c r="F318" s="50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2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50" t="n"/>
      <c r="C319" s="4" t="n"/>
      <c r="D319" s="4" t="n"/>
      <c r="E319" s="51" t="n"/>
      <c r="F319" s="50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2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50" t="n"/>
      <c r="C320" s="4" t="n"/>
      <c r="D320" s="4" t="n"/>
      <c r="E320" s="51" t="n"/>
      <c r="F320" s="50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2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50" t="n"/>
      <c r="C321" s="4" t="n"/>
      <c r="D321" s="4" t="n"/>
      <c r="E321" s="51" t="n"/>
      <c r="F321" s="50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2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50" t="n"/>
      <c r="C322" s="4" t="n"/>
      <c r="D322" s="4" t="n"/>
      <c r="E322" s="51" t="n"/>
      <c r="F322" s="50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2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50" t="n"/>
      <c r="C323" s="4" t="n"/>
      <c r="D323" s="4" t="n"/>
      <c r="E323" s="51" t="n"/>
      <c r="F323" s="50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2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50" t="n"/>
      <c r="C324" s="4" t="n"/>
      <c r="D324" s="4" t="n"/>
      <c r="E324" s="51" t="n"/>
      <c r="F324" s="50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2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50" t="n"/>
      <c r="C325" s="4" t="n"/>
      <c r="D325" s="4" t="n"/>
      <c r="E325" s="51" t="n"/>
      <c r="F325" s="50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2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50" t="n"/>
      <c r="C326" s="4" t="n"/>
      <c r="D326" s="4" t="n"/>
      <c r="E326" s="51" t="n"/>
      <c r="F326" s="50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2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50" t="n"/>
      <c r="C327" s="4" t="n"/>
      <c r="D327" s="4" t="n"/>
      <c r="E327" s="51" t="n"/>
      <c r="F327" s="50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2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50" t="n"/>
      <c r="C328" s="4" t="n"/>
      <c r="D328" s="4" t="n"/>
      <c r="E328" s="51" t="n"/>
      <c r="F328" s="50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2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50" t="n"/>
      <c r="C329" s="4" t="n"/>
      <c r="D329" s="4" t="n"/>
      <c r="E329" s="51" t="n"/>
      <c r="F329" s="50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2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50" t="n"/>
      <c r="C330" s="4" t="n"/>
      <c r="D330" s="4" t="n"/>
      <c r="E330" s="51" t="n"/>
      <c r="F330" s="50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2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50" t="n"/>
      <c r="C331" s="4" t="n"/>
      <c r="D331" s="4" t="n"/>
      <c r="E331" s="51" t="n"/>
      <c r="F331" s="50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2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50" t="n"/>
      <c r="C332" s="4" t="n"/>
      <c r="D332" s="4" t="n"/>
      <c r="E332" s="51" t="n"/>
      <c r="F332" s="50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2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50" t="n"/>
      <c r="C333" s="4" t="n"/>
      <c r="D333" s="4" t="n"/>
      <c r="E333" s="51" t="n"/>
      <c r="F333" s="50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2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50" t="n"/>
      <c r="C334" s="4" t="n"/>
      <c r="D334" s="4" t="n"/>
      <c r="E334" s="51" t="n"/>
      <c r="F334" s="50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2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50" t="n"/>
      <c r="C335" s="4" t="n"/>
      <c r="D335" s="4" t="n"/>
      <c r="E335" s="51" t="n"/>
      <c r="F335" s="50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2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50" t="n"/>
      <c r="C336" s="4" t="n"/>
      <c r="D336" s="4" t="n"/>
      <c r="E336" s="51" t="n"/>
      <c r="F336" s="50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2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50" t="n"/>
      <c r="C337" s="4" t="n"/>
      <c r="D337" s="4" t="n"/>
      <c r="E337" s="51" t="n"/>
      <c r="F337" s="50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2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50" t="n"/>
      <c r="C338" s="4" t="n"/>
      <c r="D338" s="4" t="n"/>
      <c r="E338" s="51" t="n"/>
      <c r="F338" s="50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2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50" t="n"/>
      <c r="C339" s="4" t="n"/>
      <c r="D339" s="4" t="n"/>
      <c r="E339" s="51" t="n"/>
      <c r="F339" s="50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2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50" t="n"/>
      <c r="C340" s="4" t="n"/>
      <c r="D340" s="4" t="n"/>
      <c r="E340" s="51" t="n"/>
      <c r="F340" s="50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2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50" t="n"/>
      <c r="C341" s="4" t="n"/>
      <c r="D341" s="4" t="n"/>
      <c r="E341" s="51" t="n"/>
      <c r="F341" s="50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2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50" t="n"/>
      <c r="C342" s="4" t="n"/>
      <c r="D342" s="4" t="n"/>
      <c r="E342" s="51" t="n"/>
      <c r="F342" s="50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2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50" t="n"/>
      <c r="C343" s="4" t="n"/>
      <c r="D343" s="4" t="n"/>
      <c r="E343" s="51" t="n"/>
      <c r="F343" s="50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2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50" t="n"/>
      <c r="C344" s="4" t="n"/>
      <c r="D344" s="4" t="n"/>
      <c r="E344" s="51" t="n"/>
      <c r="F344" s="50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2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50" t="n"/>
      <c r="C345" s="4" t="n"/>
      <c r="D345" s="4" t="n"/>
      <c r="E345" s="51" t="n"/>
      <c r="F345" s="50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2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50" t="n"/>
      <c r="C346" s="4" t="n"/>
      <c r="D346" s="4" t="n"/>
      <c r="E346" s="51" t="n"/>
      <c r="F346" s="50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2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50" t="n"/>
      <c r="C347" s="4" t="n"/>
      <c r="D347" s="4" t="n"/>
      <c r="E347" s="51" t="n"/>
      <c r="F347" s="50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2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50" t="n"/>
      <c r="C348" s="4" t="n"/>
      <c r="D348" s="4" t="n"/>
      <c r="E348" s="51" t="n"/>
      <c r="F348" s="50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2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50" t="n"/>
      <c r="C349" s="4" t="n"/>
      <c r="D349" s="4" t="n"/>
      <c r="E349" s="51" t="n"/>
      <c r="F349" s="50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2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50" t="n"/>
      <c r="C350" s="4" t="n"/>
      <c r="D350" s="4" t="n"/>
      <c r="E350" s="51" t="n"/>
      <c r="F350" s="50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2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50" t="n"/>
      <c r="C351" s="4" t="n"/>
      <c r="D351" s="4" t="n"/>
      <c r="E351" s="51" t="n"/>
      <c r="F351" s="50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2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50" t="n"/>
      <c r="C352" s="4" t="n"/>
      <c r="D352" s="4" t="n"/>
      <c r="E352" s="51" t="n"/>
      <c r="F352" s="50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2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50" t="n"/>
      <c r="C353" s="4" t="n"/>
      <c r="D353" s="4" t="n"/>
      <c r="E353" s="51" t="n"/>
      <c r="F353" s="50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2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50" t="n"/>
      <c r="C354" s="4" t="n"/>
      <c r="D354" s="4" t="n"/>
      <c r="E354" s="51" t="n"/>
      <c r="F354" s="50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2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50" t="n"/>
      <c r="C355" s="4" t="n"/>
      <c r="D355" s="4" t="n"/>
      <c r="E355" s="51" t="n"/>
      <c r="F355" s="50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2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50" t="n"/>
      <c r="C356" s="4" t="n"/>
      <c r="D356" s="4" t="n"/>
      <c r="E356" s="51" t="n"/>
      <c r="F356" s="50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2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50" t="n"/>
      <c r="C357" s="4" t="n"/>
      <c r="D357" s="4" t="n"/>
      <c r="E357" s="51" t="n"/>
      <c r="F357" s="50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2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50" t="n"/>
      <c r="C358" s="4" t="n"/>
      <c r="D358" s="4" t="n"/>
      <c r="E358" s="51" t="n"/>
      <c r="F358" s="50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2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50" t="n"/>
      <c r="C359" s="4" t="n"/>
      <c r="D359" s="4" t="n"/>
      <c r="E359" s="51" t="n"/>
      <c r="F359" s="50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2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50" t="n"/>
      <c r="C360" s="4" t="n"/>
      <c r="D360" s="4" t="n"/>
      <c r="E360" s="51" t="n"/>
      <c r="F360" s="50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2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50" t="n"/>
      <c r="C361" s="4" t="n"/>
      <c r="D361" s="4" t="n"/>
      <c r="E361" s="51" t="n"/>
      <c r="F361" s="50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2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50" t="n"/>
      <c r="C362" s="4" t="n"/>
      <c r="D362" s="4" t="n"/>
      <c r="E362" s="51" t="n"/>
      <c r="F362" s="50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2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50" t="n"/>
      <c r="C363" s="4" t="n"/>
      <c r="D363" s="4" t="n"/>
      <c r="E363" s="51" t="n"/>
      <c r="F363" s="50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2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50" t="n"/>
      <c r="C364" s="4" t="n"/>
      <c r="D364" s="4" t="n"/>
      <c r="E364" s="51" t="n"/>
      <c r="F364" s="50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2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50" t="n"/>
      <c r="C365" s="4" t="n"/>
      <c r="D365" s="4" t="n"/>
      <c r="E365" s="51" t="n"/>
      <c r="F365" s="50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2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50" t="n"/>
      <c r="C366" s="4" t="n"/>
      <c r="D366" s="4" t="n"/>
      <c r="E366" s="51" t="n"/>
      <c r="F366" s="50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2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50" t="n"/>
      <c r="C367" s="4" t="n"/>
      <c r="D367" s="4" t="n"/>
      <c r="E367" s="51" t="n"/>
      <c r="F367" s="50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2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50" t="n"/>
      <c r="C368" s="4" t="n"/>
      <c r="D368" s="4" t="n"/>
      <c r="E368" s="51" t="n"/>
      <c r="F368" s="50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2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50" t="n"/>
      <c r="C369" s="4" t="n"/>
      <c r="D369" s="4" t="n"/>
      <c r="E369" s="51" t="n"/>
      <c r="F369" s="50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2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50" t="n"/>
      <c r="C370" s="4" t="n"/>
      <c r="D370" s="4" t="n"/>
      <c r="E370" s="51" t="n"/>
      <c r="F370" s="50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2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50" t="n"/>
      <c r="C371" s="4" t="n"/>
      <c r="D371" s="4" t="n"/>
      <c r="E371" s="51" t="n"/>
      <c r="F371" s="50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2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50" t="n"/>
      <c r="C372" s="4" t="n"/>
      <c r="D372" s="4" t="n"/>
      <c r="E372" s="51" t="n"/>
      <c r="F372" s="50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2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50" t="n"/>
      <c r="C373" s="4" t="n"/>
      <c r="D373" s="4" t="n"/>
      <c r="E373" s="51" t="n"/>
      <c r="F373" s="50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2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50" t="n"/>
      <c r="C374" s="4" t="n"/>
      <c r="D374" s="4" t="n"/>
      <c r="E374" s="51" t="n"/>
      <c r="F374" s="50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2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50" t="n"/>
      <c r="C375" s="4" t="n"/>
      <c r="D375" s="4" t="n"/>
      <c r="E375" s="51" t="n"/>
      <c r="F375" s="50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2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50" t="n"/>
      <c r="C376" s="4" t="n"/>
      <c r="D376" s="4" t="n"/>
      <c r="E376" s="51" t="n"/>
      <c r="F376" s="50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2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50" t="n"/>
      <c r="C377" s="4" t="n"/>
      <c r="D377" s="4" t="n"/>
      <c r="E377" s="51" t="n"/>
      <c r="F377" s="50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2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50" t="n"/>
      <c r="C378" s="4" t="n"/>
      <c r="D378" s="4" t="n"/>
      <c r="E378" s="51" t="n"/>
      <c r="F378" s="50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2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50" t="n"/>
      <c r="C379" s="4" t="n"/>
      <c r="D379" s="4" t="n"/>
      <c r="E379" s="51" t="n"/>
      <c r="F379" s="50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2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50" t="n"/>
      <c r="C380" s="4" t="n"/>
      <c r="D380" s="4" t="n"/>
      <c r="E380" s="51" t="n"/>
      <c r="F380" s="50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2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50" t="n"/>
      <c r="C381" s="4" t="n"/>
      <c r="D381" s="4" t="n"/>
      <c r="E381" s="51" t="n"/>
      <c r="F381" s="50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2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50" t="n"/>
      <c r="C382" s="4" t="n"/>
      <c r="D382" s="4" t="n"/>
      <c r="E382" s="51" t="n"/>
      <c r="F382" s="50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2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50" t="n"/>
      <c r="C383" s="4" t="n"/>
      <c r="D383" s="4" t="n"/>
      <c r="E383" s="51" t="n"/>
      <c r="F383" s="50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2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50" t="n"/>
      <c r="C384" s="4" t="n"/>
      <c r="D384" s="4" t="n"/>
      <c r="E384" s="51" t="n"/>
      <c r="F384" s="50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2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50" t="n"/>
      <c r="C385" s="4" t="n"/>
      <c r="D385" s="4" t="n"/>
      <c r="E385" s="51" t="n"/>
      <c r="F385" s="50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2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50" t="n"/>
      <c r="C386" s="4" t="n"/>
      <c r="D386" s="4" t="n"/>
      <c r="E386" s="51" t="n"/>
      <c r="F386" s="50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2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50" t="n"/>
      <c r="C387" s="4" t="n"/>
      <c r="D387" s="4" t="n"/>
      <c r="E387" s="51" t="n"/>
      <c r="F387" s="50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2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50" t="n"/>
      <c r="C388" s="4" t="n"/>
      <c r="D388" s="4" t="n"/>
      <c r="E388" s="51" t="n"/>
      <c r="F388" s="50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2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50" t="n"/>
      <c r="C389" s="4" t="n"/>
      <c r="D389" s="4" t="n"/>
      <c r="E389" s="51" t="n"/>
      <c r="F389" s="50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2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50" t="n"/>
      <c r="C390" s="4" t="n"/>
      <c r="D390" s="4" t="n"/>
      <c r="E390" s="51" t="n"/>
      <c r="F390" s="50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2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50" t="n"/>
      <c r="C391" s="4" t="n"/>
      <c r="D391" s="4" t="n"/>
      <c r="E391" s="51" t="n"/>
      <c r="F391" s="50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2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50" t="n"/>
      <c r="C392" s="4" t="n"/>
      <c r="D392" s="4" t="n"/>
      <c r="E392" s="51" t="n"/>
      <c r="F392" s="50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2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50" t="n"/>
      <c r="C393" s="4" t="n"/>
      <c r="D393" s="4" t="n"/>
      <c r="E393" s="51" t="n"/>
      <c r="F393" s="50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2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50" t="n"/>
      <c r="C394" s="4" t="n"/>
      <c r="D394" s="4" t="n"/>
      <c r="E394" s="51" t="n"/>
      <c r="F394" s="50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2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50" t="n"/>
      <c r="C395" s="4" t="n"/>
      <c r="D395" s="4" t="n"/>
      <c r="E395" s="51" t="n"/>
      <c r="F395" s="50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2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50" t="n"/>
      <c r="C396" s="4" t="n"/>
      <c r="D396" s="4" t="n"/>
      <c r="E396" s="51" t="n"/>
      <c r="F396" s="50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2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50" t="n"/>
      <c r="C397" s="4" t="n"/>
      <c r="D397" s="4" t="n"/>
      <c r="E397" s="51" t="n"/>
      <c r="F397" s="50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2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50" t="n"/>
      <c r="C398" s="4" t="n"/>
      <c r="D398" s="4" t="n"/>
      <c r="E398" s="51" t="n"/>
      <c r="F398" s="50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2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50" t="n"/>
      <c r="C399" s="4" t="n"/>
      <c r="D399" s="4" t="n"/>
      <c r="E399" s="51" t="n"/>
      <c r="F399" s="50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2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50" t="n"/>
      <c r="C400" s="4" t="n"/>
      <c r="D400" s="4" t="n"/>
      <c r="E400" s="51" t="n"/>
      <c r="F400" s="50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2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50" t="n"/>
      <c r="C401" s="4" t="n"/>
      <c r="D401" s="4" t="n"/>
      <c r="E401" s="51" t="n"/>
      <c r="F401" s="50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2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50" t="n"/>
      <c r="C402" s="4" t="n"/>
      <c r="D402" s="4" t="n"/>
      <c r="E402" s="51" t="n"/>
      <c r="F402" s="50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2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50" t="n"/>
      <c r="C403" s="4" t="n"/>
      <c r="D403" s="4" t="n"/>
      <c r="E403" s="51" t="n"/>
      <c r="F403" s="50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2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50" t="n"/>
      <c r="C404" s="4" t="n"/>
      <c r="D404" s="4" t="n"/>
      <c r="E404" s="51" t="n"/>
      <c r="F404" s="50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2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50" t="n"/>
      <c r="C405" s="4" t="n"/>
      <c r="D405" s="4" t="n"/>
      <c r="E405" s="51" t="n"/>
      <c r="F405" s="50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2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50" t="n"/>
      <c r="C406" s="4" t="n"/>
      <c r="D406" s="4" t="n"/>
      <c r="E406" s="51" t="n"/>
      <c r="F406" s="50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2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50" t="n"/>
      <c r="C407" s="4" t="n"/>
      <c r="D407" s="4" t="n"/>
      <c r="E407" s="51" t="n"/>
      <c r="F407" s="50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2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50" t="n"/>
      <c r="C408" s="4" t="n"/>
      <c r="D408" s="4" t="n"/>
      <c r="E408" s="51" t="n"/>
      <c r="F408" s="50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2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50" t="n"/>
      <c r="C409" s="4" t="n"/>
      <c r="D409" s="4" t="n"/>
      <c r="E409" s="51" t="n"/>
      <c r="F409" s="50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2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50" t="n"/>
      <c r="C410" s="4" t="n"/>
      <c r="D410" s="4" t="n"/>
      <c r="E410" s="51" t="n"/>
      <c r="F410" s="50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2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50" t="n"/>
      <c r="C411" s="4" t="n"/>
      <c r="D411" s="4" t="n"/>
      <c r="E411" s="51" t="n"/>
      <c r="F411" s="50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2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50" t="n"/>
      <c r="C412" s="4" t="n"/>
      <c r="D412" s="4" t="n"/>
      <c r="E412" s="51" t="n"/>
      <c r="F412" s="50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2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50" t="n"/>
      <c r="C413" s="4" t="n"/>
      <c r="D413" s="4" t="n"/>
      <c r="E413" s="51" t="n"/>
      <c r="F413" s="50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2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50" t="n"/>
      <c r="C414" s="4" t="n"/>
      <c r="D414" s="4" t="n"/>
      <c r="E414" s="51" t="n"/>
      <c r="F414" s="50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2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50" t="n"/>
      <c r="C415" s="4" t="n"/>
      <c r="D415" s="4" t="n"/>
      <c r="E415" s="51" t="n"/>
      <c r="F415" s="50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2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50" t="n"/>
      <c r="C416" s="4" t="n"/>
      <c r="D416" s="4" t="n"/>
      <c r="E416" s="51" t="n"/>
      <c r="F416" s="50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2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50" t="n"/>
      <c r="C417" s="4" t="n"/>
      <c r="D417" s="4" t="n"/>
      <c r="E417" s="51" t="n"/>
      <c r="F417" s="50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2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50" t="n"/>
      <c r="C418" s="4" t="n"/>
      <c r="D418" s="4" t="n"/>
      <c r="E418" s="51" t="n"/>
      <c r="F418" s="50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2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50" t="n"/>
      <c r="C419" s="4" t="n"/>
      <c r="D419" s="4" t="n"/>
      <c r="E419" s="51" t="n"/>
      <c r="F419" s="50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2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50" t="n"/>
      <c r="C420" s="4" t="n"/>
      <c r="D420" s="4" t="n"/>
      <c r="E420" s="51" t="n"/>
      <c r="F420" s="50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2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50" t="n"/>
      <c r="C421" s="4" t="n"/>
      <c r="D421" s="4" t="n"/>
      <c r="E421" s="51" t="n"/>
      <c r="F421" s="50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2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50" t="n"/>
      <c r="C422" s="4" t="n"/>
      <c r="D422" s="4" t="n"/>
      <c r="E422" s="51" t="n"/>
      <c r="F422" s="50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2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50" t="n"/>
      <c r="C423" s="4" t="n"/>
      <c r="D423" s="4" t="n"/>
      <c r="E423" s="51" t="n"/>
      <c r="F423" s="50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2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50" t="n"/>
      <c r="C424" s="4" t="n"/>
      <c r="D424" s="4" t="n"/>
      <c r="E424" s="51" t="n"/>
      <c r="F424" s="50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2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50" t="n"/>
      <c r="C425" s="4" t="n"/>
      <c r="D425" s="4" t="n"/>
      <c r="E425" s="51" t="n"/>
      <c r="F425" s="50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2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50" t="n"/>
      <c r="C426" s="4" t="n"/>
      <c r="D426" s="4" t="n"/>
      <c r="E426" s="51" t="n"/>
      <c r="F426" s="50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2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50" t="n"/>
      <c r="C427" s="4" t="n"/>
      <c r="D427" s="4" t="n"/>
      <c r="E427" s="51" t="n"/>
      <c r="F427" s="50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2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50" t="n"/>
      <c r="C428" s="4" t="n"/>
      <c r="D428" s="4" t="n"/>
      <c r="E428" s="51" t="n"/>
      <c r="F428" s="50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2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50" t="n"/>
      <c r="C429" s="4" t="n"/>
      <c r="D429" s="4" t="n"/>
      <c r="E429" s="51" t="n"/>
      <c r="F429" s="50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2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50" t="n"/>
      <c r="C430" s="4" t="n"/>
      <c r="D430" s="4" t="n"/>
      <c r="E430" s="51" t="n"/>
      <c r="F430" s="50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2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50" t="n"/>
      <c r="C431" s="4" t="n"/>
      <c r="D431" s="4" t="n"/>
      <c r="E431" s="51" t="n"/>
      <c r="F431" s="50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2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50" t="n"/>
      <c r="C432" s="4" t="n"/>
      <c r="D432" s="4" t="n"/>
      <c r="E432" s="51" t="n"/>
      <c r="F432" s="50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2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50" t="n"/>
      <c r="C433" s="4" t="n"/>
      <c r="D433" s="4" t="n"/>
      <c r="E433" s="51" t="n"/>
      <c r="F433" s="50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2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50" t="n"/>
      <c r="C434" s="4" t="n"/>
      <c r="D434" s="4" t="n"/>
      <c r="E434" s="51" t="n"/>
      <c r="F434" s="50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2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50" t="n"/>
      <c r="C435" s="4" t="n"/>
      <c r="D435" s="4" t="n"/>
      <c r="E435" s="51" t="n"/>
      <c r="F435" s="50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2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50" t="n"/>
      <c r="C436" s="4" t="n"/>
      <c r="D436" s="4" t="n"/>
      <c r="E436" s="51" t="n"/>
      <c r="F436" s="50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2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50" t="n"/>
      <c r="C437" s="4" t="n"/>
      <c r="D437" s="4" t="n"/>
      <c r="E437" s="51" t="n"/>
      <c r="F437" s="50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2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50" t="n"/>
      <c r="C438" s="4" t="n"/>
      <c r="D438" s="4" t="n"/>
      <c r="E438" s="51" t="n"/>
      <c r="F438" s="50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2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50" t="n"/>
      <c r="C439" s="4" t="n"/>
      <c r="D439" s="4" t="n"/>
      <c r="E439" s="51" t="n"/>
      <c r="F439" s="50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2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50" t="n"/>
      <c r="C440" s="4" t="n"/>
      <c r="D440" s="4" t="n"/>
      <c r="E440" s="51" t="n"/>
      <c r="F440" s="50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2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50" t="n"/>
      <c r="C441" s="4" t="n"/>
      <c r="D441" s="4" t="n"/>
      <c r="E441" s="51" t="n"/>
      <c r="F441" s="50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2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50" t="n"/>
      <c r="C442" s="4" t="n"/>
      <c r="D442" s="4" t="n"/>
      <c r="E442" s="51" t="n"/>
      <c r="F442" s="50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2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50" t="n"/>
      <c r="C443" s="4" t="n"/>
      <c r="D443" s="4" t="n"/>
      <c r="E443" s="51" t="n"/>
      <c r="F443" s="50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2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50" t="n"/>
      <c r="C444" s="4" t="n"/>
      <c r="D444" s="4" t="n"/>
      <c r="E444" s="51" t="n"/>
      <c r="F444" s="50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2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50" t="n"/>
      <c r="C445" s="4" t="n"/>
      <c r="D445" s="4" t="n"/>
      <c r="E445" s="51" t="n"/>
      <c r="F445" s="50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2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50" t="n"/>
      <c r="C446" s="4" t="n"/>
      <c r="D446" s="4" t="n"/>
      <c r="E446" s="51" t="n"/>
      <c r="F446" s="50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2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50" t="n"/>
      <c r="C447" s="4" t="n"/>
      <c r="D447" s="4" t="n"/>
      <c r="E447" s="51" t="n"/>
      <c r="F447" s="50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2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50" t="n"/>
      <c r="C448" s="4" t="n"/>
      <c r="D448" s="4" t="n"/>
      <c r="E448" s="51" t="n"/>
      <c r="F448" s="50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2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50" t="n"/>
      <c r="C449" s="4" t="n"/>
      <c r="D449" s="4" t="n"/>
      <c r="E449" s="51" t="n"/>
      <c r="F449" s="50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2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50" t="n"/>
      <c r="C450" s="4" t="n"/>
      <c r="D450" s="4" t="n"/>
      <c r="E450" s="51" t="n"/>
      <c r="F450" s="50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2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50" t="n"/>
      <c r="C451" s="4" t="n"/>
      <c r="D451" s="4" t="n"/>
      <c r="E451" s="51" t="n"/>
      <c r="F451" s="50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2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50" t="n"/>
      <c r="C452" s="4" t="n"/>
      <c r="D452" s="4" t="n"/>
      <c r="E452" s="51" t="n"/>
      <c r="F452" s="50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2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50" t="n"/>
      <c r="C453" s="4" t="n"/>
      <c r="D453" s="4" t="n"/>
      <c r="E453" s="51" t="n"/>
      <c r="F453" s="50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2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50" t="n"/>
      <c r="C454" s="4" t="n"/>
      <c r="D454" s="4" t="n"/>
      <c r="E454" s="51" t="n"/>
      <c r="F454" s="50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2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50" t="n"/>
      <c r="C455" s="4" t="n"/>
      <c r="D455" s="4" t="n"/>
      <c r="E455" s="51" t="n"/>
      <c r="F455" s="50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2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50" t="n"/>
      <c r="C456" s="4" t="n"/>
      <c r="D456" s="4" t="n"/>
      <c r="E456" s="51" t="n"/>
      <c r="F456" s="50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2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50" t="n"/>
      <c r="C457" s="4" t="n"/>
      <c r="D457" s="4" t="n"/>
      <c r="E457" s="51" t="n"/>
      <c r="F457" s="50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2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50" t="n"/>
      <c r="C458" s="4" t="n"/>
      <c r="D458" s="4" t="n"/>
      <c r="E458" s="51" t="n"/>
      <c r="F458" s="50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2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50" t="n"/>
      <c r="C459" s="4" t="n"/>
      <c r="D459" s="4" t="n"/>
      <c r="E459" s="51" t="n"/>
      <c r="F459" s="50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2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50" t="n"/>
      <c r="C460" s="4" t="n"/>
      <c r="D460" s="4" t="n"/>
      <c r="E460" s="51" t="n"/>
      <c r="F460" s="50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2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50" t="n"/>
      <c r="C461" s="4" t="n"/>
      <c r="D461" s="4" t="n"/>
      <c r="E461" s="51" t="n"/>
      <c r="F461" s="50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2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50" t="n"/>
      <c r="C462" s="4" t="n"/>
      <c r="D462" s="4" t="n"/>
      <c r="E462" s="51" t="n"/>
      <c r="F462" s="50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2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50" t="n"/>
      <c r="C463" s="4" t="n"/>
      <c r="D463" s="4" t="n"/>
      <c r="E463" s="51" t="n"/>
      <c r="F463" s="50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2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50" t="n"/>
      <c r="C464" s="4" t="n"/>
      <c r="D464" s="4" t="n"/>
      <c r="E464" s="51" t="n"/>
      <c r="F464" s="50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2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50" t="n"/>
      <c r="C465" s="4" t="n"/>
      <c r="D465" s="4" t="n"/>
      <c r="E465" s="51" t="n"/>
      <c r="F465" s="50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2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50" t="n"/>
      <c r="C466" s="4" t="n"/>
      <c r="D466" s="4" t="n"/>
      <c r="E466" s="51" t="n"/>
      <c r="F466" s="50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2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50" t="n"/>
      <c r="C467" s="4" t="n"/>
      <c r="D467" s="4" t="n"/>
      <c r="E467" s="51" t="n"/>
      <c r="F467" s="50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2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50" t="n"/>
      <c r="C468" s="4" t="n"/>
      <c r="D468" s="4" t="n"/>
      <c r="E468" s="51" t="n"/>
      <c r="F468" s="50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2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50" t="n"/>
      <c r="C469" s="4" t="n"/>
      <c r="D469" s="4" t="n"/>
      <c r="E469" s="51" t="n"/>
      <c r="F469" s="50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2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50" t="n"/>
      <c r="C470" s="4" t="n"/>
      <c r="D470" s="4" t="n"/>
      <c r="E470" s="51" t="n"/>
      <c r="F470" s="50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2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50" t="n"/>
      <c r="C471" s="4" t="n"/>
      <c r="D471" s="4" t="n"/>
      <c r="E471" s="51" t="n"/>
      <c r="F471" s="50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2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50" t="n"/>
      <c r="C472" s="4" t="n"/>
      <c r="D472" s="4" t="n"/>
      <c r="E472" s="51" t="n"/>
      <c r="F472" s="50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2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50" t="n"/>
      <c r="C473" s="4" t="n"/>
      <c r="D473" s="4" t="n"/>
      <c r="E473" s="51" t="n"/>
      <c r="F473" s="50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2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50" t="n"/>
      <c r="C474" s="4" t="n"/>
      <c r="D474" s="4" t="n"/>
      <c r="E474" s="51" t="n"/>
      <c r="F474" s="50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2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50" t="n"/>
      <c r="C475" s="4" t="n"/>
      <c r="D475" s="4" t="n"/>
      <c r="E475" s="51" t="n"/>
      <c r="F475" s="50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2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50" t="n"/>
      <c r="C476" s="4" t="n"/>
      <c r="D476" s="4" t="n"/>
      <c r="E476" s="51" t="n"/>
      <c r="F476" s="50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2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50" t="n"/>
      <c r="C477" s="4" t="n"/>
      <c r="D477" s="4" t="n"/>
      <c r="E477" s="51" t="n"/>
      <c r="F477" s="50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2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50" t="n"/>
      <c r="C478" s="4" t="n"/>
      <c r="D478" s="4" t="n"/>
      <c r="E478" s="51" t="n"/>
      <c r="F478" s="50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2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50" t="n"/>
      <c r="C479" s="4" t="n"/>
      <c r="D479" s="4" t="n"/>
      <c r="E479" s="51" t="n"/>
      <c r="F479" s="50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2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50" t="n"/>
      <c r="C480" s="4" t="n"/>
      <c r="D480" s="4" t="n"/>
      <c r="E480" s="51" t="n"/>
      <c r="F480" s="50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2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50" t="n"/>
      <c r="C481" s="4" t="n"/>
      <c r="D481" s="4" t="n"/>
      <c r="E481" s="51" t="n"/>
      <c r="F481" s="50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2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50" t="n"/>
      <c r="C482" s="4" t="n"/>
      <c r="D482" s="4" t="n"/>
      <c r="E482" s="51" t="n"/>
      <c r="F482" s="50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2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50" t="n"/>
      <c r="C483" s="4" t="n"/>
      <c r="D483" s="4" t="n"/>
      <c r="E483" s="51" t="n"/>
      <c r="F483" s="50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2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50" t="n"/>
      <c r="C484" s="4" t="n"/>
      <c r="D484" s="4" t="n"/>
      <c r="E484" s="51" t="n"/>
      <c r="F484" s="50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2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50" t="n"/>
      <c r="C485" s="4" t="n"/>
      <c r="D485" s="4" t="n"/>
      <c r="E485" s="51" t="n"/>
      <c r="F485" s="50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2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50" t="n"/>
      <c r="C486" s="4" t="n"/>
      <c r="D486" s="4" t="n"/>
      <c r="E486" s="51" t="n"/>
      <c r="F486" s="50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2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50" t="n"/>
      <c r="C487" s="4" t="n"/>
      <c r="D487" s="4" t="n"/>
      <c r="E487" s="51" t="n"/>
      <c r="F487" s="50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2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50" t="n"/>
      <c r="C488" s="4" t="n"/>
      <c r="D488" s="4" t="n"/>
      <c r="E488" s="51" t="n"/>
      <c r="F488" s="50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2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50" t="n"/>
      <c r="C489" s="4" t="n"/>
      <c r="D489" s="4" t="n"/>
      <c r="E489" s="51" t="n"/>
      <c r="F489" s="50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2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50" t="n"/>
      <c r="C490" s="4" t="n"/>
      <c r="D490" s="4" t="n"/>
      <c r="E490" s="51" t="n"/>
      <c r="F490" s="50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2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50" t="n"/>
      <c r="C491" s="4" t="n"/>
      <c r="D491" s="4" t="n"/>
      <c r="E491" s="51" t="n"/>
      <c r="F491" s="50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2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50" t="n"/>
      <c r="C492" s="4" t="n"/>
      <c r="D492" s="4" t="n"/>
      <c r="E492" s="51" t="n"/>
      <c r="F492" s="50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2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50" t="n"/>
      <c r="C493" s="4" t="n"/>
      <c r="D493" s="4" t="n"/>
      <c r="E493" s="51" t="n"/>
      <c r="F493" s="50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2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50" t="n"/>
      <c r="C494" s="4" t="n"/>
      <c r="D494" s="4" t="n"/>
      <c r="E494" s="51" t="n"/>
      <c r="F494" s="50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2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50" t="n"/>
      <c r="C495" s="4" t="n"/>
      <c r="D495" s="4" t="n"/>
      <c r="E495" s="51" t="n"/>
      <c r="F495" s="50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2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50" t="n"/>
      <c r="C496" s="4" t="n"/>
      <c r="D496" s="4" t="n"/>
      <c r="E496" s="51" t="n"/>
      <c r="F496" s="50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2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50" t="n"/>
      <c r="C497" s="4" t="n"/>
      <c r="D497" s="4" t="n"/>
      <c r="E497" s="51" t="n"/>
      <c r="F497" s="50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2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50" t="n"/>
      <c r="C498" s="4" t="n"/>
      <c r="D498" s="4" t="n"/>
      <c r="E498" s="51" t="n"/>
      <c r="F498" s="50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2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50" t="n"/>
      <c r="C499" s="4" t="n"/>
      <c r="D499" s="4" t="n"/>
      <c r="E499" s="51" t="n"/>
      <c r="F499" s="50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2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50" t="n"/>
      <c r="C500" s="4" t="n"/>
      <c r="D500" s="4" t="n"/>
      <c r="E500" s="51" t="n"/>
      <c r="F500" s="50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2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50" t="n"/>
      <c r="C501" s="4" t="n"/>
      <c r="D501" s="4" t="n"/>
      <c r="E501" s="51" t="n"/>
      <c r="F501" s="50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2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50" t="n"/>
      <c r="C502" s="4" t="n"/>
      <c r="D502" s="4" t="n"/>
      <c r="E502" s="51" t="n"/>
      <c r="F502" s="50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2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50" t="n"/>
      <c r="C503" s="4" t="n"/>
      <c r="D503" s="4" t="n"/>
      <c r="E503" s="51" t="n"/>
      <c r="F503" s="50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2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50" t="n"/>
      <c r="C504" s="4" t="n"/>
      <c r="D504" s="4" t="n"/>
      <c r="E504" s="51" t="n"/>
      <c r="F504" s="50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2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50" t="n"/>
      <c r="C505" s="4" t="n"/>
      <c r="D505" s="4" t="n"/>
      <c r="E505" s="51" t="n"/>
      <c r="F505" s="50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2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50" t="n"/>
      <c r="C506" s="4" t="n"/>
      <c r="D506" s="4" t="n"/>
      <c r="E506" s="51" t="n"/>
      <c r="F506" s="50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2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50" t="n"/>
      <c r="C507" s="4" t="n"/>
      <c r="D507" s="4" t="n"/>
      <c r="E507" s="51" t="n"/>
      <c r="F507" s="50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2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50" t="n"/>
      <c r="C508" s="4" t="n"/>
      <c r="D508" s="4" t="n"/>
      <c r="E508" s="51" t="n"/>
      <c r="F508" s="50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2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50" t="n"/>
      <c r="C509" s="4" t="n"/>
      <c r="D509" s="4" t="n"/>
      <c r="E509" s="51" t="n"/>
      <c r="F509" s="50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2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50" t="n"/>
      <c r="C510" s="4" t="n"/>
      <c r="D510" s="4" t="n"/>
      <c r="E510" s="51" t="n"/>
      <c r="F510" s="50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2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50" t="n"/>
      <c r="C511" s="4" t="n"/>
      <c r="D511" s="4" t="n"/>
      <c r="E511" s="51" t="n"/>
      <c r="F511" s="50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2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50" t="n"/>
      <c r="C512" s="4" t="n"/>
      <c r="D512" s="4" t="n"/>
      <c r="E512" s="51" t="n"/>
      <c r="F512" s="50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2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50" t="n"/>
      <c r="C513" s="4" t="n"/>
      <c r="D513" s="4" t="n"/>
      <c r="E513" s="51" t="n"/>
      <c r="F513" s="50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2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50" t="n"/>
      <c r="C514" s="4" t="n"/>
      <c r="D514" s="4" t="n"/>
      <c r="E514" s="51" t="n"/>
      <c r="F514" s="50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2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50" t="n"/>
      <c r="C515" s="4" t="n"/>
      <c r="D515" s="4" t="n"/>
      <c r="E515" s="51" t="n"/>
      <c r="F515" s="50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2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50" t="n"/>
      <c r="C516" s="4" t="n"/>
      <c r="D516" s="4" t="n"/>
      <c r="E516" s="51" t="n"/>
      <c r="F516" s="50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2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50" t="n"/>
      <c r="C517" s="4" t="n"/>
      <c r="D517" s="4" t="n"/>
      <c r="E517" s="51" t="n"/>
      <c r="F517" s="50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2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50" t="n"/>
      <c r="C518" s="4" t="n"/>
      <c r="D518" s="4" t="n"/>
      <c r="E518" s="51" t="n"/>
      <c r="F518" s="50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2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50" t="n"/>
      <c r="C519" s="4" t="n"/>
      <c r="D519" s="4" t="n"/>
      <c r="E519" s="51" t="n"/>
      <c r="F519" s="50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2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50" t="n"/>
      <c r="C520" s="4" t="n"/>
      <c r="D520" s="4" t="n"/>
      <c r="E520" s="51" t="n"/>
      <c r="F520" s="50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2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50" t="n"/>
      <c r="C521" s="4" t="n"/>
      <c r="D521" s="4" t="n"/>
      <c r="E521" s="51" t="n"/>
      <c r="F521" s="50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2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50" t="n"/>
      <c r="C522" s="4" t="n"/>
      <c r="D522" s="4" t="n"/>
      <c r="E522" s="51" t="n"/>
      <c r="F522" s="50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2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50" t="n"/>
      <c r="C523" s="4" t="n"/>
      <c r="D523" s="4" t="n"/>
      <c r="E523" s="51" t="n"/>
      <c r="F523" s="50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2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50" t="n"/>
      <c r="C524" s="4" t="n"/>
      <c r="D524" s="4" t="n"/>
      <c r="E524" s="51" t="n"/>
      <c r="F524" s="50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2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50" t="n"/>
      <c r="C525" s="4" t="n"/>
      <c r="D525" s="4" t="n"/>
      <c r="E525" s="51" t="n"/>
      <c r="F525" s="50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2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50" t="n"/>
      <c r="C526" s="4" t="n"/>
      <c r="D526" s="4" t="n"/>
      <c r="E526" s="51" t="n"/>
      <c r="F526" s="50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2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50" t="n"/>
      <c r="C527" s="4" t="n"/>
      <c r="D527" s="4" t="n"/>
      <c r="E527" s="51" t="n"/>
      <c r="F527" s="50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2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50" t="n"/>
      <c r="C528" s="4" t="n"/>
      <c r="D528" s="4" t="n"/>
      <c r="E528" s="51" t="n"/>
      <c r="F528" s="50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2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50" t="n"/>
      <c r="C529" s="4" t="n"/>
      <c r="D529" s="4" t="n"/>
      <c r="E529" s="51" t="n"/>
      <c r="F529" s="50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2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50" t="n"/>
      <c r="C530" s="4" t="n"/>
      <c r="D530" s="4" t="n"/>
      <c r="E530" s="51" t="n"/>
      <c r="F530" s="50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2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50" t="n"/>
      <c r="C531" s="4" t="n"/>
      <c r="D531" s="4" t="n"/>
      <c r="E531" s="51" t="n"/>
      <c r="F531" s="50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2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50" t="n"/>
      <c r="C532" s="4" t="n"/>
      <c r="D532" s="4" t="n"/>
      <c r="E532" s="51" t="n"/>
      <c r="F532" s="50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2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50" t="n"/>
      <c r="C533" s="4" t="n"/>
      <c r="D533" s="4" t="n"/>
      <c r="E533" s="51" t="n"/>
      <c r="F533" s="50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2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50" t="n"/>
      <c r="C534" s="4" t="n"/>
      <c r="D534" s="4" t="n"/>
      <c r="E534" s="51" t="n"/>
      <c r="F534" s="50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2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50" t="n"/>
      <c r="C535" s="4" t="n"/>
      <c r="D535" s="4" t="n"/>
      <c r="E535" s="51" t="n"/>
      <c r="F535" s="50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2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50" t="n"/>
      <c r="C536" s="4" t="n"/>
      <c r="D536" s="4" t="n"/>
      <c r="E536" s="51" t="n"/>
      <c r="F536" s="50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2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50" t="n"/>
      <c r="C537" s="4" t="n"/>
      <c r="D537" s="4" t="n"/>
      <c r="E537" s="51" t="n"/>
      <c r="F537" s="50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2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50" t="n"/>
      <c r="C538" s="4" t="n"/>
      <c r="D538" s="4" t="n"/>
      <c r="E538" s="51" t="n"/>
      <c r="F538" s="50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2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50" t="n"/>
      <c r="C539" s="4" t="n"/>
      <c r="D539" s="4" t="n"/>
      <c r="E539" s="51" t="n"/>
      <c r="F539" s="50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2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50" t="n"/>
      <c r="C540" s="4" t="n"/>
      <c r="D540" s="4" t="n"/>
      <c r="E540" s="51" t="n"/>
      <c r="F540" s="50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2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50" t="n"/>
      <c r="C541" s="4" t="n"/>
      <c r="D541" s="4" t="n"/>
      <c r="E541" s="51" t="n"/>
      <c r="F541" s="50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2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50" t="n"/>
      <c r="C542" s="4" t="n"/>
      <c r="D542" s="4" t="n"/>
      <c r="E542" s="51" t="n"/>
      <c r="F542" s="50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2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50" t="n"/>
      <c r="C543" s="4" t="n"/>
      <c r="D543" s="4" t="n"/>
      <c r="E543" s="51" t="n"/>
      <c r="F543" s="50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2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50" t="n"/>
      <c r="C544" s="4" t="n"/>
      <c r="D544" s="4" t="n"/>
      <c r="E544" s="51" t="n"/>
      <c r="F544" s="50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2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50" t="n"/>
      <c r="C545" s="4" t="n"/>
      <c r="D545" s="4" t="n"/>
      <c r="E545" s="51" t="n"/>
      <c r="F545" s="50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2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50" t="n"/>
      <c r="C546" s="4" t="n"/>
      <c r="D546" s="4" t="n"/>
      <c r="E546" s="51" t="n"/>
      <c r="F546" s="50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2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50" t="n"/>
      <c r="C547" s="4" t="n"/>
      <c r="D547" s="4" t="n"/>
      <c r="E547" s="51" t="n"/>
      <c r="F547" s="50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2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50" t="n"/>
      <c r="C548" s="4" t="n"/>
      <c r="D548" s="4" t="n"/>
      <c r="E548" s="51" t="n"/>
      <c r="F548" s="50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2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50" t="n"/>
      <c r="C549" s="4" t="n"/>
      <c r="D549" s="4" t="n"/>
      <c r="E549" s="51" t="n"/>
      <c r="F549" s="50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2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50" t="n"/>
      <c r="C550" s="4" t="n"/>
      <c r="D550" s="4" t="n"/>
      <c r="E550" s="51" t="n"/>
      <c r="F550" s="50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2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50" t="n"/>
      <c r="C551" s="4" t="n"/>
      <c r="D551" s="4" t="n"/>
      <c r="E551" s="51" t="n"/>
      <c r="F551" s="50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2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50" t="n"/>
      <c r="C552" s="4" t="n"/>
      <c r="D552" s="4" t="n"/>
      <c r="E552" s="51" t="n"/>
      <c r="F552" s="50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2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50" t="n"/>
      <c r="C553" s="4" t="n"/>
      <c r="D553" s="4" t="n"/>
      <c r="E553" s="51" t="n"/>
      <c r="F553" s="50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2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50" t="n"/>
      <c r="C554" s="4" t="n"/>
      <c r="D554" s="4" t="n"/>
      <c r="E554" s="51" t="n"/>
      <c r="F554" s="50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2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50" t="n"/>
      <c r="C555" s="4" t="n"/>
      <c r="D555" s="4" t="n"/>
      <c r="E555" s="51" t="n"/>
      <c r="F555" s="50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2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50" t="n"/>
      <c r="C556" s="4" t="n"/>
      <c r="D556" s="4" t="n"/>
      <c r="E556" s="51" t="n"/>
      <c r="F556" s="50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2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50" t="n"/>
      <c r="C557" s="4" t="n"/>
      <c r="D557" s="4" t="n"/>
      <c r="E557" s="51" t="n"/>
      <c r="F557" s="50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2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50" t="n"/>
      <c r="C558" s="4" t="n"/>
      <c r="D558" s="4" t="n"/>
      <c r="E558" s="51" t="n"/>
      <c r="F558" s="50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2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50" t="n"/>
      <c r="C559" s="4" t="n"/>
      <c r="D559" s="4" t="n"/>
      <c r="E559" s="51" t="n"/>
      <c r="F559" s="50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2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50" t="n"/>
      <c r="C560" s="4" t="n"/>
      <c r="D560" s="4" t="n"/>
      <c r="E560" s="51" t="n"/>
      <c r="F560" s="50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2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50" t="n"/>
      <c r="C561" s="4" t="n"/>
      <c r="D561" s="4" t="n"/>
      <c r="E561" s="51" t="n"/>
      <c r="F561" s="50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2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50" t="n"/>
      <c r="C562" s="4" t="n"/>
      <c r="D562" s="4" t="n"/>
      <c r="E562" s="51" t="n"/>
      <c r="F562" s="50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2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50" t="n"/>
      <c r="C563" s="4" t="n"/>
      <c r="D563" s="4" t="n"/>
      <c r="E563" s="51" t="n"/>
      <c r="F563" s="50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2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50" t="n"/>
      <c r="C564" s="4" t="n"/>
      <c r="D564" s="4" t="n"/>
      <c r="E564" s="51" t="n"/>
      <c r="F564" s="50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2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50" t="n"/>
      <c r="C565" s="4" t="n"/>
      <c r="D565" s="4" t="n"/>
      <c r="E565" s="51" t="n"/>
      <c r="F565" s="50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2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50" t="n"/>
      <c r="C566" s="4" t="n"/>
      <c r="D566" s="4" t="n"/>
      <c r="E566" s="51" t="n"/>
      <c r="F566" s="50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2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50" t="n"/>
      <c r="C567" s="4" t="n"/>
      <c r="D567" s="4" t="n"/>
      <c r="E567" s="51" t="n"/>
      <c r="F567" s="50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2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50" t="n"/>
      <c r="C568" s="4" t="n"/>
      <c r="D568" s="4" t="n"/>
      <c r="E568" s="51" t="n"/>
      <c r="F568" s="50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2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50" t="n"/>
      <c r="C569" s="4" t="n"/>
      <c r="D569" s="4" t="n"/>
      <c r="E569" s="51" t="n"/>
      <c r="F569" s="50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2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50" t="n"/>
      <c r="C570" s="4" t="n"/>
      <c r="D570" s="4" t="n"/>
      <c r="E570" s="51" t="n"/>
      <c r="F570" s="50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2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50" t="n"/>
      <c r="C571" s="4" t="n"/>
      <c r="D571" s="4" t="n"/>
      <c r="E571" s="51" t="n"/>
      <c r="F571" s="50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2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50" t="n"/>
      <c r="C572" s="4" t="n"/>
      <c r="D572" s="4" t="n"/>
      <c r="E572" s="51" t="n"/>
      <c r="F572" s="50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2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50" t="n"/>
      <c r="C573" s="4" t="n"/>
      <c r="D573" s="4" t="n"/>
      <c r="E573" s="51" t="n"/>
      <c r="F573" s="50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2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50" t="n"/>
      <c r="C574" s="4" t="n"/>
      <c r="D574" s="4" t="n"/>
      <c r="E574" s="51" t="n"/>
      <c r="F574" s="50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2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50" t="n"/>
      <c r="C575" s="4" t="n"/>
      <c r="D575" s="4" t="n"/>
      <c r="E575" s="51" t="n"/>
      <c r="F575" s="50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2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50" t="n"/>
      <c r="C576" s="4" t="n"/>
      <c r="D576" s="4" t="n"/>
      <c r="E576" s="51" t="n"/>
      <c r="F576" s="50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2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50" t="n"/>
      <c r="C577" s="4" t="n"/>
      <c r="D577" s="4" t="n"/>
      <c r="E577" s="51" t="n"/>
      <c r="F577" s="50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2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50" t="n"/>
      <c r="C578" s="4" t="n"/>
      <c r="D578" s="4" t="n"/>
      <c r="E578" s="51" t="n"/>
      <c r="F578" s="50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2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50" t="n"/>
      <c r="C579" s="4" t="n"/>
      <c r="D579" s="4" t="n"/>
      <c r="E579" s="51" t="n"/>
      <c r="F579" s="50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2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50" t="n"/>
      <c r="C580" s="4" t="n"/>
      <c r="D580" s="4" t="n"/>
      <c r="E580" s="51" t="n"/>
      <c r="F580" s="50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2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50" t="n"/>
      <c r="C581" s="4" t="n"/>
      <c r="D581" s="4" t="n"/>
      <c r="E581" s="51" t="n"/>
      <c r="F581" s="50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2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50" t="n"/>
      <c r="C582" s="4" t="n"/>
      <c r="D582" s="4" t="n"/>
      <c r="E582" s="51" t="n"/>
      <c r="F582" s="50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2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50" t="n"/>
      <c r="C583" s="4" t="n"/>
      <c r="D583" s="4" t="n"/>
      <c r="E583" s="51" t="n"/>
      <c r="F583" s="50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2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50" t="n"/>
      <c r="C584" s="4" t="n"/>
      <c r="D584" s="4" t="n"/>
      <c r="E584" s="51" t="n"/>
      <c r="F584" s="50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2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50" t="n"/>
      <c r="C585" s="4" t="n"/>
      <c r="D585" s="4" t="n"/>
      <c r="E585" s="51" t="n"/>
      <c r="F585" s="50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2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50" t="n"/>
      <c r="C586" s="4" t="n"/>
      <c r="D586" s="4" t="n"/>
      <c r="E586" s="51" t="n"/>
      <c r="F586" s="50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2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50" t="n"/>
      <c r="C587" s="4" t="n"/>
      <c r="D587" s="4" t="n"/>
      <c r="E587" s="51" t="n"/>
      <c r="F587" s="50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2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50" t="n"/>
      <c r="C588" s="4" t="n"/>
      <c r="D588" s="4" t="n"/>
      <c r="E588" s="51" t="n"/>
      <c r="F588" s="50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2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50" t="n"/>
      <c r="C589" s="4" t="n"/>
      <c r="D589" s="4" t="n"/>
      <c r="E589" s="51" t="n"/>
      <c r="F589" s="50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2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50" t="n"/>
      <c r="C590" s="4" t="n"/>
      <c r="D590" s="4" t="n"/>
      <c r="E590" s="51" t="n"/>
      <c r="F590" s="50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2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50" t="n"/>
      <c r="C591" s="4" t="n"/>
      <c r="D591" s="4" t="n"/>
      <c r="E591" s="51" t="n"/>
      <c r="F591" s="50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2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50" t="n"/>
      <c r="C592" s="4" t="n"/>
      <c r="D592" s="4" t="n"/>
      <c r="E592" s="51" t="n"/>
      <c r="F592" s="50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2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50" t="n"/>
      <c r="C593" s="4" t="n"/>
      <c r="D593" s="4" t="n"/>
      <c r="E593" s="51" t="n"/>
      <c r="F593" s="50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2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50" t="n"/>
      <c r="C594" s="4" t="n"/>
      <c r="D594" s="4" t="n"/>
      <c r="E594" s="51" t="n"/>
      <c r="F594" s="50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2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50" t="n"/>
      <c r="C595" s="4" t="n"/>
      <c r="D595" s="4" t="n"/>
      <c r="E595" s="51" t="n"/>
      <c r="F595" s="50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2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50" t="n"/>
      <c r="C596" s="4" t="n"/>
      <c r="D596" s="4" t="n"/>
      <c r="E596" s="51" t="n"/>
      <c r="F596" s="50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2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50" t="n"/>
      <c r="C597" s="4" t="n"/>
      <c r="D597" s="4" t="n"/>
      <c r="E597" s="51" t="n"/>
      <c r="F597" s="50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2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50" t="n"/>
      <c r="C598" s="4" t="n"/>
      <c r="D598" s="4" t="n"/>
      <c r="E598" s="51" t="n"/>
      <c r="F598" s="50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2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50" t="n"/>
      <c r="C599" s="4" t="n"/>
      <c r="D599" s="4" t="n"/>
      <c r="E599" s="51" t="n"/>
      <c r="F599" s="50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2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50" t="n"/>
      <c r="C600" s="4" t="n"/>
      <c r="D600" s="4" t="n"/>
      <c r="E600" s="51" t="n"/>
      <c r="F600" s="50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2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50" t="n"/>
      <c r="C601" s="4" t="n"/>
      <c r="D601" s="4" t="n"/>
      <c r="E601" s="51" t="n"/>
      <c r="F601" s="50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2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50" t="n"/>
      <c r="C602" s="4" t="n"/>
      <c r="D602" s="4" t="n"/>
      <c r="E602" s="51" t="n"/>
      <c r="F602" s="50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2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50" t="n"/>
      <c r="C603" s="4" t="n"/>
      <c r="D603" s="4" t="n"/>
      <c r="E603" s="51" t="n"/>
      <c r="F603" s="50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2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50" t="n"/>
      <c r="C604" s="4" t="n"/>
      <c r="D604" s="4" t="n"/>
      <c r="E604" s="51" t="n"/>
      <c r="F604" s="50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2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50" t="n"/>
      <c r="C605" s="4" t="n"/>
      <c r="D605" s="4" t="n"/>
      <c r="E605" s="51" t="n"/>
      <c r="F605" s="50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2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50" t="n"/>
      <c r="C606" s="4" t="n"/>
      <c r="D606" s="4" t="n"/>
      <c r="E606" s="51" t="n"/>
      <c r="F606" s="50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2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50" t="n"/>
      <c r="C607" s="4" t="n"/>
      <c r="D607" s="4" t="n"/>
      <c r="E607" s="51" t="n"/>
      <c r="F607" s="50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2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50" t="n"/>
      <c r="C608" s="4" t="n"/>
      <c r="D608" s="4" t="n"/>
      <c r="E608" s="51" t="n"/>
      <c r="F608" s="50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2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50" t="n"/>
      <c r="C609" s="4" t="n"/>
      <c r="D609" s="4" t="n"/>
      <c r="E609" s="51" t="n"/>
      <c r="F609" s="50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2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50" t="n"/>
      <c r="C610" s="4" t="n"/>
      <c r="D610" s="4" t="n"/>
      <c r="E610" s="51" t="n"/>
      <c r="F610" s="50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2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50" t="n"/>
      <c r="C611" s="4" t="n"/>
      <c r="D611" s="4" t="n"/>
      <c r="E611" s="51" t="n"/>
      <c r="F611" s="50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2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50" t="n"/>
      <c r="C612" s="4" t="n"/>
      <c r="D612" s="4" t="n"/>
      <c r="E612" s="51" t="n"/>
      <c r="F612" s="50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2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50" t="n"/>
      <c r="C613" s="4" t="n"/>
      <c r="D613" s="4" t="n"/>
      <c r="E613" s="51" t="n"/>
      <c r="F613" s="50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2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50" t="n"/>
      <c r="C614" s="4" t="n"/>
      <c r="D614" s="4" t="n"/>
      <c r="E614" s="51" t="n"/>
      <c r="F614" s="50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2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50" t="n"/>
      <c r="C615" s="4" t="n"/>
      <c r="D615" s="4" t="n"/>
      <c r="E615" s="51" t="n"/>
      <c r="F615" s="50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2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50" t="n"/>
      <c r="C616" s="4" t="n"/>
      <c r="D616" s="4" t="n"/>
      <c r="E616" s="51" t="n"/>
      <c r="F616" s="50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2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50" t="n"/>
      <c r="C617" s="4" t="n"/>
      <c r="D617" s="4" t="n"/>
      <c r="E617" s="51" t="n"/>
      <c r="F617" s="50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2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50" t="n"/>
      <c r="C618" s="4" t="n"/>
      <c r="D618" s="4" t="n"/>
      <c r="E618" s="51" t="n"/>
      <c r="F618" s="50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2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50" t="n"/>
      <c r="C619" s="4" t="n"/>
      <c r="D619" s="4" t="n"/>
      <c r="E619" s="51" t="n"/>
      <c r="F619" s="50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2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50" t="n"/>
      <c r="C620" s="4" t="n"/>
      <c r="D620" s="4" t="n"/>
      <c r="E620" s="51" t="n"/>
      <c r="F620" s="50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2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50" t="n"/>
      <c r="C621" s="4" t="n"/>
      <c r="D621" s="4" t="n"/>
      <c r="E621" s="51" t="n"/>
      <c r="F621" s="50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2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50" t="n"/>
      <c r="C622" s="4" t="n"/>
      <c r="D622" s="4" t="n"/>
      <c r="E622" s="51" t="n"/>
      <c r="F622" s="50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2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50" t="n"/>
      <c r="C623" s="4" t="n"/>
      <c r="D623" s="4" t="n"/>
      <c r="E623" s="51" t="n"/>
      <c r="F623" s="50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2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50" t="n"/>
      <c r="C624" s="4" t="n"/>
      <c r="D624" s="4" t="n"/>
      <c r="E624" s="51" t="n"/>
      <c r="F624" s="50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2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50" t="n"/>
      <c r="C625" s="4" t="n"/>
      <c r="D625" s="4" t="n"/>
      <c r="E625" s="51" t="n"/>
      <c r="F625" s="50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2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50" t="n"/>
      <c r="C626" s="4" t="n"/>
      <c r="D626" s="4" t="n"/>
      <c r="E626" s="51" t="n"/>
      <c r="F626" s="50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2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50" t="n"/>
      <c r="C627" s="4" t="n"/>
      <c r="D627" s="4" t="n"/>
      <c r="E627" s="51" t="n"/>
      <c r="F627" s="50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2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50" t="n"/>
      <c r="C628" s="4" t="n"/>
      <c r="D628" s="4" t="n"/>
      <c r="E628" s="51" t="n"/>
      <c r="F628" s="50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2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50" t="n"/>
      <c r="C629" s="4" t="n"/>
      <c r="D629" s="4" t="n"/>
      <c r="E629" s="51" t="n"/>
      <c r="F629" s="50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2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50" t="n"/>
      <c r="C630" s="4" t="n"/>
      <c r="D630" s="4" t="n"/>
      <c r="E630" s="51" t="n"/>
      <c r="F630" s="50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2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50" t="n"/>
      <c r="C631" s="4" t="n"/>
      <c r="D631" s="4" t="n"/>
      <c r="E631" s="51" t="n"/>
      <c r="F631" s="50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2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50" t="n"/>
      <c r="C632" s="4" t="n"/>
      <c r="D632" s="4" t="n"/>
      <c r="E632" s="51" t="n"/>
      <c r="F632" s="50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2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50" t="n"/>
      <c r="C633" s="4" t="n"/>
      <c r="D633" s="4" t="n"/>
      <c r="E633" s="51" t="n"/>
      <c r="F633" s="50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2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50" t="n"/>
      <c r="C634" s="4" t="n"/>
      <c r="D634" s="4" t="n"/>
      <c r="E634" s="51" t="n"/>
      <c r="F634" s="50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2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50" t="n"/>
      <c r="C635" s="4" t="n"/>
      <c r="D635" s="4" t="n"/>
      <c r="E635" s="51" t="n"/>
      <c r="F635" s="50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2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50" t="n"/>
      <c r="C636" s="4" t="n"/>
      <c r="D636" s="4" t="n"/>
      <c r="E636" s="51" t="n"/>
      <c r="F636" s="50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2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50" t="n"/>
      <c r="C637" s="4" t="n"/>
      <c r="D637" s="4" t="n"/>
      <c r="E637" s="51" t="n"/>
      <c r="F637" s="50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2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50" t="n"/>
      <c r="C638" s="4" t="n"/>
      <c r="D638" s="4" t="n"/>
      <c r="E638" s="51" t="n"/>
      <c r="F638" s="50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2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50" t="n"/>
      <c r="C639" s="4" t="n"/>
      <c r="D639" s="4" t="n"/>
      <c r="E639" s="51" t="n"/>
      <c r="F639" s="50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2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50" t="n"/>
      <c r="C640" s="4" t="n"/>
      <c r="D640" s="4" t="n"/>
      <c r="E640" s="51" t="n"/>
      <c r="F640" s="50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2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50" t="n"/>
      <c r="C641" s="4" t="n"/>
      <c r="D641" s="4" t="n"/>
      <c r="E641" s="51" t="n"/>
      <c r="F641" s="50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2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50" t="n"/>
      <c r="C642" s="4" t="n"/>
      <c r="D642" s="4" t="n"/>
      <c r="E642" s="51" t="n"/>
      <c r="F642" s="50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2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50" t="n"/>
      <c r="C643" s="4" t="n"/>
      <c r="D643" s="4" t="n"/>
      <c r="E643" s="51" t="n"/>
      <c r="F643" s="50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2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50" t="n"/>
      <c r="C644" s="4" t="n"/>
      <c r="D644" s="4" t="n"/>
      <c r="E644" s="51" t="n"/>
      <c r="F644" s="50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2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50" t="n"/>
      <c r="C645" s="4" t="n"/>
      <c r="D645" s="4" t="n"/>
      <c r="E645" s="51" t="n"/>
      <c r="F645" s="50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2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50" t="n"/>
      <c r="C646" s="4" t="n"/>
      <c r="D646" s="4" t="n"/>
      <c r="E646" s="51" t="n"/>
      <c r="F646" s="50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2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50" t="n"/>
      <c r="C647" s="4" t="n"/>
      <c r="D647" s="4" t="n"/>
      <c r="E647" s="51" t="n"/>
      <c r="F647" s="50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2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50" t="n"/>
      <c r="C648" s="4" t="n"/>
      <c r="D648" s="4" t="n"/>
      <c r="E648" s="51" t="n"/>
      <c r="F648" s="50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2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50" t="n"/>
      <c r="C649" s="4" t="n"/>
      <c r="D649" s="4" t="n"/>
      <c r="E649" s="51" t="n"/>
      <c r="F649" s="50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2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50" t="n"/>
      <c r="C650" s="4" t="n"/>
      <c r="D650" s="4" t="n"/>
      <c r="E650" s="51" t="n"/>
      <c r="F650" s="50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2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50" t="n"/>
      <c r="C651" s="4" t="n"/>
      <c r="D651" s="4" t="n"/>
      <c r="E651" s="51" t="n"/>
      <c r="F651" s="50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2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50" t="n"/>
      <c r="C652" s="4" t="n"/>
      <c r="D652" s="4" t="n"/>
      <c r="E652" s="51" t="n"/>
      <c r="F652" s="50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2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50" t="n"/>
      <c r="C653" s="4" t="n"/>
      <c r="D653" s="4" t="n"/>
      <c r="E653" s="51" t="n"/>
      <c r="F653" s="50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2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50" t="n"/>
      <c r="C654" s="4" t="n"/>
      <c r="D654" s="4" t="n"/>
      <c r="E654" s="51" t="n"/>
      <c r="F654" s="50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2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50" t="n"/>
      <c r="C655" s="4" t="n"/>
      <c r="D655" s="4" t="n"/>
      <c r="E655" s="51" t="n"/>
      <c r="F655" s="50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2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50" t="n"/>
      <c r="C656" s="4" t="n"/>
      <c r="D656" s="4" t="n"/>
      <c r="E656" s="51" t="n"/>
      <c r="F656" s="50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2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50" t="n"/>
      <c r="C657" s="4" t="n"/>
      <c r="D657" s="4" t="n"/>
      <c r="E657" s="51" t="n"/>
      <c r="F657" s="50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2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50" t="n"/>
      <c r="C658" s="4" t="n"/>
      <c r="D658" s="4" t="n"/>
      <c r="E658" s="51" t="n"/>
      <c r="F658" s="50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2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50" t="n"/>
      <c r="C659" s="4" t="n"/>
      <c r="D659" s="4" t="n"/>
      <c r="E659" s="51" t="n"/>
      <c r="F659" s="50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2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50" t="n"/>
      <c r="C660" s="4" t="n"/>
      <c r="D660" s="4" t="n"/>
      <c r="E660" s="51" t="n"/>
      <c r="F660" s="50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2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50" t="n"/>
      <c r="C661" s="4" t="n"/>
      <c r="D661" s="4" t="n"/>
      <c r="E661" s="51" t="n"/>
      <c r="F661" s="50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2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50" t="n"/>
      <c r="C662" s="4" t="n"/>
      <c r="D662" s="4" t="n"/>
      <c r="E662" s="51" t="n"/>
      <c r="F662" s="50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2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50" t="n"/>
      <c r="C663" s="4" t="n"/>
      <c r="D663" s="4" t="n"/>
      <c r="E663" s="51" t="n"/>
      <c r="F663" s="50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2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50" t="n"/>
      <c r="C664" s="4" t="n"/>
      <c r="D664" s="4" t="n"/>
      <c r="E664" s="51" t="n"/>
      <c r="F664" s="50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2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50" t="n"/>
      <c r="C665" s="4" t="n"/>
      <c r="D665" s="4" t="n"/>
      <c r="E665" s="51" t="n"/>
      <c r="F665" s="50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2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50" t="n"/>
      <c r="C666" s="4" t="n"/>
      <c r="D666" s="4" t="n"/>
      <c r="E666" s="51" t="n"/>
      <c r="F666" s="50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2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50" t="n"/>
      <c r="C667" s="4" t="n"/>
      <c r="D667" s="4" t="n"/>
      <c r="E667" s="51" t="n"/>
      <c r="F667" s="50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2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50" t="n"/>
      <c r="C668" s="4" t="n"/>
      <c r="D668" s="4" t="n"/>
      <c r="E668" s="51" t="n"/>
      <c r="F668" s="50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2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50" t="n"/>
      <c r="C669" s="4" t="n"/>
      <c r="D669" s="4" t="n"/>
      <c r="E669" s="51" t="n"/>
      <c r="F669" s="50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2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50" t="n"/>
      <c r="C670" s="4" t="n"/>
      <c r="D670" s="4" t="n"/>
      <c r="E670" s="51" t="n"/>
      <c r="F670" s="50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2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50" t="n"/>
      <c r="C671" s="4" t="n"/>
      <c r="D671" s="4" t="n"/>
      <c r="E671" s="51" t="n"/>
      <c r="F671" s="50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2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50" t="n"/>
      <c r="C672" s="4" t="n"/>
      <c r="D672" s="4" t="n"/>
      <c r="E672" s="51" t="n"/>
      <c r="F672" s="50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2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50" t="n"/>
      <c r="C673" s="4" t="n"/>
      <c r="D673" s="4" t="n"/>
      <c r="E673" s="51" t="n"/>
      <c r="F673" s="50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2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50" t="n"/>
      <c r="C674" s="4" t="n"/>
      <c r="D674" s="4" t="n"/>
      <c r="E674" s="51" t="n"/>
      <c r="F674" s="50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2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50" t="n"/>
      <c r="C675" s="4" t="n"/>
      <c r="D675" s="4" t="n"/>
      <c r="E675" s="51" t="n"/>
      <c r="F675" s="50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2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50" t="n"/>
      <c r="C676" s="4" t="n"/>
      <c r="D676" s="4" t="n"/>
      <c r="E676" s="51" t="n"/>
      <c r="F676" s="50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2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50" t="n"/>
      <c r="C677" s="4" t="n"/>
      <c r="D677" s="4" t="n"/>
      <c r="E677" s="51" t="n"/>
      <c r="F677" s="50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2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50" t="n"/>
      <c r="C678" s="4" t="n"/>
      <c r="D678" s="4" t="n"/>
      <c r="E678" s="51" t="n"/>
      <c r="F678" s="50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2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50" t="n"/>
      <c r="C679" s="4" t="n"/>
      <c r="D679" s="4" t="n"/>
      <c r="E679" s="51" t="n"/>
      <c r="F679" s="50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2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50" t="n"/>
      <c r="C680" s="4" t="n"/>
      <c r="D680" s="4" t="n"/>
      <c r="E680" s="51" t="n"/>
      <c r="F680" s="50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2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50" t="n"/>
      <c r="C681" s="4" t="n"/>
      <c r="D681" s="4" t="n"/>
      <c r="E681" s="51" t="n"/>
      <c r="F681" s="50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2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50" t="n"/>
      <c r="C682" s="4" t="n"/>
      <c r="D682" s="4" t="n"/>
      <c r="E682" s="51" t="n"/>
      <c r="F682" s="50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2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50" t="n"/>
      <c r="C683" s="4" t="n"/>
      <c r="D683" s="4" t="n"/>
      <c r="E683" s="51" t="n"/>
      <c r="F683" s="50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2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50" t="n"/>
      <c r="C684" s="4" t="n"/>
      <c r="D684" s="4" t="n"/>
      <c r="E684" s="51" t="n"/>
      <c r="F684" s="50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2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50" t="n"/>
      <c r="C685" s="4" t="n"/>
      <c r="D685" s="4" t="n"/>
      <c r="E685" s="51" t="n"/>
      <c r="F685" s="50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2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50" t="n"/>
      <c r="C686" s="4" t="n"/>
      <c r="D686" s="4" t="n"/>
      <c r="E686" s="51" t="n"/>
      <c r="F686" s="50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2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50" t="n"/>
      <c r="C687" s="4" t="n"/>
      <c r="D687" s="4" t="n"/>
      <c r="E687" s="51" t="n"/>
      <c r="F687" s="50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2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50" t="n"/>
      <c r="C688" s="4" t="n"/>
      <c r="D688" s="4" t="n"/>
      <c r="E688" s="51" t="n"/>
      <c r="F688" s="50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2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50" t="n"/>
      <c r="C689" s="4" t="n"/>
      <c r="D689" s="4" t="n"/>
      <c r="E689" s="51" t="n"/>
      <c r="F689" s="50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2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50" t="n"/>
      <c r="C690" s="4" t="n"/>
      <c r="D690" s="4" t="n"/>
      <c r="E690" s="51" t="n"/>
      <c r="F690" s="50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2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50" t="n"/>
      <c r="C691" s="4" t="n"/>
      <c r="D691" s="4" t="n"/>
      <c r="E691" s="51" t="n"/>
      <c r="F691" s="50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2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50" t="n"/>
      <c r="C692" s="4" t="n"/>
      <c r="D692" s="4" t="n"/>
      <c r="E692" s="51" t="n"/>
      <c r="F692" s="50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2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50" t="n"/>
      <c r="C693" s="4" t="n"/>
      <c r="D693" s="4" t="n"/>
      <c r="E693" s="51" t="n"/>
      <c r="F693" s="50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2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50" t="n"/>
      <c r="C694" s="4" t="n"/>
      <c r="D694" s="4" t="n"/>
      <c r="E694" s="51" t="n"/>
      <c r="F694" s="50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2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50" t="n"/>
      <c r="C695" s="4" t="n"/>
      <c r="D695" s="4" t="n"/>
      <c r="E695" s="51" t="n"/>
      <c r="F695" s="50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2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50" t="n"/>
      <c r="C696" s="4" t="n"/>
      <c r="D696" s="4" t="n"/>
      <c r="E696" s="51" t="n"/>
      <c r="F696" s="50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2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50" t="n"/>
      <c r="C697" s="4" t="n"/>
      <c r="D697" s="4" t="n"/>
      <c r="E697" s="51" t="n"/>
      <c r="F697" s="50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2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50" t="n"/>
      <c r="C698" s="4" t="n"/>
      <c r="D698" s="4" t="n"/>
      <c r="E698" s="51" t="n"/>
      <c r="F698" s="50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2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50" t="n"/>
      <c r="C699" s="4" t="n"/>
      <c r="D699" s="4" t="n"/>
      <c r="E699" s="51" t="n"/>
      <c r="F699" s="50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2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50" t="n"/>
      <c r="C700" s="4" t="n"/>
      <c r="D700" s="4" t="n"/>
      <c r="E700" s="51" t="n"/>
      <c r="F700" s="50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2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50" t="n"/>
      <c r="C701" s="4" t="n"/>
      <c r="D701" s="4" t="n"/>
      <c r="E701" s="51" t="n"/>
      <c r="F701" s="50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2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50" t="n"/>
      <c r="C702" s="4" t="n"/>
      <c r="D702" s="4" t="n"/>
      <c r="E702" s="51" t="n"/>
      <c r="F702" s="50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2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50" t="n"/>
      <c r="C703" s="4" t="n"/>
      <c r="D703" s="4" t="n"/>
      <c r="E703" s="51" t="n"/>
      <c r="F703" s="50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2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50" t="n"/>
      <c r="C704" s="4" t="n"/>
      <c r="D704" s="4" t="n"/>
      <c r="E704" s="51" t="n"/>
      <c r="F704" s="50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2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50" t="n"/>
      <c r="C705" s="4" t="n"/>
      <c r="D705" s="4" t="n"/>
      <c r="E705" s="51" t="n"/>
      <c r="F705" s="50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2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50" t="n"/>
      <c r="C706" s="4" t="n"/>
      <c r="D706" s="4" t="n"/>
      <c r="E706" s="51" t="n"/>
      <c r="F706" s="50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2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50" t="n"/>
      <c r="C707" s="4" t="n"/>
      <c r="D707" s="4" t="n"/>
      <c r="E707" s="51" t="n"/>
      <c r="F707" s="50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2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50" t="n"/>
      <c r="C708" s="4" t="n"/>
      <c r="D708" s="4" t="n"/>
      <c r="E708" s="51" t="n"/>
      <c r="F708" s="50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2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50" t="n"/>
      <c r="C709" s="4" t="n"/>
      <c r="D709" s="4" t="n"/>
      <c r="E709" s="51" t="n"/>
      <c r="F709" s="50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2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50" t="n"/>
      <c r="C710" s="4" t="n"/>
      <c r="D710" s="4" t="n"/>
      <c r="E710" s="51" t="n"/>
      <c r="F710" s="50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2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50" t="n"/>
      <c r="C711" s="4" t="n"/>
      <c r="D711" s="4" t="n"/>
      <c r="E711" s="51" t="n"/>
      <c r="F711" s="50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2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50" t="n"/>
      <c r="C712" s="4" t="n"/>
      <c r="D712" s="4" t="n"/>
      <c r="E712" s="51" t="n"/>
      <c r="F712" s="50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2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50" t="n"/>
      <c r="C713" s="4" t="n"/>
      <c r="D713" s="4" t="n"/>
      <c r="E713" s="51" t="n"/>
      <c r="F713" s="50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2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50" t="n"/>
      <c r="C714" s="4" t="n"/>
      <c r="D714" s="4" t="n"/>
      <c r="E714" s="51" t="n"/>
      <c r="F714" s="50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2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50" t="n"/>
      <c r="C715" s="4" t="n"/>
      <c r="D715" s="4" t="n"/>
      <c r="E715" s="51" t="n"/>
      <c r="F715" s="50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2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50" t="n"/>
      <c r="C716" s="4" t="n"/>
      <c r="D716" s="4" t="n"/>
      <c r="E716" s="51" t="n"/>
      <c r="F716" s="50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2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50" t="n"/>
      <c r="C717" s="4" t="n"/>
      <c r="D717" s="4" t="n"/>
      <c r="E717" s="51" t="n"/>
      <c r="F717" s="50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2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50" t="n"/>
      <c r="C718" s="4" t="n"/>
      <c r="D718" s="4" t="n"/>
      <c r="E718" s="51" t="n"/>
      <c r="F718" s="50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2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50" t="n"/>
      <c r="C719" s="4" t="n"/>
      <c r="D719" s="4" t="n"/>
      <c r="E719" s="51" t="n"/>
      <c r="F719" s="50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2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50" t="n"/>
      <c r="C720" s="4" t="n"/>
      <c r="D720" s="4" t="n"/>
      <c r="E720" s="51" t="n"/>
      <c r="F720" s="50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2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50" t="n"/>
      <c r="C721" s="4" t="n"/>
      <c r="D721" s="4" t="n"/>
      <c r="E721" s="51" t="n"/>
      <c r="F721" s="50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2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50" t="n"/>
      <c r="C722" s="4" t="n"/>
      <c r="D722" s="4" t="n"/>
      <c r="E722" s="51" t="n"/>
      <c r="F722" s="50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2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50" t="n"/>
      <c r="C723" s="4" t="n"/>
      <c r="D723" s="4" t="n"/>
      <c r="E723" s="51" t="n"/>
      <c r="F723" s="50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2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50" t="n"/>
      <c r="C724" s="4" t="n"/>
      <c r="D724" s="4" t="n"/>
      <c r="E724" s="51" t="n"/>
      <c r="F724" s="50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2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50" t="n"/>
      <c r="C725" s="4" t="n"/>
      <c r="D725" s="4" t="n"/>
      <c r="E725" s="51" t="n"/>
      <c r="F725" s="50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2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50" t="n"/>
      <c r="C726" s="4" t="n"/>
      <c r="D726" s="4" t="n"/>
      <c r="E726" s="51" t="n"/>
      <c r="F726" s="50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2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50" t="n"/>
      <c r="C727" s="4" t="n"/>
      <c r="D727" s="4" t="n"/>
      <c r="E727" s="51" t="n"/>
      <c r="F727" s="50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2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50" t="n"/>
      <c r="C728" s="4" t="n"/>
      <c r="D728" s="4" t="n"/>
      <c r="E728" s="51" t="n"/>
      <c r="F728" s="50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2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50" t="n"/>
      <c r="C729" s="4" t="n"/>
      <c r="D729" s="4" t="n"/>
      <c r="E729" s="51" t="n"/>
      <c r="F729" s="50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2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50" t="n"/>
      <c r="C730" s="4" t="n"/>
      <c r="D730" s="4" t="n"/>
      <c r="E730" s="51" t="n"/>
      <c r="F730" s="50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2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50" t="n"/>
      <c r="C731" s="4" t="n"/>
      <c r="D731" s="4" t="n"/>
      <c r="E731" s="51" t="n"/>
      <c r="F731" s="50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2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50" t="n"/>
      <c r="C732" s="4" t="n"/>
      <c r="D732" s="4" t="n"/>
      <c r="E732" s="51" t="n"/>
      <c r="F732" s="50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2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50" t="n"/>
      <c r="C733" s="4" t="n"/>
      <c r="D733" s="4" t="n"/>
      <c r="E733" s="51" t="n"/>
      <c r="F733" s="50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2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50" t="n"/>
      <c r="C734" s="4" t="n"/>
      <c r="D734" s="4" t="n"/>
      <c r="E734" s="51" t="n"/>
      <c r="F734" s="50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2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50" t="n"/>
      <c r="C735" s="4" t="n"/>
      <c r="D735" s="4" t="n"/>
      <c r="E735" s="51" t="n"/>
      <c r="F735" s="50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2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50" t="n"/>
      <c r="C736" s="4" t="n"/>
      <c r="D736" s="4" t="n"/>
      <c r="E736" s="51" t="n"/>
      <c r="F736" s="50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2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50" t="n"/>
      <c r="C737" s="4" t="n"/>
      <c r="D737" s="4" t="n"/>
      <c r="E737" s="51" t="n"/>
      <c r="F737" s="50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2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50" t="n"/>
      <c r="C738" s="4" t="n"/>
      <c r="D738" s="4" t="n"/>
      <c r="E738" s="51" t="n"/>
      <c r="F738" s="50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2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50" t="n"/>
      <c r="C739" s="4" t="n"/>
      <c r="D739" s="4" t="n"/>
      <c r="E739" s="51" t="n"/>
      <c r="F739" s="50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2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50" t="n"/>
      <c r="C740" s="4" t="n"/>
      <c r="D740" s="4" t="n"/>
      <c r="E740" s="51" t="n"/>
      <c r="F740" s="50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2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50" t="n"/>
      <c r="C741" s="4" t="n"/>
      <c r="D741" s="4" t="n"/>
      <c r="E741" s="51" t="n"/>
      <c r="F741" s="50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2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50" t="n"/>
      <c r="C742" s="4" t="n"/>
      <c r="D742" s="4" t="n"/>
      <c r="E742" s="51" t="n"/>
      <c r="F742" s="50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2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50" t="n"/>
      <c r="C743" s="4" t="n"/>
      <c r="D743" s="4" t="n"/>
      <c r="E743" s="51" t="n"/>
      <c r="F743" s="50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2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50" t="n"/>
      <c r="C744" s="4" t="n"/>
      <c r="D744" s="4" t="n"/>
      <c r="E744" s="51" t="n"/>
      <c r="F744" s="50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2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50" t="n"/>
      <c r="C745" s="4" t="n"/>
      <c r="D745" s="4" t="n"/>
      <c r="E745" s="51" t="n"/>
      <c r="F745" s="50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2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50" t="n"/>
      <c r="C746" s="4" t="n"/>
      <c r="D746" s="4" t="n"/>
      <c r="E746" s="51" t="n"/>
      <c r="F746" s="50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2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50" t="n"/>
      <c r="C747" s="4" t="n"/>
      <c r="D747" s="4" t="n"/>
      <c r="E747" s="51" t="n"/>
      <c r="F747" s="50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2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50" t="n"/>
      <c r="C748" s="4" t="n"/>
      <c r="D748" s="4" t="n"/>
      <c r="E748" s="51" t="n"/>
      <c r="F748" s="50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2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50" t="n"/>
      <c r="C749" s="4" t="n"/>
      <c r="D749" s="4" t="n"/>
      <c r="E749" s="51" t="n"/>
      <c r="F749" s="50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2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50" t="n"/>
      <c r="C750" s="4" t="n"/>
      <c r="D750" s="4" t="n"/>
      <c r="E750" s="51" t="n"/>
      <c r="F750" s="50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2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50" t="n"/>
      <c r="C751" s="4" t="n"/>
      <c r="D751" s="4" t="n"/>
      <c r="E751" s="51" t="n"/>
      <c r="F751" s="50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2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50" t="n"/>
      <c r="C752" s="4" t="n"/>
      <c r="D752" s="4" t="n"/>
      <c r="E752" s="51" t="n"/>
      <c r="F752" s="50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2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50" t="n"/>
      <c r="C753" s="4" t="n"/>
      <c r="D753" s="4" t="n"/>
      <c r="E753" s="51" t="n"/>
      <c r="F753" s="50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2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50" t="n"/>
      <c r="C754" s="4" t="n"/>
      <c r="D754" s="4" t="n"/>
      <c r="E754" s="51" t="n"/>
      <c r="F754" s="50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2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50" t="n"/>
      <c r="C755" s="4" t="n"/>
      <c r="D755" s="4" t="n"/>
      <c r="E755" s="51" t="n"/>
      <c r="F755" s="50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2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50" t="n"/>
      <c r="C756" s="4" t="n"/>
      <c r="D756" s="4" t="n"/>
      <c r="E756" s="51" t="n"/>
      <c r="F756" s="50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2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50" t="n"/>
      <c r="C757" s="4" t="n"/>
      <c r="D757" s="4" t="n"/>
      <c r="E757" s="51" t="n"/>
      <c r="F757" s="50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2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50" t="n"/>
      <c r="C758" s="4" t="n"/>
      <c r="D758" s="4" t="n"/>
      <c r="E758" s="51" t="n"/>
      <c r="F758" s="50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2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50" t="n"/>
      <c r="C759" s="4" t="n"/>
      <c r="D759" s="4" t="n"/>
      <c r="E759" s="51" t="n"/>
      <c r="F759" s="50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2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50" t="n"/>
      <c r="C760" s="4" t="n"/>
      <c r="D760" s="4" t="n"/>
      <c r="E760" s="51" t="n"/>
      <c r="F760" s="50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2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50" t="n"/>
      <c r="C761" s="4" t="n"/>
      <c r="D761" s="4" t="n"/>
      <c r="E761" s="51" t="n"/>
      <c r="F761" s="50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2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50" t="n"/>
      <c r="C762" s="4" t="n"/>
      <c r="D762" s="4" t="n"/>
      <c r="E762" s="51" t="n"/>
      <c r="F762" s="50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2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50" t="n"/>
      <c r="C763" s="4" t="n"/>
      <c r="D763" s="4" t="n"/>
      <c r="E763" s="51" t="n"/>
      <c r="F763" s="50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2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50" t="n"/>
      <c r="C764" s="4" t="n"/>
      <c r="D764" s="4" t="n"/>
      <c r="E764" s="51" t="n"/>
      <c r="F764" s="50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2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50" t="n"/>
      <c r="C765" s="4" t="n"/>
      <c r="D765" s="4" t="n"/>
      <c r="E765" s="51" t="n"/>
      <c r="F765" s="50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2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50" t="n"/>
      <c r="C766" s="4" t="n"/>
      <c r="D766" s="4" t="n"/>
      <c r="E766" s="51" t="n"/>
      <c r="F766" s="50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2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50" t="n"/>
      <c r="C767" s="4" t="n"/>
      <c r="D767" s="4" t="n"/>
      <c r="E767" s="51" t="n"/>
      <c r="F767" s="50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2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50" t="n"/>
      <c r="C768" s="4" t="n"/>
      <c r="D768" s="4" t="n"/>
      <c r="E768" s="51" t="n"/>
      <c r="F768" s="50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2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50" t="n"/>
      <c r="C769" s="4" t="n"/>
      <c r="D769" s="4" t="n"/>
      <c r="E769" s="51" t="n"/>
      <c r="F769" s="50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2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50" t="n"/>
      <c r="C770" s="4" t="n"/>
      <c r="D770" s="4" t="n"/>
      <c r="E770" s="51" t="n"/>
      <c r="F770" s="50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2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50" t="n"/>
      <c r="C771" s="4" t="n"/>
      <c r="D771" s="4" t="n"/>
      <c r="E771" s="51" t="n"/>
      <c r="F771" s="50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2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50" t="n"/>
      <c r="C772" s="4" t="n"/>
      <c r="D772" s="4" t="n"/>
      <c r="E772" s="51" t="n"/>
      <c r="F772" s="50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2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50" t="n"/>
      <c r="C773" s="4" t="n"/>
      <c r="D773" s="4" t="n"/>
      <c r="E773" s="51" t="n"/>
      <c r="F773" s="50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2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50" t="n"/>
      <c r="C774" s="4" t="n"/>
      <c r="D774" s="4" t="n"/>
      <c r="E774" s="51" t="n"/>
      <c r="F774" s="50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2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50" t="n"/>
      <c r="C775" s="4" t="n"/>
      <c r="D775" s="4" t="n"/>
      <c r="E775" s="51" t="n"/>
      <c r="F775" s="50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2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50" t="n"/>
      <c r="C776" s="4" t="n"/>
      <c r="D776" s="4" t="n"/>
      <c r="E776" s="51" t="n"/>
      <c r="F776" s="50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2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50" t="n"/>
      <c r="C777" s="4" t="n"/>
      <c r="D777" s="4" t="n"/>
      <c r="E777" s="51" t="n"/>
      <c r="F777" s="50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2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50" t="n"/>
      <c r="C778" s="4" t="n"/>
      <c r="D778" s="4" t="n"/>
      <c r="E778" s="51" t="n"/>
      <c r="F778" s="50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2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50" t="n"/>
      <c r="C779" s="4" t="n"/>
      <c r="D779" s="4" t="n"/>
      <c r="E779" s="51" t="n"/>
      <c r="F779" s="50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2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50" t="n"/>
      <c r="C780" s="4" t="n"/>
      <c r="D780" s="4" t="n"/>
      <c r="E780" s="51" t="n"/>
      <c r="F780" s="50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2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50" t="n"/>
      <c r="C781" s="4" t="n"/>
      <c r="D781" s="4" t="n"/>
      <c r="E781" s="51" t="n"/>
      <c r="F781" s="50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2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50" t="n"/>
      <c r="C782" s="4" t="n"/>
      <c r="D782" s="4" t="n"/>
      <c r="E782" s="51" t="n"/>
      <c r="F782" s="50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2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50" t="n"/>
      <c r="C783" s="4" t="n"/>
      <c r="D783" s="4" t="n"/>
      <c r="E783" s="51" t="n"/>
      <c r="F783" s="50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2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50" t="n"/>
      <c r="C784" s="4" t="n"/>
      <c r="D784" s="4" t="n"/>
      <c r="E784" s="51" t="n"/>
      <c r="F784" s="50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2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50" t="n"/>
      <c r="C785" s="4" t="n"/>
      <c r="D785" s="4" t="n"/>
      <c r="E785" s="51" t="n"/>
      <c r="F785" s="50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2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50" t="n"/>
      <c r="C786" s="4" t="n"/>
      <c r="D786" s="4" t="n"/>
      <c r="E786" s="51" t="n"/>
      <c r="F786" s="50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2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50" t="n"/>
      <c r="C787" s="4" t="n"/>
      <c r="D787" s="4" t="n"/>
      <c r="E787" s="51" t="n"/>
      <c r="F787" s="50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2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50" t="n"/>
      <c r="C788" s="4" t="n"/>
      <c r="D788" s="4" t="n"/>
      <c r="E788" s="51" t="n"/>
      <c r="F788" s="50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2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50" t="n"/>
      <c r="C789" s="4" t="n"/>
      <c r="D789" s="4" t="n"/>
      <c r="E789" s="51" t="n"/>
      <c r="F789" s="50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2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50" t="n"/>
      <c r="C790" s="4" t="n"/>
      <c r="D790" s="4" t="n"/>
      <c r="E790" s="51" t="n"/>
      <c r="F790" s="50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2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50" t="n"/>
      <c r="C791" s="4" t="n"/>
      <c r="D791" s="4" t="n"/>
      <c r="E791" s="51" t="n"/>
      <c r="F791" s="50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2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50" t="n"/>
      <c r="C792" s="4" t="n"/>
      <c r="D792" s="4" t="n"/>
      <c r="E792" s="51" t="n"/>
      <c r="F792" s="50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2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50" t="n"/>
      <c r="C793" s="4" t="n"/>
      <c r="D793" s="4" t="n"/>
      <c r="E793" s="51" t="n"/>
      <c r="F793" s="50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2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50" t="n"/>
      <c r="C794" s="4" t="n"/>
      <c r="D794" s="4" t="n"/>
      <c r="E794" s="51" t="n"/>
      <c r="F794" s="50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2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50" t="n"/>
      <c r="C795" s="4" t="n"/>
      <c r="D795" s="4" t="n"/>
      <c r="E795" s="51" t="n"/>
      <c r="F795" s="50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2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50" t="n"/>
      <c r="C796" s="4" t="n"/>
      <c r="D796" s="4" t="n"/>
      <c r="E796" s="51" t="n"/>
      <c r="F796" s="50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2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50" t="n"/>
      <c r="C797" s="4" t="n"/>
      <c r="D797" s="4" t="n"/>
      <c r="E797" s="51" t="n"/>
      <c r="F797" s="50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2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50" t="n"/>
      <c r="C798" s="4" t="n"/>
      <c r="D798" s="4" t="n"/>
      <c r="E798" s="51" t="n"/>
      <c r="F798" s="50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2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50" t="n"/>
      <c r="C799" s="4" t="n"/>
      <c r="D799" s="4" t="n"/>
      <c r="E799" s="51" t="n"/>
      <c r="F799" s="50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2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50" t="n"/>
      <c r="C800" s="4" t="n"/>
      <c r="D800" s="4" t="n"/>
      <c r="E800" s="51" t="n"/>
      <c r="F800" s="50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2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50" t="n"/>
      <c r="C801" s="4" t="n"/>
      <c r="D801" s="4" t="n"/>
      <c r="E801" s="51" t="n"/>
      <c r="F801" s="50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2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50" t="n"/>
      <c r="C802" s="4" t="n"/>
      <c r="D802" s="4" t="n"/>
      <c r="E802" s="51" t="n"/>
      <c r="F802" s="50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2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50" t="n"/>
      <c r="C803" s="4" t="n"/>
      <c r="D803" s="4" t="n"/>
      <c r="E803" s="51" t="n"/>
      <c r="F803" s="50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2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50" t="n"/>
      <c r="C804" s="4" t="n"/>
      <c r="D804" s="4" t="n"/>
      <c r="E804" s="51" t="n"/>
      <c r="F804" s="50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2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50" t="n"/>
      <c r="C805" s="4" t="n"/>
      <c r="D805" s="4" t="n"/>
      <c r="E805" s="51" t="n"/>
      <c r="F805" s="50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2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50" t="n"/>
      <c r="C806" s="4" t="n"/>
      <c r="D806" s="4" t="n"/>
      <c r="E806" s="51" t="n"/>
      <c r="F806" s="50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2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50" t="n"/>
      <c r="C807" s="4" t="n"/>
      <c r="D807" s="4" t="n"/>
      <c r="E807" s="51" t="n"/>
      <c r="F807" s="50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2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50" t="n"/>
      <c r="C808" s="4" t="n"/>
      <c r="D808" s="4" t="n"/>
      <c r="E808" s="51" t="n"/>
      <c r="F808" s="50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2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50" t="n"/>
      <c r="C809" s="4" t="n"/>
      <c r="D809" s="4" t="n"/>
      <c r="E809" s="51" t="n"/>
      <c r="F809" s="50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2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50" t="n"/>
      <c r="C810" s="4" t="n"/>
      <c r="D810" s="4" t="n"/>
      <c r="E810" s="51" t="n"/>
      <c r="F810" s="50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2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50" t="n"/>
      <c r="C811" s="4" t="n"/>
      <c r="D811" s="4" t="n"/>
      <c r="E811" s="51" t="n"/>
      <c r="F811" s="50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2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50" t="n"/>
      <c r="C812" s="4" t="n"/>
      <c r="D812" s="4" t="n"/>
      <c r="E812" s="51" t="n"/>
      <c r="F812" s="50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2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50" t="n"/>
      <c r="C813" s="4" t="n"/>
      <c r="D813" s="4" t="n"/>
      <c r="E813" s="51" t="n"/>
      <c r="F813" s="50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2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50" t="n"/>
      <c r="C814" s="4" t="n"/>
      <c r="D814" s="4" t="n"/>
      <c r="E814" s="51" t="n"/>
      <c r="F814" s="50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2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50" t="n"/>
      <c r="C815" s="4" t="n"/>
      <c r="D815" s="4" t="n"/>
      <c r="E815" s="51" t="n"/>
      <c r="F815" s="50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2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50" t="n"/>
      <c r="C816" s="4" t="n"/>
      <c r="D816" s="4" t="n"/>
      <c r="E816" s="51" t="n"/>
      <c r="F816" s="50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2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50" t="n"/>
      <c r="C817" s="4" t="n"/>
      <c r="D817" s="4" t="n"/>
      <c r="E817" s="51" t="n"/>
      <c r="F817" s="50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2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50" t="n"/>
      <c r="C818" s="4" t="n"/>
      <c r="D818" s="4" t="n"/>
      <c r="E818" s="51" t="n"/>
      <c r="F818" s="50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2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50" t="n"/>
      <c r="C819" s="4" t="n"/>
      <c r="D819" s="4" t="n"/>
      <c r="E819" s="51" t="n"/>
      <c r="F819" s="50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2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50" t="n"/>
      <c r="C820" s="4" t="n"/>
      <c r="D820" s="4" t="n"/>
      <c r="E820" s="51" t="n"/>
      <c r="F820" s="50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2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50" t="n"/>
      <c r="C821" s="4" t="n"/>
      <c r="D821" s="4" t="n"/>
      <c r="E821" s="51" t="n"/>
      <c r="F821" s="50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2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50" t="n"/>
      <c r="C822" s="4" t="n"/>
      <c r="D822" s="4" t="n"/>
      <c r="E822" s="51" t="n"/>
      <c r="F822" s="50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2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50" t="n"/>
      <c r="C823" s="4" t="n"/>
      <c r="D823" s="4" t="n"/>
      <c r="E823" s="51" t="n"/>
      <c r="F823" s="50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2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50" t="n"/>
      <c r="C824" s="4" t="n"/>
      <c r="D824" s="4" t="n"/>
      <c r="E824" s="51" t="n"/>
      <c r="F824" s="50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2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50" t="n"/>
      <c r="C825" s="4" t="n"/>
      <c r="D825" s="4" t="n"/>
      <c r="E825" s="51" t="n"/>
      <c r="F825" s="50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2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50" t="n"/>
      <c r="C826" s="4" t="n"/>
      <c r="D826" s="4" t="n"/>
      <c r="E826" s="51" t="n"/>
      <c r="F826" s="50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2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50" t="n"/>
      <c r="C827" s="4" t="n"/>
      <c r="D827" s="4" t="n"/>
      <c r="E827" s="51" t="n"/>
      <c r="F827" s="50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2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50" t="n"/>
      <c r="C828" s="4" t="n"/>
      <c r="D828" s="4" t="n"/>
      <c r="E828" s="51" t="n"/>
      <c r="F828" s="50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2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50" t="n"/>
      <c r="C829" s="4" t="n"/>
      <c r="D829" s="4" t="n"/>
      <c r="E829" s="51" t="n"/>
      <c r="F829" s="50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2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50" t="n"/>
      <c r="C830" s="4" t="n"/>
      <c r="D830" s="4" t="n"/>
      <c r="E830" s="51" t="n"/>
      <c r="F830" s="50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2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50" t="n"/>
      <c r="C831" s="4" t="n"/>
      <c r="D831" s="4" t="n"/>
      <c r="E831" s="51" t="n"/>
      <c r="F831" s="50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2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50" t="n"/>
      <c r="C832" s="4" t="n"/>
      <c r="D832" s="4" t="n"/>
      <c r="E832" s="51" t="n"/>
      <c r="F832" s="50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2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50" t="n"/>
      <c r="C833" s="4" t="n"/>
      <c r="D833" s="4" t="n"/>
      <c r="E833" s="51" t="n"/>
      <c r="F833" s="50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2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50" t="n"/>
      <c r="C834" s="4" t="n"/>
      <c r="D834" s="4" t="n"/>
      <c r="E834" s="51" t="n"/>
      <c r="F834" s="50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2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50" t="n"/>
      <c r="C835" s="4" t="n"/>
      <c r="D835" s="4" t="n"/>
      <c r="E835" s="51" t="n"/>
      <c r="F835" s="50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2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50" t="n"/>
      <c r="C836" s="4" t="n"/>
      <c r="D836" s="4" t="n"/>
      <c r="E836" s="51" t="n"/>
      <c r="F836" s="50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2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50" t="n"/>
      <c r="C837" s="4" t="n"/>
      <c r="D837" s="4" t="n"/>
      <c r="E837" s="51" t="n"/>
      <c r="F837" s="50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2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50" t="n"/>
      <c r="C838" s="4" t="n"/>
      <c r="D838" s="4" t="n"/>
      <c r="E838" s="51" t="n"/>
      <c r="F838" s="50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2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50" t="n"/>
      <c r="C839" s="4" t="n"/>
      <c r="D839" s="4" t="n"/>
      <c r="E839" s="51" t="n"/>
      <c r="F839" s="50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2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50" t="n"/>
      <c r="C840" s="4" t="n"/>
      <c r="D840" s="4" t="n"/>
      <c r="E840" s="51" t="n"/>
      <c r="F840" s="50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2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50" t="n"/>
      <c r="C841" s="4" t="n"/>
      <c r="D841" s="4" t="n"/>
      <c r="E841" s="51" t="n"/>
      <c r="F841" s="50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2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50" t="n"/>
      <c r="C842" s="4" t="n"/>
      <c r="D842" s="4" t="n"/>
      <c r="E842" s="51" t="n"/>
      <c r="F842" s="50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2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50" t="n"/>
      <c r="C843" s="4" t="n"/>
      <c r="D843" s="4" t="n"/>
      <c r="E843" s="51" t="n"/>
      <c r="F843" s="50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2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50" t="n"/>
      <c r="C844" s="4" t="n"/>
      <c r="D844" s="4" t="n"/>
      <c r="E844" s="51" t="n"/>
      <c r="F844" s="50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2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50" t="n"/>
      <c r="C845" s="4" t="n"/>
      <c r="D845" s="4" t="n"/>
      <c r="E845" s="51" t="n"/>
      <c r="F845" s="50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2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50" t="n"/>
      <c r="C846" s="4" t="n"/>
      <c r="D846" s="4" t="n"/>
      <c r="E846" s="51" t="n"/>
      <c r="F846" s="50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2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50" t="n"/>
      <c r="C847" s="4" t="n"/>
      <c r="D847" s="4" t="n"/>
      <c r="E847" s="51" t="n"/>
      <c r="F847" s="50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2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50" t="n"/>
      <c r="C848" s="4" t="n"/>
      <c r="D848" s="4" t="n"/>
      <c r="E848" s="51" t="n"/>
      <c r="F848" s="50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2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50" t="n"/>
      <c r="C849" s="4" t="n"/>
      <c r="D849" s="4" t="n"/>
      <c r="E849" s="51" t="n"/>
      <c r="F849" s="50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2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50" t="n"/>
      <c r="C850" s="4" t="n"/>
      <c r="D850" s="4" t="n"/>
      <c r="E850" s="51" t="n"/>
      <c r="F850" s="50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2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50" t="n"/>
      <c r="C851" s="4" t="n"/>
      <c r="D851" s="4" t="n"/>
      <c r="E851" s="51" t="n"/>
      <c r="F851" s="50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2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50" t="n"/>
      <c r="C852" s="4" t="n"/>
      <c r="D852" s="4" t="n"/>
      <c r="E852" s="51" t="n"/>
      <c r="F852" s="50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2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50" t="n"/>
      <c r="C853" s="4" t="n"/>
      <c r="D853" s="4" t="n"/>
      <c r="E853" s="51" t="n"/>
      <c r="F853" s="50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2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50" t="n"/>
      <c r="C854" s="4" t="n"/>
      <c r="D854" s="4" t="n"/>
      <c r="E854" s="51" t="n"/>
      <c r="F854" s="50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2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50" t="n"/>
      <c r="C855" s="4" t="n"/>
      <c r="D855" s="4" t="n"/>
      <c r="E855" s="51" t="n"/>
      <c r="F855" s="50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2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50" t="n"/>
      <c r="C856" s="4" t="n"/>
      <c r="D856" s="4" t="n"/>
      <c r="E856" s="51" t="n"/>
      <c r="F856" s="50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2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50" t="n"/>
      <c r="C857" s="4" t="n"/>
      <c r="D857" s="4" t="n"/>
      <c r="E857" s="51" t="n"/>
      <c r="F857" s="50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2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50" t="n"/>
      <c r="C858" s="4" t="n"/>
      <c r="D858" s="4" t="n"/>
      <c r="E858" s="51" t="n"/>
      <c r="F858" s="50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2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50" t="n"/>
      <c r="C859" s="4" t="n"/>
      <c r="D859" s="4" t="n"/>
      <c r="E859" s="51" t="n"/>
      <c r="F859" s="50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2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50" t="n"/>
      <c r="C860" s="4" t="n"/>
      <c r="D860" s="4" t="n"/>
      <c r="E860" s="51" t="n"/>
      <c r="F860" s="50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2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50" t="n"/>
      <c r="C861" s="4" t="n"/>
      <c r="D861" s="4" t="n"/>
      <c r="E861" s="51" t="n"/>
      <c r="F861" s="50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2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50" t="n"/>
      <c r="C862" s="4" t="n"/>
      <c r="D862" s="4" t="n"/>
      <c r="E862" s="51" t="n"/>
      <c r="F862" s="50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2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50" t="n"/>
      <c r="C863" s="4" t="n"/>
      <c r="D863" s="4" t="n"/>
      <c r="E863" s="51" t="n"/>
      <c r="F863" s="50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2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50" t="n"/>
      <c r="C864" s="4" t="n"/>
      <c r="D864" s="4" t="n"/>
      <c r="E864" s="51" t="n"/>
      <c r="F864" s="50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2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50" t="n"/>
      <c r="C865" s="4" t="n"/>
      <c r="D865" s="4" t="n"/>
      <c r="E865" s="51" t="n"/>
      <c r="F865" s="50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2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50" t="n"/>
      <c r="C866" s="4" t="n"/>
      <c r="D866" s="4" t="n"/>
      <c r="E866" s="51" t="n"/>
      <c r="F866" s="50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2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50" t="n"/>
      <c r="C867" s="4" t="n"/>
      <c r="D867" s="4" t="n"/>
      <c r="E867" s="51" t="n"/>
      <c r="F867" s="50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2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50" t="n"/>
      <c r="C868" s="4" t="n"/>
      <c r="D868" s="4" t="n"/>
      <c r="E868" s="51" t="n"/>
      <c r="F868" s="50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2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50" t="n"/>
      <c r="C869" s="4" t="n"/>
      <c r="D869" s="4" t="n"/>
      <c r="E869" s="51" t="n"/>
      <c r="F869" s="50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2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50" t="n"/>
      <c r="C870" s="4" t="n"/>
      <c r="D870" s="4" t="n"/>
      <c r="E870" s="51" t="n"/>
      <c r="F870" s="50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2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50" t="n"/>
      <c r="C871" s="4" t="n"/>
      <c r="D871" s="4" t="n"/>
      <c r="E871" s="51" t="n"/>
      <c r="F871" s="50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2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50" t="n"/>
      <c r="C872" s="4" t="n"/>
      <c r="D872" s="4" t="n"/>
      <c r="E872" s="51" t="n"/>
      <c r="F872" s="50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2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50" t="n"/>
      <c r="C873" s="4" t="n"/>
      <c r="D873" s="4" t="n"/>
      <c r="E873" s="51" t="n"/>
      <c r="F873" s="50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2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50" t="n"/>
      <c r="C874" s="4" t="n"/>
      <c r="D874" s="4" t="n"/>
      <c r="E874" s="51" t="n"/>
      <c r="F874" s="50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2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50" t="n"/>
      <c r="C875" s="4" t="n"/>
      <c r="D875" s="4" t="n"/>
      <c r="E875" s="51" t="n"/>
      <c r="F875" s="50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2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50" t="n"/>
      <c r="C876" s="4" t="n"/>
      <c r="D876" s="4" t="n"/>
      <c r="E876" s="51" t="n"/>
      <c r="F876" s="50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2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50" t="n"/>
      <c r="C877" s="4" t="n"/>
      <c r="D877" s="4" t="n"/>
      <c r="E877" s="51" t="n"/>
      <c r="F877" s="50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2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50" t="n"/>
      <c r="C878" s="4" t="n"/>
      <c r="D878" s="4" t="n"/>
      <c r="E878" s="51" t="n"/>
      <c r="F878" s="50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2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50" t="n"/>
      <c r="C879" s="4" t="n"/>
      <c r="D879" s="4" t="n"/>
      <c r="E879" s="51" t="n"/>
      <c r="F879" s="50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2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50" t="n"/>
      <c r="C880" s="4" t="n"/>
      <c r="D880" s="4" t="n"/>
      <c r="E880" s="51" t="n"/>
      <c r="F880" s="50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2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50" t="n"/>
      <c r="C881" s="4" t="n"/>
      <c r="D881" s="4" t="n"/>
      <c r="E881" s="51" t="n"/>
      <c r="F881" s="50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2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50" t="n"/>
      <c r="C882" s="4" t="n"/>
      <c r="D882" s="4" t="n"/>
      <c r="E882" s="51" t="n"/>
      <c r="F882" s="50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2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50" t="n"/>
      <c r="C883" s="4" t="n"/>
      <c r="D883" s="4" t="n"/>
      <c r="E883" s="51" t="n"/>
      <c r="F883" s="50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2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50" t="n"/>
      <c r="C884" s="4" t="n"/>
      <c r="D884" s="4" t="n"/>
      <c r="E884" s="51" t="n"/>
      <c r="F884" s="50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2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50" t="n"/>
      <c r="C885" s="4" t="n"/>
      <c r="D885" s="4" t="n"/>
      <c r="E885" s="51" t="n"/>
      <c r="F885" s="50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2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50" t="n"/>
      <c r="C886" s="4" t="n"/>
      <c r="D886" s="4" t="n"/>
      <c r="E886" s="51" t="n"/>
      <c r="F886" s="50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2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50" t="n"/>
      <c r="C887" s="4" t="n"/>
      <c r="D887" s="4" t="n"/>
      <c r="E887" s="51" t="n"/>
      <c r="F887" s="50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2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50" t="n"/>
      <c r="C888" s="4" t="n"/>
      <c r="D888" s="4" t="n"/>
      <c r="E888" s="51" t="n"/>
      <c r="F888" s="50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2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50" t="n"/>
      <c r="C889" s="4" t="n"/>
      <c r="D889" s="4" t="n"/>
      <c r="E889" s="51" t="n"/>
      <c r="F889" s="50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2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50" t="n"/>
      <c r="C890" s="4" t="n"/>
      <c r="D890" s="4" t="n"/>
      <c r="E890" s="51" t="n"/>
      <c r="F890" s="50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2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50" t="n"/>
      <c r="C891" s="4" t="n"/>
      <c r="D891" s="4" t="n"/>
      <c r="E891" s="51" t="n"/>
      <c r="F891" s="50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2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50" t="n"/>
      <c r="C892" s="4" t="n"/>
      <c r="D892" s="4" t="n"/>
      <c r="E892" s="51" t="n"/>
      <c r="F892" s="50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2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50" t="n"/>
      <c r="C893" s="4" t="n"/>
      <c r="D893" s="4" t="n"/>
      <c r="E893" s="51" t="n"/>
      <c r="F893" s="50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2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50" t="n"/>
      <c r="C894" s="4" t="n"/>
      <c r="D894" s="4" t="n"/>
      <c r="E894" s="51" t="n"/>
      <c r="F894" s="50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2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50" t="n"/>
      <c r="C895" s="4" t="n"/>
      <c r="D895" s="4" t="n"/>
      <c r="E895" s="51" t="n"/>
      <c r="F895" s="50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2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50" t="n"/>
      <c r="C896" s="4" t="n"/>
      <c r="D896" s="4" t="n"/>
      <c r="E896" s="51" t="n"/>
      <c r="F896" s="50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2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50" t="n"/>
      <c r="C897" s="4" t="n"/>
      <c r="D897" s="4" t="n"/>
      <c r="E897" s="51" t="n"/>
      <c r="F897" s="50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2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50" t="n"/>
      <c r="C898" s="4" t="n"/>
      <c r="D898" s="4" t="n"/>
      <c r="E898" s="51" t="n"/>
      <c r="F898" s="50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2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50" t="n"/>
      <c r="C899" s="4" t="n"/>
      <c r="D899" s="4" t="n"/>
      <c r="E899" s="51" t="n"/>
      <c r="F899" s="50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2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50" t="n"/>
      <c r="C900" s="4" t="n"/>
      <c r="D900" s="4" t="n"/>
      <c r="E900" s="51" t="n"/>
      <c r="F900" s="50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2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50" t="n"/>
      <c r="C901" s="4" t="n"/>
      <c r="D901" s="4" t="n"/>
      <c r="E901" s="51" t="n"/>
      <c r="F901" s="50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2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50" t="n"/>
      <c r="C902" s="4" t="n"/>
      <c r="D902" s="4" t="n"/>
      <c r="E902" s="51" t="n"/>
      <c r="F902" s="50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2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50" t="n"/>
      <c r="C903" s="4" t="n"/>
      <c r="D903" s="4" t="n"/>
      <c r="E903" s="51" t="n"/>
      <c r="F903" s="50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2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50" t="n"/>
      <c r="C904" s="4" t="n"/>
      <c r="D904" s="4" t="n"/>
      <c r="E904" s="51" t="n"/>
      <c r="F904" s="50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2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50" t="n"/>
      <c r="C905" s="4" t="n"/>
      <c r="D905" s="4" t="n"/>
      <c r="E905" s="51" t="n"/>
      <c r="F905" s="50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2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50" t="n"/>
      <c r="C906" s="4" t="n"/>
      <c r="D906" s="4" t="n"/>
      <c r="E906" s="51" t="n"/>
      <c r="F906" s="50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2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50" t="n"/>
      <c r="C907" s="4" t="n"/>
      <c r="D907" s="4" t="n"/>
      <c r="E907" s="51" t="n"/>
      <c r="F907" s="50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2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50" t="n"/>
      <c r="C908" s="4" t="n"/>
      <c r="D908" s="4" t="n"/>
      <c r="E908" s="51" t="n"/>
      <c r="F908" s="50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2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50" t="n"/>
      <c r="C909" s="4" t="n"/>
      <c r="D909" s="4" t="n"/>
      <c r="E909" s="51" t="n"/>
      <c r="F909" s="50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2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50" t="n"/>
      <c r="C910" s="4" t="n"/>
      <c r="D910" s="4" t="n"/>
      <c r="E910" s="51" t="n"/>
      <c r="F910" s="50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2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50" t="n"/>
      <c r="C911" s="4" t="n"/>
      <c r="D911" s="4" t="n"/>
      <c r="E911" s="51" t="n"/>
      <c r="F911" s="50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2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50" t="n"/>
      <c r="C912" s="4" t="n"/>
      <c r="D912" s="4" t="n"/>
      <c r="E912" s="51" t="n"/>
      <c r="F912" s="50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2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50" t="n"/>
      <c r="C913" s="4" t="n"/>
      <c r="D913" s="4" t="n"/>
      <c r="E913" s="51" t="n"/>
      <c r="F913" s="50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2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50" t="n"/>
      <c r="C914" s="4" t="n"/>
      <c r="D914" s="4" t="n"/>
      <c r="E914" s="51" t="n"/>
      <c r="F914" s="50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2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50" t="n"/>
      <c r="C915" s="4" t="n"/>
      <c r="D915" s="4" t="n"/>
      <c r="E915" s="51" t="n"/>
      <c r="F915" s="50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2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50" t="n"/>
      <c r="C916" s="4" t="n"/>
      <c r="D916" s="4" t="n"/>
      <c r="E916" s="51" t="n"/>
      <c r="F916" s="50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2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50" t="n"/>
      <c r="C917" s="4" t="n"/>
      <c r="D917" s="4" t="n"/>
      <c r="E917" s="51" t="n"/>
      <c r="F917" s="50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2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50" t="n"/>
      <c r="C918" s="4" t="n"/>
      <c r="D918" s="4" t="n"/>
      <c r="E918" s="51" t="n"/>
      <c r="F918" s="50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2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50" t="n"/>
      <c r="C919" s="4" t="n"/>
      <c r="D919" s="4" t="n"/>
      <c r="E919" s="51" t="n"/>
      <c r="F919" s="50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2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50" t="n"/>
      <c r="C920" s="4" t="n"/>
      <c r="D920" s="4" t="n"/>
      <c r="E920" s="51" t="n"/>
      <c r="F920" s="50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2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50" t="n"/>
      <c r="C921" s="4" t="n"/>
      <c r="D921" s="4" t="n"/>
      <c r="E921" s="51" t="n"/>
      <c r="F921" s="50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2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50" t="n"/>
      <c r="C922" s="4" t="n"/>
      <c r="D922" s="4" t="n"/>
      <c r="E922" s="51" t="n"/>
      <c r="F922" s="50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2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50" t="n"/>
      <c r="C923" s="4" t="n"/>
      <c r="D923" s="4" t="n"/>
      <c r="E923" s="51" t="n"/>
      <c r="F923" s="50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2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50" t="n"/>
      <c r="C924" s="4" t="n"/>
      <c r="D924" s="4" t="n"/>
      <c r="E924" s="51" t="n"/>
      <c r="F924" s="50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2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50" t="n"/>
      <c r="C925" s="4" t="n"/>
      <c r="D925" s="4" t="n"/>
      <c r="E925" s="51" t="n"/>
      <c r="F925" s="50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2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50" t="n"/>
      <c r="C926" s="4" t="n"/>
      <c r="D926" s="4" t="n"/>
      <c r="E926" s="51" t="n"/>
      <c r="F926" s="50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2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50" t="n"/>
      <c r="C927" s="4" t="n"/>
      <c r="D927" s="4" t="n"/>
      <c r="E927" s="51" t="n"/>
      <c r="F927" s="50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2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50" t="n"/>
      <c r="C928" s="4" t="n"/>
      <c r="D928" s="4" t="n"/>
      <c r="E928" s="51" t="n"/>
      <c r="F928" s="50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2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50" t="n"/>
      <c r="C929" s="4" t="n"/>
      <c r="D929" s="4" t="n"/>
      <c r="E929" s="51" t="n"/>
      <c r="F929" s="50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2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50" t="n"/>
      <c r="C930" s="4" t="n"/>
      <c r="D930" s="4" t="n"/>
      <c r="E930" s="51" t="n"/>
      <c r="F930" s="50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2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50" t="n"/>
      <c r="C931" s="4" t="n"/>
      <c r="D931" s="4" t="n"/>
      <c r="E931" s="51" t="n"/>
      <c r="F931" s="50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2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50" t="n"/>
      <c r="C932" s="4" t="n"/>
      <c r="D932" s="4" t="n"/>
      <c r="E932" s="51" t="n"/>
      <c r="F932" s="50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2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50" t="n"/>
      <c r="C933" s="4" t="n"/>
      <c r="D933" s="4" t="n"/>
      <c r="E933" s="51" t="n"/>
      <c r="F933" s="50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2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50" t="n"/>
      <c r="C934" s="4" t="n"/>
      <c r="D934" s="4" t="n"/>
      <c r="E934" s="51" t="n"/>
      <c r="F934" s="50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2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50" t="n"/>
      <c r="C935" s="4" t="n"/>
      <c r="D935" s="4" t="n"/>
      <c r="E935" s="51" t="n"/>
      <c r="F935" s="50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2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50" t="n"/>
      <c r="C936" s="4" t="n"/>
      <c r="D936" s="4" t="n"/>
      <c r="E936" s="51" t="n"/>
      <c r="F936" s="50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2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50" t="n"/>
      <c r="C937" s="4" t="n"/>
      <c r="D937" s="4" t="n"/>
      <c r="E937" s="51" t="n"/>
      <c r="F937" s="50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2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50" t="n"/>
      <c r="C938" s="4" t="n"/>
      <c r="D938" s="4" t="n"/>
      <c r="E938" s="51" t="n"/>
      <c r="F938" s="50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2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50" t="n"/>
      <c r="C939" s="4" t="n"/>
      <c r="D939" s="4" t="n"/>
      <c r="E939" s="51" t="n"/>
      <c r="F939" s="50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2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50" t="n"/>
      <c r="C940" s="4" t="n"/>
      <c r="D940" s="4" t="n"/>
      <c r="E940" s="51" t="n"/>
      <c r="F940" s="50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2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50" t="n"/>
      <c r="C941" s="4" t="n"/>
      <c r="D941" s="4" t="n"/>
      <c r="E941" s="51" t="n"/>
      <c r="F941" s="50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2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50" t="n"/>
      <c r="C942" s="4" t="n"/>
      <c r="D942" s="4" t="n"/>
      <c r="E942" s="51" t="n"/>
      <c r="F942" s="50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2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50" t="n"/>
      <c r="C943" s="4" t="n"/>
      <c r="D943" s="4" t="n"/>
      <c r="E943" s="51" t="n"/>
      <c r="F943" s="50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2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50" t="n"/>
      <c r="C944" s="4" t="n"/>
      <c r="D944" s="4" t="n"/>
      <c r="E944" s="51" t="n"/>
      <c r="F944" s="50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2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50" t="n"/>
      <c r="C945" s="4" t="n"/>
      <c r="D945" s="4" t="n"/>
      <c r="E945" s="51" t="n"/>
      <c r="F945" s="50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2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50" t="n"/>
      <c r="C946" s="4" t="n"/>
      <c r="D946" s="4" t="n"/>
      <c r="E946" s="51" t="n"/>
      <c r="F946" s="50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2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50" t="n"/>
      <c r="C947" s="4" t="n"/>
      <c r="D947" s="4" t="n"/>
      <c r="E947" s="51" t="n"/>
      <c r="F947" s="50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2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50" t="n"/>
      <c r="C948" s="4" t="n"/>
      <c r="D948" s="4" t="n"/>
      <c r="E948" s="51" t="n"/>
      <c r="F948" s="50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2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50" t="n"/>
      <c r="C949" s="4" t="n"/>
      <c r="D949" s="4" t="n"/>
      <c r="E949" s="51" t="n"/>
      <c r="F949" s="50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2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50" t="n"/>
      <c r="C950" s="4" t="n"/>
      <c r="D950" s="4" t="n"/>
      <c r="E950" s="51" t="n"/>
      <c r="F950" s="50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2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50" t="n"/>
      <c r="C951" s="4" t="n"/>
      <c r="D951" s="4" t="n"/>
      <c r="E951" s="51" t="n"/>
      <c r="F951" s="50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2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50" t="n"/>
      <c r="C952" s="4" t="n"/>
      <c r="D952" s="4" t="n"/>
      <c r="E952" s="51" t="n"/>
      <c r="F952" s="50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2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50" t="n"/>
      <c r="C953" s="4" t="n"/>
      <c r="D953" s="4" t="n"/>
      <c r="E953" s="51" t="n"/>
      <c r="F953" s="50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2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50" t="n"/>
      <c r="C954" s="4" t="n"/>
      <c r="D954" s="4" t="n"/>
      <c r="E954" s="51" t="n"/>
      <c r="F954" s="50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2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50" t="n"/>
      <c r="C955" s="4" t="n"/>
      <c r="D955" s="4" t="n"/>
      <c r="E955" s="51" t="n"/>
      <c r="F955" s="50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2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50" t="n"/>
      <c r="C956" s="4" t="n"/>
      <c r="D956" s="4" t="n"/>
      <c r="E956" s="51" t="n"/>
      <c r="F956" s="50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2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50" t="n"/>
      <c r="C957" s="4" t="n"/>
      <c r="D957" s="4" t="n"/>
      <c r="E957" s="51" t="n"/>
      <c r="F957" s="50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2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50" t="n"/>
      <c r="C958" s="4" t="n"/>
      <c r="D958" s="4" t="n"/>
      <c r="E958" s="51" t="n"/>
      <c r="F958" s="50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2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50" t="n"/>
      <c r="C959" s="4" t="n"/>
      <c r="D959" s="4" t="n"/>
      <c r="E959" s="51" t="n"/>
      <c r="F959" s="50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2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50" t="n"/>
      <c r="C960" s="4" t="n"/>
      <c r="D960" s="4" t="n"/>
      <c r="E960" s="51" t="n"/>
      <c r="F960" s="50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2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50" t="n"/>
      <c r="C961" s="4" t="n"/>
      <c r="D961" s="4" t="n"/>
      <c r="E961" s="51" t="n"/>
      <c r="F961" s="50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2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50" t="n"/>
      <c r="C962" s="4" t="n"/>
      <c r="D962" s="4" t="n"/>
      <c r="E962" s="51" t="n"/>
      <c r="F962" s="50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2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50" t="n"/>
      <c r="C963" s="4" t="n"/>
      <c r="D963" s="4" t="n"/>
      <c r="E963" s="51" t="n"/>
      <c r="F963" s="50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2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50" t="n"/>
      <c r="C964" s="4" t="n"/>
      <c r="D964" s="4" t="n"/>
      <c r="E964" s="51" t="n"/>
      <c r="F964" s="50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2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50" t="n"/>
      <c r="C965" s="4" t="n"/>
      <c r="D965" s="4" t="n"/>
      <c r="E965" s="51" t="n"/>
      <c r="F965" s="50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2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50" t="n"/>
      <c r="C966" s="4" t="n"/>
      <c r="D966" s="4" t="n"/>
      <c r="E966" s="51" t="n"/>
      <c r="F966" s="50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2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50" t="n"/>
      <c r="C967" s="4" t="n"/>
      <c r="D967" s="4" t="n"/>
      <c r="E967" s="51" t="n"/>
      <c r="F967" s="50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2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50" t="n"/>
      <c r="C968" s="4" t="n"/>
      <c r="D968" s="4" t="n"/>
      <c r="E968" s="51" t="n"/>
      <c r="F968" s="50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2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50" t="n"/>
      <c r="C969" s="4" t="n"/>
      <c r="D969" s="4" t="n"/>
      <c r="E969" s="51" t="n"/>
      <c r="F969" s="50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2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50" t="n"/>
      <c r="C970" s="4" t="n"/>
      <c r="D970" s="4" t="n"/>
      <c r="E970" s="51" t="n"/>
      <c r="F970" s="50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2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50" t="n"/>
      <c r="C971" s="4" t="n"/>
      <c r="D971" s="4" t="n"/>
      <c r="E971" s="51" t="n"/>
      <c r="F971" s="50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2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50" t="n"/>
      <c r="C972" s="4" t="n"/>
      <c r="D972" s="4" t="n"/>
      <c r="E972" s="51" t="n"/>
      <c r="F972" s="50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2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50" t="n"/>
      <c r="C973" s="4" t="n"/>
      <c r="D973" s="4" t="n"/>
      <c r="E973" s="51" t="n"/>
      <c r="F973" s="50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2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50" t="n"/>
      <c r="C974" s="4" t="n"/>
      <c r="D974" s="4" t="n"/>
      <c r="E974" s="51" t="n"/>
      <c r="F974" s="50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2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50" t="n"/>
      <c r="C975" s="4" t="n"/>
      <c r="D975" s="4" t="n"/>
      <c r="E975" s="51" t="n"/>
      <c r="F975" s="50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2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50" t="n"/>
      <c r="C976" s="4" t="n"/>
      <c r="D976" s="4" t="n"/>
      <c r="E976" s="51" t="n"/>
      <c r="F976" s="50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2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50" t="n"/>
      <c r="C977" s="4" t="n"/>
      <c r="D977" s="4" t="n"/>
      <c r="E977" s="51" t="n"/>
      <c r="F977" s="50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2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50" t="n"/>
      <c r="C978" s="4" t="n"/>
      <c r="D978" s="4" t="n"/>
      <c r="E978" s="51" t="n"/>
      <c r="F978" s="50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2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50" t="n"/>
      <c r="C979" s="4" t="n"/>
      <c r="D979" s="4" t="n"/>
      <c r="E979" s="51" t="n"/>
      <c r="F979" s="50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2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50" t="n"/>
      <c r="C980" s="4" t="n"/>
      <c r="D980" s="4" t="n"/>
      <c r="E980" s="51" t="n"/>
      <c r="F980" s="50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2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50" t="n"/>
      <c r="C981" s="4" t="n"/>
      <c r="D981" s="4" t="n"/>
      <c r="E981" s="51" t="n"/>
      <c r="F981" s="50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2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50" t="n"/>
      <c r="C982" s="4" t="n"/>
      <c r="D982" s="4" t="n"/>
      <c r="E982" s="51" t="n"/>
      <c r="F982" s="50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2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50" t="n"/>
      <c r="C983" s="4" t="n"/>
      <c r="D983" s="4" t="n"/>
      <c r="E983" s="51" t="n"/>
      <c r="F983" s="50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2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50" t="n"/>
      <c r="C984" s="4" t="n"/>
      <c r="D984" s="4" t="n"/>
      <c r="E984" s="51" t="n"/>
      <c r="F984" s="50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2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50" t="n"/>
      <c r="C985" s="4" t="n"/>
      <c r="D985" s="4" t="n"/>
      <c r="E985" s="51" t="n"/>
      <c r="F985" s="50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2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50" t="n"/>
      <c r="C986" s="4" t="n"/>
      <c r="D986" s="4" t="n"/>
      <c r="E986" s="51" t="n"/>
      <c r="F986" s="50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2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50" t="n"/>
      <c r="C987" s="4" t="n"/>
      <c r="D987" s="4" t="n"/>
      <c r="E987" s="51" t="n"/>
      <c r="F987" s="50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2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50" t="n"/>
      <c r="C988" s="4" t="n"/>
      <c r="D988" s="4" t="n"/>
      <c r="E988" s="51" t="n"/>
      <c r="F988" s="50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2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50" t="n"/>
      <c r="C989" s="4" t="n"/>
      <c r="D989" s="4" t="n"/>
      <c r="E989" s="51" t="n"/>
      <c r="F989" s="50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2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50" t="n"/>
      <c r="C990" s="4" t="n"/>
      <c r="D990" s="4" t="n"/>
      <c r="E990" s="51" t="n"/>
      <c r="F990" s="50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2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50" t="n"/>
      <c r="C991" s="4" t="n"/>
      <c r="D991" s="4" t="n"/>
      <c r="E991" s="51" t="n"/>
      <c r="F991" s="50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2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50" t="n"/>
      <c r="C992" s="4" t="n"/>
      <c r="D992" s="4" t="n"/>
      <c r="E992" s="51" t="n"/>
      <c r="F992" s="50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2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50" t="n"/>
      <c r="C993" s="4" t="n"/>
      <c r="D993" s="4" t="n"/>
      <c r="E993" s="51" t="n"/>
      <c r="F993" s="50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2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50" t="n"/>
      <c r="C994" s="4" t="n"/>
      <c r="D994" s="4" t="n"/>
      <c r="E994" s="51" t="n"/>
      <c r="F994" s="50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2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50" t="n"/>
      <c r="C995" s="4" t="n"/>
      <c r="D995" s="4" t="n"/>
      <c r="E995" s="51" t="n"/>
      <c r="F995" s="50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2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50" t="n"/>
      <c r="C996" s="4" t="n"/>
      <c r="D996" s="4" t="n"/>
      <c r="E996" s="51" t="n"/>
      <c r="F996" s="50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2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50" t="n"/>
      <c r="C997" s="4" t="n"/>
      <c r="D997" s="4" t="n"/>
      <c r="E997" s="51" t="n"/>
      <c r="F997" s="50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2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50" t="n"/>
      <c r="C998" s="4" t="n"/>
      <c r="D998" s="4" t="n"/>
      <c r="E998" s="51" t="n"/>
      <c r="F998" s="50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2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50" t="n"/>
      <c r="C999" s="4" t="n"/>
      <c r="D999" s="4" t="n"/>
      <c r="E999" s="51" t="n"/>
      <c r="F999" s="50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2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50" t="n"/>
      <c r="C1000" s="4" t="n"/>
      <c r="D1000" s="4" t="n"/>
      <c r="E1000" s="51" t="n"/>
      <c r="F1000" s="50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2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50" t="n"/>
      <c r="C1001" s="4" t="n"/>
      <c r="D1001" s="4" t="n"/>
      <c r="E1001" s="51" t="n"/>
      <c r="F1001" s="50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2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50" t="n"/>
      <c r="C1002" s="4" t="n"/>
      <c r="D1002" s="4" t="n"/>
      <c r="E1002" s="51" t="n"/>
      <c r="F1002" s="50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2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50" t="n"/>
      <c r="C1003" s="4" t="n"/>
      <c r="D1003" s="4" t="n"/>
      <c r="E1003" s="51" t="n"/>
      <c r="F1003" s="50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2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50" t="n"/>
      <c r="C1004" s="4" t="n"/>
      <c r="D1004" s="4" t="n"/>
      <c r="E1004" s="51" t="n"/>
      <c r="F1004" s="50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2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50" t="n"/>
      <c r="C1005" s="4" t="n"/>
      <c r="D1005" s="4" t="n"/>
      <c r="E1005" s="51" t="n"/>
      <c r="F1005" s="50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2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50" t="n"/>
      <c r="C1006" s="4" t="n"/>
      <c r="D1006" s="4" t="n"/>
      <c r="E1006" s="51" t="n"/>
      <c r="F1006" s="50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2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50" t="n"/>
      <c r="C1007" s="4" t="n"/>
      <c r="D1007" s="4" t="n"/>
      <c r="E1007" s="51" t="n"/>
      <c r="F1007" s="50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2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50" t="n"/>
      <c r="C1008" s="4" t="n"/>
      <c r="D1008" s="4" t="n"/>
      <c r="E1008" s="51" t="n"/>
      <c r="F1008" s="50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2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50" t="n"/>
      <c r="C1009" s="4" t="n"/>
      <c r="D1009" s="4" t="n"/>
      <c r="E1009" s="51" t="n"/>
      <c r="F1009" s="50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2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50" t="n"/>
      <c r="C1010" s="4" t="n"/>
      <c r="D1010" s="4" t="n"/>
      <c r="E1010" s="51" t="n"/>
      <c r="F1010" s="50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2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50" t="n"/>
      <c r="C1011" s="4" t="n"/>
      <c r="D1011" s="4" t="n"/>
      <c r="E1011" s="51" t="n"/>
      <c r="F1011" s="50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2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50" t="n"/>
      <c r="C1012" s="4" t="n"/>
      <c r="D1012" s="4" t="n"/>
      <c r="E1012" s="51" t="n"/>
      <c r="F1012" s="50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2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50" t="n"/>
      <c r="C1013" s="4" t="n"/>
      <c r="D1013" s="4" t="n"/>
      <c r="E1013" s="51" t="n"/>
      <c r="F1013" s="50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2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50" t="n"/>
      <c r="C1014" s="4" t="n"/>
      <c r="D1014" s="4" t="n"/>
      <c r="E1014" s="51" t="n"/>
      <c r="F1014" s="50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2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50" t="n"/>
      <c r="C1015" s="4" t="n"/>
      <c r="D1015" s="4" t="n"/>
      <c r="E1015" s="51" t="n"/>
      <c r="F1015" s="50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2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50" t="n"/>
      <c r="C1016" s="4" t="n"/>
      <c r="D1016" s="4" t="n"/>
      <c r="E1016" s="51" t="n"/>
      <c r="F1016" s="50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2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50" t="n"/>
      <c r="C1017" s="4" t="n"/>
      <c r="D1017" s="4" t="n"/>
      <c r="E1017" s="51" t="n"/>
      <c r="F1017" s="50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2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50" t="n"/>
      <c r="C1018" s="4" t="n"/>
      <c r="D1018" s="4" t="n"/>
      <c r="E1018" s="51" t="n"/>
      <c r="F1018" s="50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2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50" t="n"/>
      <c r="C1019" s="4" t="n"/>
      <c r="D1019" s="4" t="n"/>
      <c r="E1019" s="51" t="n"/>
      <c r="F1019" s="50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2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50" t="n"/>
      <c r="C1020" s="4" t="n"/>
      <c r="D1020" s="4" t="n"/>
      <c r="E1020" s="51" t="n"/>
      <c r="F1020" s="50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2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50" t="n"/>
      <c r="C1021" s="4" t="n"/>
      <c r="D1021" s="4" t="n"/>
      <c r="E1021" s="51" t="n"/>
      <c r="F1021" s="50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2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50" t="n"/>
      <c r="C1022" s="4" t="n"/>
      <c r="D1022" s="4" t="n"/>
      <c r="E1022" s="51" t="n"/>
      <c r="F1022" s="50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2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50" t="n"/>
      <c r="C1023" s="4" t="n"/>
      <c r="D1023" s="4" t="n"/>
      <c r="E1023" s="51" t="n"/>
      <c r="F1023" s="50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2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50" t="n"/>
      <c r="C1024" s="4" t="n"/>
      <c r="D1024" s="4" t="n"/>
      <c r="E1024" s="51" t="n"/>
      <c r="F1024" s="50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2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50" t="n"/>
      <c r="C1025" s="4" t="n"/>
      <c r="D1025" s="4" t="n"/>
      <c r="E1025" s="51" t="n"/>
      <c r="F1025" s="50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2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50" t="n"/>
      <c r="C1026" s="4" t="n"/>
      <c r="D1026" s="4" t="n"/>
      <c r="E1026" s="51" t="n"/>
      <c r="F1026" s="50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2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50" t="n"/>
      <c r="C1027" s="4" t="n"/>
      <c r="D1027" s="4" t="n"/>
      <c r="E1027" s="51" t="n"/>
      <c r="F1027" s="50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2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50" t="n"/>
      <c r="C1028" s="4" t="n"/>
      <c r="D1028" s="4" t="n"/>
      <c r="E1028" s="51" t="n"/>
      <c r="F1028" s="50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2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50" t="n"/>
      <c r="C1029" s="4" t="n"/>
      <c r="D1029" s="4" t="n"/>
      <c r="E1029" s="51" t="n"/>
      <c r="F1029" s="50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2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50" t="n"/>
      <c r="C1030" s="4" t="n"/>
      <c r="D1030" s="4" t="n"/>
      <c r="E1030" s="51" t="n"/>
      <c r="F1030" s="50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2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50" t="n"/>
      <c r="C1031" s="4" t="n"/>
      <c r="D1031" s="4" t="n"/>
      <c r="E1031" s="51" t="n"/>
      <c r="F1031" s="50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2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50" t="n"/>
      <c r="C1032" s="4" t="n"/>
      <c r="D1032" s="4" t="n"/>
      <c r="E1032" s="51" t="n"/>
      <c r="F1032" s="50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2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50" t="n"/>
      <c r="C1033" s="4" t="n"/>
      <c r="D1033" s="4" t="n"/>
      <c r="E1033" s="51" t="n"/>
      <c r="F1033" s="50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2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50" t="n"/>
      <c r="C1034" s="4" t="n"/>
      <c r="D1034" s="4" t="n"/>
      <c r="E1034" s="51" t="n"/>
      <c r="F1034" s="50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2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50" t="n"/>
      <c r="C1035" s="4" t="n"/>
      <c r="D1035" s="4" t="n"/>
      <c r="E1035" s="51" t="n"/>
      <c r="F1035" s="50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2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50" t="n"/>
      <c r="C1036" s="4" t="n"/>
      <c r="D1036" s="4" t="n"/>
      <c r="E1036" s="51" t="n"/>
      <c r="F1036" s="50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2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50" t="n"/>
      <c r="C1037" s="4" t="n"/>
      <c r="D1037" s="4" t="n"/>
      <c r="E1037" s="51" t="n"/>
      <c r="F1037" s="50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2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50" t="n"/>
      <c r="C1038" s="4" t="n"/>
      <c r="D1038" s="4" t="n"/>
      <c r="E1038" s="51" t="n"/>
      <c r="F1038" s="50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2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50" t="n"/>
      <c r="C1039" s="4" t="n"/>
      <c r="D1039" s="4" t="n"/>
      <c r="E1039" s="51" t="n"/>
      <c r="F1039" s="50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2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50" t="n"/>
      <c r="C1040" s="4" t="n"/>
      <c r="D1040" s="4" t="n"/>
      <c r="E1040" s="51" t="n"/>
      <c r="F1040" s="50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2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50" t="n"/>
      <c r="C1041" s="4" t="n"/>
      <c r="D1041" s="4" t="n"/>
      <c r="E1041" s="51" t="n"/>
      <c r="F1041" s="50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2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50" t="n"/>
      <c r="C1042" s="4" t="n"/>
      <c r="D1042" s="4" t="n"/>
      <c r="E1042" s="51" t="n"/>
      <c r="F1042" s="50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2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50" t="n"/>
      <c r="C1043" s="4" t="n"/>
      <c r="D1043" s="4" t="n"/>
      <c r="E1043" s="51" t="n"/>
      <c r="F1043" s="50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2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50" t="n"/>
      <c r="C1044" s="4" t="n"/>
      <c r="D1044" s="4" t="n"/>
      <c r="E1044" s="51" t="n"/>
      <c r="F1044" s="50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2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50" t="n"/>
      <c r="C1045" s="4" t="n"/>
      <c r="D1045" s="4" t="n"/>
      <c r="E1045" s="51" t="n"/>
      <c r="F1045" s="50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2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50" t="n"/>
      <c r="C1046" s="4" t="n"/>
      <c r="D1046" s="4" t="n"/>
      <c r="E1046" s="51" t="n"/>
      <c r="F1046" s="50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2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50" t="n"/>
      <c r="C1047" s="4" t="n"/>
      <c r="D1047" s="4" t="n"/>
      <c r="E1047" s="51" t="n"/>
      <c r="F1047" s="50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2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50" t="n"/>
      <c r="C1048" s="4" t="n"/>
      <c r="D1048" s="4" t="n"/>
      <c r="E1048" s="51" t="n"/>
      <c r="F1048" s="50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2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50" t="n"/>
      <c r="C1049" s="4" t="n"/>
      <c r="D1049" s="4" t="n"/>
      <c r="E1049" s="51" t="n"/>
      <c r="F1049" s="50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2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50" t="n"/>
      <c r="C1050" s="4" t="n"/>
      <c r="D1050" s="4" t="n"/>
      <c r="E1050" s="51" t="n"/>
      <c r="F1050" s="50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2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50" t="n"/>
      <c r="C1051" s="4" t="n"/>
      <c r="D1051" s="4" t="n"/>
      <c r="E1051" s="51" t="n"/>
      <c r="F1051" s="50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2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50" t="n"/>
      <c r="C1052" s="4" t="n"/>
      <c r="D1052" s="4" t="n"/>
      <c r="E1052" s="51" t="n"/>
      <c r="F1052" s="50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2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50" t="n"/>
      <c r="C1053" s="4" t="n"/>
      <c r="D1053" s="4" t="n"/>
      <c r="E1053" s="51" t="n"/>
      <c r="F1053" s="50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2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50" t="n"/>
      <c r="C1054" s="4" t="n"/>
      <c r="D1054" s="4" t="n"/>
      <c r="E1054" s="51" t="n"/>
      <c r="F1054" s="50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2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50" t="n"/>
      <c r="C1055" s="4" t="n"/>
      <c r="D1055" s="4" t="n"/>
      <c r="E1055" s="51" t="n"/>
      <c r="F1055" s="50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2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50" t="n"/>
      <c r="C1056" s="4" t="n"/>
      <c r="D1056" s="4" t="n"/>
      <c r="E1056" s="51" t="n"/>
      <c r="F1056" s="50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2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50" t="n"/>
      <c r="C1057" s="4" t="n"/>
      <c r="D1057" s="4" t="n"/>
      <c r="E1057" s="51" t="n"/>
      <c r="F1057" s="50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2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50" t="n"/>
      <c r="C1058" s="4" t="n"/>
      <c r="D1058" s="4" t="n"/>
      <c r="E1058" s="51" t="n"/>
      <c r="F1058" s="50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2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50" t="n"/>
      <c r="C1059" s="4" t="n"/>
      <c r="D1059" s="4" t="n"/>
      <c r="E1059" s="51" t="n"/>
      <c r="F1059" s="50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2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50" t="n"/>
      <c r="C1060" s="4" t="n"/>
      <c r="D1060" s="4" t="n"/>
      <c r="E1060" s="51" t="n"/>
      <c r="F1060" s="50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2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50" t="n"/>
      <c r="C1061" s="4" t="n"/>
      <c r="D1061" s="4" t="n"/>
      <c r="E1061" s="51" t="n"/>
      <c r="F1061" s="50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2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50" t="n"/>
      <c r="C1062" s="4" t="n"/>
      <c r="D1062" s="4" t="n"/>
      <c r="E1062" s="51" t="n"/>
      <c r="F1062" s="50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2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50" t="n"/>
      <c r="C1063" s="4" t="n"/>
      <c r="D1063" s="4" t="n"/>
      <c r="E1063" s="51" t="n"/>
      <c r="F1063" s="50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2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50" t="n"/>
      <c r="C1064" s="4" t="n"/>
      <c r="D1064" s="4" t="n"/>
      <c r="E1064" s="51" t="n"/>
      <c r="F1064" s="50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2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50" t="n"/>
      <c r="C1065" s="4" t="n"/>
      <c r="D1065" s="4" t="n"/>
      <c r="E1065" s="51" t="n"/>
      <c r="F1065" s="50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2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50" t="n"/>
      <c r="C1066" s="4" t="n"/>
      <c r="D1066" s="4" t="n"/>
      <c r="E1066" s="51" t="n"/>
      <c r="F1066" s="50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2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50" t="n"/>
      <c r="C1067" s="4" t="n"/>
      <c r="D1067" s="4" t="n"/>
      <c r="E1067" s="51" t="n"/>
      <c r="F1067" s="50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2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50" t="n"/>
      <c r="C1068" s="4" t="n"/>
      <c r="D1068" s="4" t="n"/>
      <c r="E1068" s="51" t="n"/>
      <c r="F1068" s="50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2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50" t="n"/>
      <c r="C1069" s="4" t="n"/>
      <c r="D1069" s="4" t="n"/>
      <c r="E1069" s="51" t="n"/>
      <c r="F1069" s="50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2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50" t="n"/>
      <c r="C1070" s="4" t="n"/>
      <c r="D1070" s="4" t="n"/>
      <c r="E1070" s="51" t="n"/>
      <c r="F1070" s="50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2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50" t="n"/>
      <c r="C1071" s="4" t="n"/>
      <c r="D1071" s="4" t="n"/>
      <c r="E1071" s="51" t="n"/>
      <c r="F1071" s="50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2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50" t="n"/>
      <c r="C1072" s="4" t="n"/>
      <c r="D1072" s="4" t="n"/>
      <c r="E1072" s="51" t="n"/>
      <c r="F1072" s="50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2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50" t="n"/>
      <c r="C1073" s="4" t="n"/>
      <c r="D1073" s="4" t="n"/>
      <c r="E1073" s="51" t="n"/>
      <c r="F1073" s="50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2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50" t="n"/>
      <c r="C1074" s="4" t="n"/>
      <c r="D1074" s="4" t="n"/>
      <c r="E1074" s="51" t="n"/>
      <c r="F1074" s="50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2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50" t="n"/>
      <c r="C1075" s="4" t="n"/>
      <c r="D1075" s="4" t="n"/>
      <c r="E1075" s="51" t="n"/>
      <c r="F1075" s="50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2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50" t="n"/>
      <c r="C1076" s="4" t="n"/>
      <c r="D1076" s="4" t="n"/>
      <c r="E1076" s="51" t="n"/>
      <c r="F1076" s="50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2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50" t="n"/>
      <c r="C1077" s="4" t="n"/>
      <c r="D1077" s="4" t="n"/>
      <c r="E1077" s="51" t="n"/>
      <c r="F1077" s="50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2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50" t="n"/>
      <c r="C1078" s="4" t="n"/>
      <c r="D1078" s="4" t="n"/>
      <c r="E1078" s="51" t="n"/>
      <c r="F1078" s="50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2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50" t="n"/>
      <c r="C1079" s="4" t="n"/>
      <c r="D1079" s="4" t="n"/>
      <c r="E1079" s="51" t="n"/>
      <c r="F1079" s="50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2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50" t="n"/>
      <c r="C1080" s="4" t="n"/>
      <c r="D1080" s="4" t="n"/>
      <c r="E1080" s="51" t="n"/>
      <c r="F1080" s="50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2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50" t="n"/>
      <c r="C1081" s="4" t="n"/>
      <c r="D1081" s="4" t="n"/>
      <c r="E1081" s="51" t="n"/>
      <c r="F1081" s="50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2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50" t="n"/>
      <c r="C1082" s="4" t="n"/>
      <c r="D1082" s="4" t="n"/>
      <c r="E1082" s="51" t="n"/>
      <c r="F1082" s="50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2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50" t="n"/>
      <c r="C1083" s="4" t="n"/>
      <c r="D1083" s="4" t="n"/>
      <c r="E1083" s="51" t="n"/>
      <c r="F1083" s="50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2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50" t="n"/>
      <c r="C1084" s="4" t="n"/>
      <c r="D1084" s="4" t="n"/>
      <c r="E1084" s="51" t="n"/>
      <c r="F1084" s="50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2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50" t="n"/>
      <c r="C1085" s="4" t="n"/>
      <c r="D1085" s="4" t="n"/>
      <c r="E1085" s="51" t="n"/>
      <c r="F1085" s="50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2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50" t="n"/>
      <c r="C1086" s="4" t="n"/>
      <c r="D1086" s="4" t="n"/>
      <c r="E1086" s="51" t="n"/>
      <c r="F1086" s="50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2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50" t="n"/>
      <c r="C1087" s="4" t="n"/>
      <c r="D1087" s="4" t="n"/>
      <c r="E1087" s="51" t="n"/>
      <c r="F1087" s="50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2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50" t="n"/>
      <c r="C1088" s="4" t="n"/>
      <c r="D1088" s="4" t="n"/>
      <c r="E1088" s="51" t="n"/>
      <c r="F1088" s="50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2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50" t="n"/>
      <c r="C1089" s="4" t="n"/>
      <c r="D1089" s="4" t="n"/>
      <c r="E1089" s="51" t="n"/>
      <c r="F1089" s="50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2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50" t="n"/>
      <c r="C1090" s="4" t="n"/>
      <c r="D1090" s="4" t="n"/>
      <c r="E1090" s="51" t="n"/>
      <c r="F1090" s="50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2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50" t="n"/>
      <c r="C1091" s="4" t="n"/>
      <c r="D1091" s="4" t="n"/>
      <c r="E1091" s="51" t="n"/>
      <c r="F1091" s="50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2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50" t="n"/>
      <c r="C1092" s="4" t="n"/>
      <c r="D1092" s="4" t="n"/>
      <c r="E1092" s="51" t="n"/>
      <c r="F1092" s="50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2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50" t="n"/>
      <c r="C1093" s="4" t="n"/>
      <c r="D1093" s="4" t="n"/>
      <c r="E1093" s="51" t="n"/>
      <c r="F1093" s="50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2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50" t="n"/>
      <c r="C1094" s="4" t="n"/>
      <c r="D1094" s="4" t="n"/>
      <c r="E1094" s="51" t="n"/>
      <c r="F1094" s="50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2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50" t="n"/>
      <c r="C1095" s="4" t="n"/>
      <c r="D1095" s="4" t="n"/>
      <c r="E1095" s="51" t="n"/>
      <c r="F1095" s="50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2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50" t="n"/>
      <c r="C1096" s="4" t="n"/>
      <c r="D1096" s="4" t="n"/>
      <c r="E1096" s="51" t="n"/>
      <c r="F1096" s="50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2" t="n"/>
      <c r="P1096" s="4" t="n"/>
      <c r="Q1096" s="4" t="n"/>
      <c r="R1096" s="4" t="n"/>
      <c r="S1096" s="4" t="n"/>
      <c r="T1096" s="4" t="n"/>
      <c r="U1096" s="4" t="n"/>
      <c r="V1096" s="4" t="n"/>
    </row>
    <row r="1097">
      <c r="A1097" s="4" t="n"/>
      <c r="B1097" s="50" t="n"/>
      <c r="C1097" s="4" t="n"/>
      <c r="D1097" s="4" t="n"/>
      <c r="E1097" s="51" t="n"/>
      <c r="F1097" s="50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52" t="n"/>
      <c r="P1097" s="4" t="n"/>
      <c r="Q1097" s="4" t="n"/>
      <c r="R1097" s="4" t="n"/>
      <c r="S1097" s="4" t="n"/>
      <c r="T1097" s="4" t="n"/>
      <c r="U1097" s="4" t="n"/>
      <c r="V1097" s="4" t="n"/>
    </row>
    <row r="1098">
      <c r="A1098" s="4" t="n"/>
      <c r="B1098" s="50" t="n"/>
      <c r="C1098" s="4" t="n"/>
      <c r="D1098" s="4" t="n"/>
      <c r="E1098" s="51" t="n"/>
      <c r="F1098" s="50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52" t="n"/>
      <c r="P1098" s="4" t="n"/>
      <c r="Q1098" s="4" t="n"/>
      <c r="R1098" s="4" t="n"/>
      <c r="S1098" s="4" t="n"/>
      <c r="T1098" s="4" t="n"/>
      <c r="U1098" s="4" t="n"/>
      <c r="V1098" s="4" t="n"/>
    </row>
    <row r="1099">
      <c r="A1099" s="4" t="n"/>
      <c r="B1099" s="50" t="n"/>
      <c r="C1099" s="4" t="n"/>
      <c r="D1099" s="4" t="n"/>
      <c r="E1099" s="51" t="n"/>
      <c r="F1099" s="50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52" t="n"/>
      <c r="P1099" s="4" t="n"/>
      <c r="Q1099" s="4" t="n"/>
      <c r="R1099" s="4" t="n"/>
      <c r="S1099" s="4" t="n"/>
      <c r="T1099" s="4" t="n"/>
      <c r="U1099" s="4" t="n"/>
      <c r="V1099" s="4" t="n"/>
    </row>
    <row r="1100">
      <c r="A1100" s="4" t="n"/>
      <c r="B1100" s="50" t="n"/>
      <c r="C1100" s="4" t="n"/>
      <c r="D1100" s="4" t="n"/>
      <c r="E1100" s="51" t="n"/>
      <c r="F1100" s="50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52" t="n"/>
      <c r="P1100" s="4" t="n"/>
      <c r="Q1100" s="4" t="n"/>
      <c r="R1100" s="4" t="n"/>
      <c r="S1100" s="4" t="n"/>
      <c r="T1100" s="4" t="n"/>
      <c r="U1100" s="4" t="n"/>
      <c r="V1100" s="4" t="n"/>
    </row>
    <row r="1101">
      <c r="A1101" s="4" t="n"/>
      <c r="B1101" s="50" t="n"/>
      <c r="C1101" s="4" t="n"/>
      <c r="D1101" s="4" t="n"/>
      <c r="E1101" s="51" t="n"/>
      <c r="F1101" s="50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52" t="n"/>
      <c r="P1101" s="4" t="n"/>
      <c r="Q1101" s="4" t="n"/>
      <c r="R1101" s="4" t="n"/>
      <c r="S1101" s="4" t="n"/>
      <c r="T1101" s="4" t="n"/>
      <c r="U1101" s="4" t="n"/>
      <c r="V1101" s="4" t="n"/>
    </row>
    <row r="1102">
      <c r="A1102" s="4" t="n"/>
      <c r="B1102" s="50" t="n"/>
      <c r="C1102" s="4" t="n"/>
      <c r="D1102" s="4" t="n"/>
      <c r="E1102" s="51" t="n"/>
      <c r="F1102" s="50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52" t="n"/>
      <c r="P1102" s="4" t="n"/>
      <c r="Q1102" s="4" t="n"/>
      <c r="R1102" s="4" t="n"/>
      <c r="S1102" s="4" t="n"/>
      <c r="T1102" s="4" t="n"/>
      <c r="U1102" s="4" t="n"/>
      <c r="V1102" s="4" t="n"/>
    </row>
    <row r="1103">
      <c r="A1103" s="4" t="n"/>
      <c r="B1103" s="50" t="n"/>
      <c r="C1103" s="4" t="n"/>
      <c r="D1103" s="4" t="n"/>
      <c r="E1103" s="51" t="n"/>
      <c r="F1103" s="50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52" t="n"/>
      <c r="P1103" s="4" t="n"/>
      <c r="Q1103" s="4" t="n"/>
      <c r="R1103" s="4" t="n"/>
      <c r="S1103" s="4" t="n"/>
      <c r="T1103" s="4" t="n"/>
      <c r="U1103" s="4" t="n"/>
      <c r="V1103" s="4" t="n"/>
    </row>
    <row r="1104">
      <c r="A1104" s="4" t="n"/>
      <c r="B1104" s="50" t="n"/>
      <c r="C1104" s="4" t="n"/>
      <c r="D1104" s="4" t="n"/>
      <c r="E1104" s="51" t="n"/>
      <c r="F1104" s="50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52" t="n"/>
      <c r="P1104" s="4" t="n"/>
      <c r="Q1104" s="4" t="n"/>
      <c r="R1104" s="4" t="n"/>
      <c r="S1104" s="4" t="n"/>
      <c r="T1104" s="4" t="n"/>
      <c r="U1104" s="4" t="n"/>
      <c r="V1104" s="4" t="n"/>
    </row>
    <row r="1105">
      <c r="A1105" s="4" t="n"/>
      <c r="B1105" s="50" t="n"/>
      <c r="C1105" s="4" t="n"/>
      <c r="D1105" s="4" t="n"/>
      <c r="E1105" s="51" t="n"/>
      <c r="F1105" s="50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52" t="n"/>
      <c r="P1105" s="4" t="n"/>
      <c r="Q1105" s="4" t="n"/>
      <c r="R1105" s="4" t="n"/>
      <c r="S1105" s="4" t="n"/>
      <c r="T1105" s="4" t="n"/>
      <c r="U1105" s="4" t="n"/>
      <c r="V1105" s="4" t="n"/>
    </row>
    <row r="1106">
      <c r="A1106" s="4" t="n"/>
      <c r="B1106" s="50" t="n"/>
      <c r="C1106" s="4" t="n"/>
      <c r="D1106" s="4" t="n"/>
      <c r="E1106" s="51" t="n"/>
      <c r="F1106" s="50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52" t="n"/>
      <c r="P1106" s="4" t="n"/>
      <c r="Q1106" s="4" t="n"/>
      <c r="R1106" s="4" t="n"/>
      <c r="S1106" s="4" t="n"/>
      <c r="T1106" s="4" t="n"/>
      <c r="U1106" s="4" t="n"/>
      <c r="V1106" s="4" t="n"/>
    </row>
    <row r="1107">
      <c r="A1107" s="4" t="n"/>
      <c r="B1107" s="50" t="n"/>
      <c r="C1107" s="4" t="n"/>
      <c r="D1107" s="4" t="n"/>
      <c r="E1107" s="51" t="n"/>
      <c r="F1107" s="50" t="n"/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52" t="n"/>
      <c r="P1107" s="4" t="n"/>
      <c r="Q1107" s="4" t="n"/>
      <c r="R1107" s="4" t="n"/>
      <c r="S1107" s="4" t="n"/>
      <c r="T1107" s="4" t="n"/>
      <c r="U1107" s="4" t="n"/>
      <c r="V1107" s="4" t="n"/>
    </row>
    <row r="1108">
      <c r="A1108" s="4" t="n"/>
      <c r="B1108" s="50" t="n"/>
      <c r="C1108" s="4" t="n"/>
      <c r="D1108" s="4" t="n"/>
      <c r="E1108" s="51" t="n"/>
      <c r="F1108" s="50" t="n"/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52" t="n"/>
      <c r="P1108" s="4" t="n"/>
      <c r="Q1108" s="4" t="n"/>
      <c r="R1108" s="4" t="n"/>
      <c r="S1108" s="4" t="n"/>
      <c r="T1108" s="4" t="n"/>
      <c r="U1108" s="4" t="n"/>
      <c r="V1108" s="4" t="n"/>
    </row>
    <row r="1109">
      <c r="A1109" s="4" t="n"/>
      <c r="B1109" s="50" t="n"/>
      <c r="C1109" s="4" t="n"/>
      <c r="D1109" s="4" t="n"/>
      <c r="E1109" s="51" t="n"/>
      <c r="F1109" s="50" t="n"/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52" t="n"/>
      <c r="P1109" s="4" t="n"/>
      <c r="Q1109" s="4" t="n"/>
      <c r="R1109" s="4" t="n"/>
      <c r="S1109" s="4" t="n"/>
      <c r="T1109" s="4" t="n"/>
      <c r="U1109" s="4" t="n"/>
      <c r="V1109" s="4" t="n"/>
    </row>
    <row r="1110">
      <c r="A1110" s="4" t="n"/>
      <c r="B1110" s="50" t="n"/>
      <c r="C1110" s="4" t="n"/>
      <c r="D1110" s="4" t="n"/>
      <c r="E1110" s="51" t="n"/>
      <c r="F1110" s="50" t="n"/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52" t="n"/>
      <c r="P1110" s="4" t="n"/>
      <c r="Q1110" s="4" t="n"/>
      <c r="R1110" s="4" t="n"/>
      <c r="S1110" s="4" t="n"/>
      <c r="T1110" s="4" t="n"/>
      <c r="U1110" s="4" t="n"/>
      <c r="V1110" s="4" t="n"/>
    </row>
    <row r="1111">
      <c r="A1111" s="4" t="n"/>
      <c r="B1111" s="50" t="n"/>
      <c r="C1111" s="4" t="n"/>
      <c r="D1111" s="4" t="n"/>
      <c r="E1111" s="51" t="n"/>
      <c r="F1111" s="50" t="n"/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52" t="n"/>
      <c r="P1111" s="4" t="n"/>
      <c r="Q1111" s="4" t="n"/>
      <c r="R1111" s="4" t="n"/>
      <c r="S1111" s="4" t="n"/>
      <c r="T1111" s="4" t="n"/>
      <c r="U1111" s="4" t="n"/>
      <c r="V1111" s="4" t="n"/>
    </row>
    <row r="1112">
      <c r="A1112" s="4" t="n"/>
      <c r="B1112" s="50" t="n"/>
      <c r="C1112" s="4" t="n"/>
      <c r="D1112" s="4" t="n"/>
      <c r="E1112" s="51" t="n"/>
      <c r="F1112" s="50" t="n"/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52" t="n"/>
      <c r="P1112" s="4" t="n"/>
      <c r="Q1112" s="4" t="n"/>
      <c r="R1112" s="4" t="n"/>
      <c r="S1112" s="4" t="n"/>
      <c r="T1112" s="4" t="n"/>
      <c r="U1112" s="4" t="n"/>
      <c r="V1112" s="4" t="n"/>
    </row>
    <row r="1113">
      <c r="A1113" s="4" t="n"/>
      <c r="B1113" s="50" t="n"/>
      <c r="C1113" s="4" t="n"/>
      <c r="D1113" s="4" t="n"/>
      <c r="E1113" s="51" t="n"/>
      <c r="F1113" s="50" t="n"/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52" t="n"/>
      <c r="P1113" s="4" t="n"/>
      <c r="Q1113" s="4" t="n"/>
      <c r="R1113" s="4" t="n"/>
      <c r="S1113" s="4" t="n"/>
      <c r="T1113" s="4" t="n"/>
      <c r="U1113" s="4" t="n"/>
      <c r="V1113" s="4" t="n"/>
    </row>
    <row r="1114">
      <c r="A1114" s="4" t="n"/>
      <c r="B1114" s="50" t="n"/>
      <c r="C1114" s="4" t="n"/>
      <c r="D1114" s="4" t="n"/>
      <c r="E1114" s="51" t="n"/>
      <c r="F1114" s="50" t="n"/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52" t="n"/>
      <c r="P1114" s="4" t="n"/>
      <c r="Q1114" s="4" t="n"/>
      <c r="R1114" s="4" t="n"/>
      <c r="S1114" s="4" t="n"/>
      <c r="T1114" s="4" t="n"/>
      <c r="U1114" s="4" t="n"/>
      <c r="V1114" s="4" t="n"/>
    </row>
    <row r="1115">
      <c r="A1115" s="4" t="n"/>
      <c r="B1115" s="50" t="n"/>
      <c r="C1115" s="4" t="n"/>
      <c r="D1115" s="4" t="n"/>
      <c r="E1115" s="51" t="n"/>
      <c r="F1115" s="50" t="n"/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52" t="n"/>
      <c r="P1115" s="4" t="n"/>
      <c r="Q1115" s="4" t="n"/>
      <c r="R1115" s="4" t="n"/>
      <c r="S1115" s="4" t="n"/>
      <c r="T1115" s="4" t="n"/>
      <c r="U1115" s="4" t="n"/>
      <c r="V1115" s="4" t="n"/>
    </row>
    <row r="1116">
      <c r="A1116" s="4" t="n"/>
      <c r="B1116" s="50" t="n"/>
      <c r="C1116" s="4" t="n"/>
      <c r="D1116" s="4" t="n"/>
      <c r="E1116" s="51" t="n"/>
      <c r="F1116" s="50" t="n"/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52" t="n"/>
      <c r="P1116" s="4" t="n"/>
      <c r="Q1116" s="4" t="n"/>
      <c r="R1116" s="4" t="n"/>
      <c r="S1116" s="4" t="n"/>
      <c r="T1116" s="4" t="n"/>
      <c r="U1116" s="4" t="n"/>
      <c r="V1116" s="4" t="n"/>
    </row>
    <row r="1117">
      <c r="A1117" s="4" t="n"/>
      <c r="B1117" s="50" t="n"/>
      <c r="C1117" s="4" t="n"/>
      <c r="D1117" s="4" t="n"/>
      <c r="E1117" s="51" t="n"/>
      <c r="F1117" s="50" t="n"/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52" t="n"/>
      <c r="P1117" s="4" t="n"/>
      <c r="Q1117" s="4" t="n"/>
      <c r="R1117" s="4" t="n"/>
      <c r="S1117" s="4" t="n"/>
      <c r="T1117" s="4" t="n"/>
      <c r="U1117" s="4" t="n"/>
      <c r="V1117" s="4" t="n"/>
    </row>
    <row r="1118">
      <c r="A1118" s="4" t="n"/>
      <c r="B1118" s="50" t="n"/>
      <c r="C1118" s="4" t="n"/>
      <c r="D1118" s="4" t="n"/>
      <c r="E1118" s="51" t="n"/>
      <c r="F1118" s="50" t="n"/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52" t="n"/>
      <c r="P1118" s="4" t="n"/>
      <c r="Q1118" s="4" t="n"/>
      <c r="R1118" s="4" t="n"/>
      <c r="S1118" s="4" t="n"/>
      <c r="T1118" s="4" t="n"/>
      <c r="U1118" s="4" t="n"/>
      <c r="V1118" s="4" t="n"/>
    </row>
    <row r="1119">
      <c r="A1119" s="4" t="n"/>
      <c r="B1119" s="50" t="n"/>
      <c r="C1119" s="4" t="n"/>
      <c r="D1119" s="4" t="n"/>
      <c r="E1119" s="51" t="n"/>
      <c r="F1119" s="50" t="n"/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52" t="n"/>
      <c r="P1119" s="4" t="n"/>
      <c r="Q1119" s="4" t="n"/>
      <c r="R1119" s="4" t="n"/>
      <c r="S1119" s="4" t="n"/>
      <c r="T1119" s="4" t="n"/>
      <c r="U1119" s="4" t="n"/>
      <c r="V1119" s="4" t="n"/>
    </row>
    <row r="1120">
      <c r="A1120" s="4" t="n"/>
      <c r="B1120" s="50" t="n"/>
      <c r="C1120" s="4" t="n"/>
      <c r="D1120" s="4" t="n"/>
      <c r="E1120" s="51" t="n"/>
      <c r="F1120" s="50" t="n"/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52" t="n"/>
      <c r="P1120" s="4" t="n"/>
      <c r="Q1120" s="4" t="n"/>
      <c r="R1120" s="4" t="n"/>
      <c r="S1120" s="4" t="n"/>
      <c r="T1120" s="4" t="n"/>
      <c r="U1120" s="4" t="n"/>
      <c r="V1120" s="4" t="n"/>
    </row>
    <row r="1121">
      <c r="A1121" s="4" t="n"/>
      <c r="B1121" s="50" t="n"/>
      <c r="C1121" s="4" t="n"/>
      <c r="D1121" s="4" t="n"/>
      <c r="E1121" s="51" t="n"/>
      <c r="F1121" s="50" t="n"/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52" t="n"/>
      <c r="P1121" s="4" t="n"/>
      <c r="Q1121" s="4" t="n"/>
      <c r="R1121" s="4" t="n"/>
      <c r="S1121" s="4" t="n"/>
      <c r="T1121" s="4" t="n"/>
      <c r="U1121" s="4" t="n"/>
      <c r="V1121" s="4" t="n"/>
    </row>
    <row r="1122">
      <c r="A1122" s="4" t="n"/>
      <c r="B1122" s="50" t="n"/>
      <c r="C1122" s="4" t="n"/>
      <c r="D1122" s="4" t="n"/>
      <c r="E1122" s="51" t="n"/>
      <c r="F1122" s="50" t="n"/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52" t="n"/>
      <c r="P1122" s="4" t="n"/>
      <c r="Q1122" s="4" t="n"/>
      <c r="R1122" s="4" t="n"/>
      <c r="S1122" s="4" t="n"/>
      <c r="T1122" s="4" t="n"/>
      <c r="U1122" s="4" t="n"/>
      <c r="V1122" s="4" t="n"/>
    </row>
    <row r="1123">
      <c r="A1123" s="4" t="n"/>
      <c r="B1123" s="50" t="n"/>
      <c r="C1123" s="4" t="n"/>
      <c r="D1123" s="4" t="n"/>
      <c r="E1123" s="51" t="n"/>
      <c r="F1123" s="50" t="n"/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52" t="n"/>
      <c r="P1123" s="4" t="n"/>
      <c r="Q1123" s="4" t="n"/>
      <c r="R1123" s="4" t="n"/>
      <c r="S1123" s="4" t="n"/>
      <c r="T1123" s="4" t="n"/>
      <c r="U1123" s="4" t="n"/>
      <c r="V1123" s="4" t="n"/>
    </row>
    <row r="1124">
      <c r="A1124" s="4" t="n"/>
      <c r="B1124" s="50" t="n"/>
      <c r="C1124" s="4" t="n"/>
      <c r="D1124" s="4" t="n"/>
      <c r="E1124" s="51" t="n"/>
      <c r="F1124" s="50" t="n"/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52" t="n"/>
      <c r="P1124" s="4" t="n"/>
      <c r="Q1124" s="4" t="n"/>
      <c r="R1124" s="4" t="n"/>
      <c r="S1124" s="4" t="n"/>
      <c r="T1124" s="4" t="n"/>
      <c r="U1124" s="4" t="n"/>
      <c r="V1124" s="4" t="n"/>
    </row>
    <row r="1125">
      <c r="A1125" s="4" t="n"/>
      <c r="B1125" s="50" t="n"/>
      <c r="C1125" s="4" t="n"/>
      <c r="D1125" s="4" t="n"/>
      <c r="E1125" s="51" t="n"/>
      <c r="F1125" s="50" t="n"/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52" t="n"/>
      <c r="P1125" s="4" t="n"/>
      <c r="Q1125" s="4" t="n"/>
      <c r="R1125" s="4" t="n"/>
      <c r="S1125" s="4" t="n"/>
      <c r="T1125" s="4" t="n"/>
      <c r="U1125" s="4" t="n"/>
      <c r="V1125" s="4" t="n"/>
    </row>
    <row r="1126">
      <c r="A1126" s="4" t="n"/>
      <c r="B1126" s="50" t="n"/>
      <c r="C1126" s="4" t="n"/>
      <c r="D1126" s="4" t="n"/>
      <c r="E1126" s="51" t="n"/>
      <c r="F1126" s="50" t="n"/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52" t="n"/>
      <c r="P1126" s="4" t="n"/>
      <c r="Q1126" s="4" t="n"/>
      <c r="R1126" s="4" t="n"/>
      <c r="S1126" s="4" t="n"/>
      <c r="T1126" s="4" t="n"/>
      <c r="U1126" s="4" t="n"/>
      <c r="V1126" s="4" t="n"/>
    </row>
    <row r="1127">
      <c r="A1127" s="4" t="n"/>
      <c r="B1127" s="50" t="n"/>
      <c r="C1127" s="4" t="n"/>
      <c r="D1127" s="4" t="n"/>
      <c r="E1127" s="51" t="n"/>
      <c r="F1127" s="50" t="n"/>
      <c r="G1127" s="4" t="n"/>
      <c r="H1127" s="4" t="n"/>
      <c r="I1127" s="4" t="n"/>
      <c r="J1127" s="4" t="n"/>
      <c r="K1127" s="4" t="n"/>
      <c r="L1127" s="4" t="n"/>
      <c r="M1127" s="4" t="n"/>
      <c r="N1127" s="4" t="n"/>
      <c r="O1127" s="52" t="n"/>
      <c r="P1127" s="4" t="n"/>
      <c r="Q1127" s="4" t="n"/>
      <c r="R1127" s="4" t="n"/>
      <c r="S1127" s="4" t="n"/>
      <c r="T1127" s="4" t="n"/>
      <c r="U1127" s="4" t="n"/>
      <c r="V1127" s="4" t="n"/>
    </row>
    <row r="1128">
      <c r="A1128" s="4" t="n"/>
      <c r="B1128" s="50" t="n"/>
      <c r="C1128" s="4" t="n"/>
      <c r="D1128" s="4" t="n"/>
      <c r="E1128" s="51" t="n"/>
      <c r="F1128" s="50" t="n"/>
      <c r="G1128" s="4" t="n"/>
      <c r="H1128" s="4" t="n"/>
      <c r="I1128" s="4" t="n"/>
      <c r="J1128" s="4" t="n"/>
      <c r="K1128" s="4" t="n"/>
      <c r="L1128" s="4" t="n"/>
      <c r="M1128" s="4" t="n"/>
      <c r="N1128" s="4" t="n"/>
      <c r="O1128" s="52" t="n"/>
      <c r="P1128" s="4" t="n"/>
      <c r="Q1128" s="4" t="n"/>
      <c r="R1128" s="4" t="n"/>
      <c r="S1128" s="4" t="n"/>
      <c r="T1128" s="4" t="n"/>
      <c r="U1128" s="4" t="n"/>
      <c r="V1128" s="4" t="n"/>
    </row>
    <row r="1129">
      <c r="A1129" s="4" t="n"/>
      <c r="B1129" s="50" t="n"/>
      <c r="C1129" s="4" t="n"/>
      <c r="D1129" s="4" t="n"/>
      <c r="E1129" s="51" t="n"/>
      <c r="F1129" s="50" t="n"/>
      <c r="G1129" s="4" t="n"/>
      <c r="H1129" s="4" t="n"/>
      <c r="I1129" s="4" t="n"/>
      <c r="J1129" s="4" t="n"/>
      <c r="K1129" s="4" t="n"/>
      <c r="L1129" s="4" t="n"/>
      <c r="M1129" s="4" t="n"/>
      <c r="N1129" s="4" t="n"/>
      <c r="O1129" s="52" t="n"/>
      <c r="P1129" s="4" t="n"/>
      <c r="Q1129" s="4" t="n"/>
      <c r="R1129" s="4" t="n"/>
      <c r="S1129" s="4" t="n"/>
      <c r="T1129" s="4" t="n"/>
      <c r="U1129" s="4" t="n"/>
      <c r="V1129" s="4" t="n"/>
    </row>
    <row r="1130">
      <c r="A1130" s="4" t="n"/>
      <c r="B1130" s="50" t="n"/>
      <c r="C1130" s="4" t="n"/>
      <c r="D1130" s="4" t="n"/>
      <c r="E1130" s="51" t="n"/>
      <c r="F1130" s="50" t="n"/>
      <c r="G1130" s="4" t="n"/>
      <c r="H1130" s="4" t="n"/>
      <c r="I1130" s="4" t="n"/>
      <c r="J1130" s="4" t="n"/>
      <c r="K1130" s="4" t="n"/>
      <c r="L1130" s="4" t="n"/>
      <c r="M1130" s="4" t="n"/>
      <c r="N1130" s="4" t="n"/>
      <c r="O1130" s="52" t="n"/>
      <c r="P1130" s="4" t="n"/>
      <c r="Q1130" s="4" t="n"/>
      <c r="R1130" s="4" t="n"/>
      <c r="S1130" s="4" t="n"/>
      <c r="T1130" s="4" t="n"/>
      <c r="U1130" s="4" t="n"/>
      <c r="V1130" s="4" t="n"/>
    </row>
    <row r="1131">
      <c r="A1131" s="4" t="n"/>
      <c r="B1131" s="50" t="n"/>
      <c r="C1131" s="4" t="n"/>
      <c r="D1131" s="4" t="n"/>
      <c r="E1131" s="51" t="n"/>
      <c r="F1131" s="50" t="n"/>
      <c r="G1131" s="4" t="n"/>
      <c r="H1131" s="4" t="n"/>
      <c r="I1131" s="4" t="n"/>
      <c r="J1131" s="4" t="n"/>
      <c r="K1131" s="4" t="n"/>
      <c r="L1131" s="4" t="n"/>
      <c r="M1131" s="4" t="n"/>
      <c r="N1131" s="4" t="n"/>
      <c r="O1131" s="52" t="n"/>
      <c r="P1131" s="4" t="n"/>
      <c r="Q1131" s="4" t="n"/>
      <c r="R1131" s="4" t="n"/>
      <c r="S1131" s="4" t="n"/>
      <c r="T1131" s="4" t="n"/>
      <c r="U1131" s="4" t="n"/>
      <c r="V1131" s="4" t="n"/>
    </row>
    <row r="1132">
      <c r="A1132" s="4" t="n"/>
      <c r="B1132" s="50" t="n"/>
      <c r="C1132" s="4" t="n"/>
      <c r="D1132" s="4" t="n"/>
      <c r="E1132" s="51" t="n"/>
      <c r="F1132" s="50" t="n"/>
      <c r="G1132" s="4" t="n"/>
      <c r="H1132" s="4" t="n"/>
      <c r="I1132" s="4" t="n"/>
      <c r="J1132" s="4" t="n"/>
      <c r="K1132" s="4" t="n"/>
      <c r="L1132" s="4" t="n"/>
      <c r="M1132" s="4" t="n"/>
      <c r="N1132" s="4" t="n"/>
      <c r="O1132" s="52" t="n"/>
      <c r="P1132" s="4" t="n"/>
      <c r="Q1132" s="4" t="n"/>
      <c r="R1132" s="4" t="n"/>
      <c r="S1132" s="4" t="n"/>
      <c r="T1132" s="4" t="n"/>
      <c r="U1132" s="4" t="n"/>
      <c r="V1132" s="4" t="n"/>
    </row>
    <row r="1133">
      <c r="A1133" s="4" t="n"/>
      <c r="B1133" s="50" t="n"/>
      <c r="C1133" s="4" t="n"/>
      <c r="D1133" s="4" t="n"/>
      <c r="E1133" s="51" t="n"/>
      <c r="F1133" s="50" t="n"/>
      <c r="G1133" s="4" t="n"/>
      <c r="H1133" s="4" t="n"/>
      <c r="I1133" s="4" t="n"/>
      <c r="J1133" s="4" t="n"/>
      <c r="K1133" s="4" t="n"/>
      <c r="L1133" s="4" t="n"/>
      <c r="M1133" s="4" t="n"/>
      <c r="N1133" s="4" t="n"/>
      <c r="O1133" s="52" t="n"/>
      <c r="P1133" s="4" t="n"/>
      <c r="Q1133" s="4" t="n"/>
      <c r="R1133" s="4" t="n"/>
      <c r="S1133" s="4" t="n"/>
      <c r="T1133" s="4" t="n"/>
      <c r="U1133" s="4" t="n"/>
      <c r="V1133" s="4" t="n"/>
    </row>
    <row r="1134">
      <c r="A1134" s="4" t="n"/>
      <c r="B1134" s="50" t="n"/>
      <c r="C1134" s="4" t="n"/>
      <c r="D1134" s="4" t="n"/>
      <c r="E1134" s="51" t="n"/>
      <c r="F1134" s="50" t="n"/>
      <c r="G1134" s="4" t="n"/>
      <c r="H1134" s="4" t="n"/>
      <c r="I1134" s="4" t="n"/>
      <c r="J1134" s="4" t="n"/>
      <c r="K1134" s="4" t="n"/>
      <c r="L1134" s="4" t="n"/>
      <c r="M1134" s="4" t="n"/>
      <c r="N1134" s="4" t="n"/>
      <c r="O1134" s="52" t="n"/>
      <c r="P1134" s="4" t="n"/>
      <c r="Q1134" s="4" t="n"/>
      <c r="R1134" s="4" t="n"/>
      <c r="S1134" s="4" t="n"/>
      <c r="T1134" s="4" t="n"/>
      <c r="U1134" s="4" t="n"/>
      <c r="V1134" s="4" t="n"/>
    </row>
    <row r="1135">
      <c r="A1135" s="4" t="n"/>
      <c r="B1135" s="50" t="n"/>
      <c r="C1135" s="4" t="n"/>
      <c r="D1135" s="4" t="n"/>
      <c r="E1135" s="51" t="n"/>
      <c r="F1135" s="50" t="n"/>
      <c r="G1135" s="4" t="n"/>
      <c r="H1135" s="4" t="n"/>
      <c r="I1135" s="4" t="n"/>
      <c r="J1135" s="4" t="n"/>
      <c r="K1135" s="4" t="n"/>
      <c r="L1135" s="4" t="n"/>
      <c r="M1135" s="4" t="n"/>
      <c r="N1135" s="4" t="n"/>
      <c r="O1135" s="52" t="n"/>
      <c r="P1135" s="4" t="n"/>
      <c r="Q1135" s="4" t="n"/>
      <c r="R1135" s="4" t="n"/>
      <c r="S1135" s="4" t="n"/>
      <c r="T1135" s="4" t="n"/>
      <c r="U1135" s="4" t="n"/>
      <c r="V1135" s="4" t="n"/>
    </row>
    <row r="1136">
      <c r="A1136" s="4" t="n"/>
      <c r="B1136" s="50" t="n"/>
      <c r="C1136" s="4" t="n"/>
      <c r="D1136" s="4" t="n"/>
      <c r="E1136" s="51" t="n"/>
      <c r="F1136" s="50" t="n"/>
      <c r="G1136" s="4" t="n"/>
      <c r="H1136" s="4" t="n"/>
      <c r="I1136" s="4" t="n"/>
      <c r="J1136" s="4" t="n"/>
      <c r="K1136" s="4" t="n"/>
      <c r="L1136" s="4" t="n"/>
      <c r="M1136" s="4" t="n"/>
      <c r="N1136" s="4" t="n"/>
      <c r="O1136" s="52" t="n"/>
      <c r="P1136" s="4" t="n"/>
      <c r="Q1136" s="4" t="n"/>
      <c r="R1136" s="4" t="n"/>
      <c r="S1136" s="4" t="n"/>
      <c r="T1136" s="4" t="n"/>
      <c r="U1136" s="4" t="n"/>
      <c r="V1136" s="4" t="n"/>
    </row>
    <row r="1137">
      <c r="A1137" s="4" t="n"/>
      <c r="B1137" s="50" t="n"/>
      <c r="C1137" s="4" t="n"/>
      <c r="D1137" s="4" t="n"/>
      <c r="E1137" s="51" t="n"/>
      <c r="F1137" s="50" t="n"/>
      <c r="G1137" s="4" t="n"/>
      <c r="H1137" s="4" t="n"/>
      <c r="I1137" s="4" t="n"/>
      <c r="J1137" s="4" t="n"/>
      <c r="K1137" s="4" t="n"/>
      <c r="L1137" s="4" t="n"/>
      <c r="M1137" s="4" t="n"/>
      <c r="N1137" s="4" t="n"/>
      <c r="O1137" s="52" t="n"/>
      <c r="P1137" s="4" t="n"/>
      <c r="Q1137" s="4" t="n"/>
      <c r="R1137" s="4" t="n"/>
      <c r="S1137" s="4" t="n"/>
      <c r="T1137" s="4" t="n"/>
      <c r="U1137" s="4" t="n"/>
      <c r="V1137" s="4" t="n"/>
    </row>
    <row r="1138">
      <c r="A1138" s="4" t="n"/>
      <c r="B1138" s="50" t="n"/>
      <c r="C1138" s="4" t="n"/>
      <c r="D1138" s="4" t="n"/>
      <c r="E1138" s="51" t="n"/>
      <c r="F1138" s="50" t="n"/>
      <c r="G1138" s="4" t="n"/>
      <c r="H1138" s="4" t="n"/>
      <c r="I1138" s="4" t="n"/>
      <c r="J1138" s="4" t="n"/>
      <c r="K1138" s="4" t="n"/>
      <c r="L1138" s="4" t="n"/>
      <c r="M1138" s="4" t="n"/>
      <c r="N1138" s="4" t="n"/>
      <c r="O1138" s="52" t="n"/>
      <c r="P1138" s="4" t="n"/>
      <c r="Q1138" s="4" t="n"/>
      <c r="R1138" s="4" t="n"/>
      <c r="S1138" s="4" t="n"/>
      <c r="T1138" s="4" t="n"/>
      <c r="U1138" s="4" t="n"/>
      <c r="V1138" s="4" t="n"/>
    </row>
    <row r="1139">
      <c r="A1139" s="4" t="n"/>
      <c r="B1139" s="50" t="n"/>
      <c r="C1139" s="4" t="n"/>
      <c r="D1139" s="4" t="n"/>
      <c r="E1139" s="51" t="n"/>
      <c r="F1139" s="50" t="n"/>
      <c r="G1139" s="4" t="n"/>
      <c r="H1139" s="4" t="n"/>
      <c r="I1139" s="4" t="n"/>
      <c r="J1139" s="4" t="n"/>
      <c r="K1139" s="4" t="n"/>
      <c r="L1139" s="4" t="n"/>
      <c r="M1139" s="4" t="n"/>
      <c r="N1139" s="4" t="n"/>
      <c r="O1139" s="52" t="n"/>
      <c r="P1139" s="4" t="n"/>
      <c r="Q1139" s="4" t="n"/>
      <c r="R1139" s="4" t="n"/>
      <c r="S1139" s="4" t="n"/>
      <c r="T1139" s="4" t="n"/>
      <c r="U1139" s="4" t="n"/>
      <c r="V1139" s="4" t="n"/>
    </row>
    <row r="1140">
      <c r="A1140" s="4" t="n"/>
      <c r="B1140" s="50" t="n"/>
      <c r="C1140" s="4" t="n"/>
      <c r="D1140" s="4" t="n"/>
      <c r="E1140" s="51" t="n"/>
      <c r="F1140" s="50" t="n"/>
      <c r="G1140" s="4" t="n"/>
      <c r="H1140" s="4" t="n"/>
      <c r="I1140" s="4" t="n"/>
      <c r="J1140" s="4" t="n"/>
      <c r="K1140" s="4" t="n"/>
      <c r="L1140" s="4" t="n"/>
      <c r="M1140" s="4" t="n"/>
      <c r="N1140" s="4" t="n"/>
      <c r="O1140" s="52" t="n"/>
      <c r="P1140" s="4" t="n"/>
      <c r="Q1140" s="4" t="n"/>
      <c r="R1140" s="4" t="n"/>
      <c r="S1140" s="4" t="n"/>
      <c r="T1140" s="4" t="n"/>
      <c r="U1140" s="4" t="n"/>
      <c r="V1140" s="4" t="n"/>
    </row>
    <row r="1141">
      <c r="A1141" s="4" t="n"/>
      <c r="B1141" s="50" t="n"/>
      <c r="C1141" s="4" t="n"/>
      <c r="D1141" s="4" t="n"/>
      <c r="E1141" s="51" t="n"/>
      <c r="F1141" s="50" t="n"/>
      <c r="G1141" s="4" t="n"/>
      <c r="H1141" s="4" t="n"/>
      <c r="I1141" s="4" t="n"/>
      <c r="J1141" s="4" t="n"/>
      <c r="K1141" s="4" t="n"/>
      <c r="L1141" s="4" t="n"/>
      <c r="M1141" s="4" t="n"/>
      <c r="N1141" s="4" t="n"/>
      <c r="O1141" s="52" t="n"/>
      <c r="P1141" s="4" t="n"/>
      <c r="Q1141" s="4" t="n"/>
      <c r="R1141" s="4" t="n"/>
      <c r="S1141" s="4" t="n"/>
      <c r="T1141" s="4" t="n"/>
      <c r="U1141" s="4" t="n"/>
      <c r="V1141" s="4" t="n"/>
    </row>
    <row r="1142">
      <c r="A1142" s="4" t="n"/>
      <c r="B1142" s="50" t="n"/>
      <c r="C1142" s="4" t="n"/>
      <c r="D1142" s="4" t="n"/>
      <c r="E1142" s="51" t="n"/>
      <c r="F1142" s="50" t="n"/>
      <c r="G1142" s="4" t="n"/>
      <c r="H1142" s="4" t="n"/>
      <c r="I1142" s="4" t="n"/>
      <c r="J1142" s="4" t="n"/>
      <c r="K1142" s="4" t="n"/>
      <c r="L1142" s="4" t="n"/>
      <c r="M1142" s="4" t="n"/>
      <c r="N1142" s="4" t="n"/>
      <c r="O1142" s="52" t="n"/>
      <c r="P1142" s="4" t="n"/>
      <c r="Q1142" s="4" t="n"/>
      <c r="R1142" s="4" t="n"/>
      <c r="S1142" s="4" t="n"/>
      <c r="T1142" s="4" t="n"/>
      <c r="U1142" s="4" t="n"/>
      <c r="V1142" s="4" t="n"/>
    </row>
    <row r="1143">
      <c r="A1143" s="4" t="n"/>
      <c r="B1143" s="50" t="n"/>
      <c r="C1143" s="4" t="n"/>
      <c r="D1143" s="4" t="n"/>
      <c r="E1143" s="51" t="n"/>
      <c r="F1143" s="50" t="n"/>
      <c r="G1143" s="4" t="n"/>
      <c r="H1143" s="4" t="n"/>
      <c r="I1143" s="4" t="n"/>
      <c r="J1143" s="4" t="n"/>
      <c r="K1143" s="4" t="n"/>
      <c r="L1143" s="4" t="n"/>
      <c r="M1143" s="4" t="n"/>
      <c r="N1143" s="4" t="n"/>
      <c r="O1143" s="52" t="n"/>
      <c r="P1143" s="4" t="n"/>
      <c r="Q1143" s="4" t="n"/>
      <c r="R1143" s="4" t="n"/>
      <c r="S1143" s="4" t="n"/>
      <c r="T1143" s="4" t="n"/>
      <c r="U1143" s="4" t="n"/>
      <c r="V1143" s="4" t="n"/>
    </row>
    <row r="1144">
      <c r="A1144" s="4" t="n"/>
      <c r="B1144" s="50" t="n"/>
      <c r="C1144" s="4" t="n"/>
      <c r="D1144" s="4" t="n"/>
      <c r="E1144" s="51" t="n"/>
      <c r="F1144" s="50" t="n"/>
      <c r="G1144" s="4" t="n"/>
      <c r="H1144" s="4" t="n"/>
      <c r="I1144" s="4" t="n"/>
      <c r="J1144" s="4" t="n"/>
      <c r="K1144" s="4" t="n"/>
      <c r="L1144" s="4" t="n"/>
      <c r="M1144" s="4" t="n"/>
      <c r="N1144" s="4" t="n"/>
      <c r="O1144" s="52" t="n"/>
      <c r="P1144" s="4" t="n"/>
      <c r="Q1144" s="4" t="n"/>
      <c r="R1144" s="4" t="n"/>
      <c r="S1144" s="4" t="n"/>
      <c r="T1144" s="4" t="n"/>
      <c r="U1144" s="4" t="n"/>
      <c r="V1144" s="4" t="n"/>
    </row>
    <row r="1145">
      <c r="A1145" s="4" t="n"/>
      <c r="B1145" s="50" t="n"/>
      <c r="C1145" s="4" t="n"/>
      <c r="D1145" s="4" t="n"/>
      <c r="E1145" s="51" t="n"/>
      <c r="F1145" s="50" t="n"/>
      <c r="G1145" s="4" t="n"/>
      <c r="H1145" s="4" t="n"/>
      <c r="I1145" s="4" t="n"/>
      <c r="J1145" s="4" t="n"/>
      <c r="K1145" s="4" t="n"/>
      <c r="L1145" s="4" t="n"/>
      <c r="M1145" s="4" t="n"/>
      <c r="N1145" s="4" t="n"/>
      <c r="O1145" s="52" t="n"/>
      <c r="P1145" s="4" t="n"/>
      <c r="Q1145" s="4" t="n"/>
      <c r="R1145" s="4" t="n"/>
      <c r="S1145" s="4" t="n"/>
      <c r="T1145" s="4" t="n"/>
      <c r="U1145" s="4" t="n"/>
      <c r="V1145" s="4" t="n"/>
    </row>
    <row r="1146">
      <c r="A1146" s="4" t="n"/>
      <c r="B1146" s="50" t="n"/>
      <c r="C1146" s="4" t="n"/>
      <c r="D1146" s="4" t="n"/>
      <c r="E1146" s="51" t="n"/>
      <c r="F1146" s="50" t="n"/>
      <c r="G1146" s="4" t="n"/>
      <c r="H1146" s="4" t="n"/>
      <c r="I1146" s="4" t="n"/>
      <c r="J1146" s="4" t="n"/>
      <c r="K1146" s="4" t="n"/>
      <c r="L1146" s="4" t="n"/>
      <c r="M1146" s="4" t="n"/>
      <c r="N1146" s="4" t="n"/>
      <c r="O1146" s="52" t="n"/>
      <c r="P1146" s="4" t="n"/>
      <c r="Q1146" s="4" t="n"/>
      <c r="R1146" s="4" t="n"/>
      <c r="S1146" s="4" t="n"/>
      <c r="T1146" s="4" t="n"/>
      <c r="U1146" s="4" t="n"/>
      <c r="V1146" s="4" t="n"/>
    </row>
    <row r="1147">
      <c r="A1147" s="4" t="n"/>
      <c r="B1147" s="50" t="n"/>
      <c r="C1147" s="4" t="n"/>
      <c r="D1147" s="4" t="n"/>
      <c r="E1147" s="51" t="n"/>
      <c r="F1147" s="50" t="n"/>
      <c r="G1147" s="4" t="n"/>
      <c r="H1147" s="4" t="n"/>
      <c r="I1147" s="4" t="n"/>
      <c r="J1147" s="4" t="n"/>
      <c r="K1147" s="4" t="n"/>
      <c r="L1147" s="4" t="n"/>
      <c r="M1147" s="4" t="n"/>
      <c r="N1147" s="4" t="n"/>
      <c r="O1147" s="52" t="n"/>
      <c r="P1147" s="4" t="n"/>
      <c r="Q1147" s="4" t="n"/>
      <c r="R1147" s="4" t="n"/>
      <c r="S1147" s="4" t="n"/>
      <c r="T1147" s="4" t="n"/>
      <c r="U1147" s="4" t="n"/>
      <c r="V1147" s="4" t="n"/>
    </row>
    <row r="1148">
      <c r="A1148" s="4" t="n"/>
      <c r="B1148" s="50" t="n"/>
      <c r="C1148" s="4" t="n"/>
      <c r="D1148" s="4" t="n"/>
      <c r="E1148" s="51" t="n"/>
      <c r="F1148" s="50" t="n"/>
      <c r="G1148" s="4" t="n"/>
      <c r="H1148" s="4" t="n"/>
      <c r="I1148" s="4" t="n"/>
      <c r="J1148" s="4" t="n"/>
      <c r="K1148" s="4" t="n"/>
      <c r="L1148" s="4" t="n"/>
      <c r="M1148" s="4" t="n"/>
      <c r="N1148" s="4" t="n"/>
      <c r="O1148" s="52" t="n"/>
      <c r="P1148" s="4" t="n"/>
      <c r="Q1148" s="4" t="n"/>
      <c r="R1148" s="4" t="n"/>
      <c r="S1148" s="4" t="n"/>
      <c r="T1148" s="4" t="n"/>
      <c r="U1148" s="4" t="n"/>
      <c r="V1148" s="4" t="n"/>
    </row>
    <row r="1149">
      <c r="A1149" s="4" t="n"/>
      <c r="B1149" s="50" t="n"/>
      <c r="C1149" s="4" t="n"/>
      <c r="D1149" s="4" t="n"/>
      <c r="E1149" s="51" t="n"/>
      <c r="F1149" s="50" t="n"/>
      <c r="G1149" s="4" t="n"/>
      <c r="H1149" s="4" t="n"/>
      <c r="I1149" s="4" t="n"/>
      <c r="J1149" s="4" t="n"/>
      <c r="K1149" s="4" t="n"/>
      <c r="L1149" s="4" t="n"/>
      <c r="M1149" s="4" t="n"/>
      <c r="N1149" s="4" t="n"/>
      <c r="O1149" s="52" t="n"/>
      <c r="P1149" s="4" t="n"/>
      <c r="Q1149" s="4" t="n"/>
      <c r="R1149" s="4" t="n"/>
      <c r="S1149" s="4" t="n"/>
      <c r="T1149" s="4" t="n"/>
      <c r="U1149" s="4" t="n"/>
      <c r="V1149" s="4" t="n"/>
    </row>
    <row r="1150">
      <c r="A1150" s="4" t="n"/>
      <c r="B1150" s="50" t="n"/>
      <c r="C1150" s="4" t="n"/>
      <c r="D1150" s="4" t="n"/>
      <c r="E1150" s="51" t="n"/>
      <c r="F1150" s="50" t="n"/>
      <c r="G1150" s="4" t="n"/>
      <c r="H1150" s="4" t="n"/>
      <c r="I1150" s="4" t="n"/>
      <c r="J1150" s="4" t="n"/>
      <c r="K1150" s="4" t="n"/>
      <c r="L1150" s="4" t="n"/>
      <c r="M1150" s="4" t="n"/>
      <c r="N1150" s="4" t="n"/>
      <c r="O1150" s="52" t="n"/>
      <c r="P1150" s="4" t="n"/>
      <c r="Q1150" s="4" t="n"/>
      <c r="R1150" s="4" t="n"/>
      <c r="S1150" s="4" t="n"/>
      <c r="T1150" s="4" t="n"/>
      <c r="U1150" s="4" t="n"/>
      <c r="V1150" s="4" t="n"/>
    </row>
    <row r="1151">
      <c r="A1151" s="4" t="n"/>
      <c r="B1151" s="50" t="n"/>
      <c r="C1151" s="4" t="n"/>
      <c r="D1151" s="4" t="n"/>
      <c r="E1151" s="51" t="n"/>
      <c r="F1151" s="50" t="n"/>
      <c r="G1151" s="4" t="n"/>
      <c r="H1151" s="4" t="n"/>
      <c r="I1151" s="4" t="n"/>
      <c r="J1151" s="4" t="n"/>
      <c r="K1151" s="4" t="n"/>
      <c r="L1151" s="4" t="n"/>
      <c r="M1151" s="4" t="n"/>
      <c r="N1151" s="4" t="n"/>
      <c r="O1151" s="52" t="n"/>
      <c r="P1151" s="4" t="n"/>
      <c r="Q1151" s="4" t="n"/>
      <c r="R1151" s="4" t="n"/>
      <c r="S1151" s="4" t="n"/>
      <c r="T1151" s="4" t="n"/>
      <c r="U1151" s="4" t="n"/>
      <c r="V1151" s="4" t="n"/>
    </row>
    <row r="1152">
      <c r="A1152" s="4" t="n"/>
      <c r="B1152" s="50" t="n"/>
      <c r="C1152" s="4" t="n"/>
      <c r="D1152" s="4" t="n"/>
      <c r="E1152" s="51" t="n"/>
      <c r="F1152" s="50" t="n"/>
      <c r="G1152" s="4" t="n"/>
      <c r="H1152" s="4" t="n"/>
      <c r="I1152" s="4" t="n"/>
      <c r="J1152" s="4" t="n"/>
      <c r="K1152" s="4" t="n"/>
      <c r="L1152" s="4" t="n"/>
      <c r="M1152" s="4" t="n"/>
      <c r="N1152" s="4" t="n"/>
      <c r="O1152" s="52" t="n"/>
      <c r="P1152" s="4" t="n"/>
      <c r="Q1152" s="4" t="n"/>
      <c r="R1152" s="4" t="n"/>
      <c r="S1152" s="4" t="n"/>
      <c r="T1152" s="4" t="n"/>
      <c r="U1152" s="4" t="n"/>
      <c r="V1152" s="4" t="n"/>
    </row>
    <row r="1153">
      <c r="A1153" s="4" t="n"/>
      <c r="B1153" s="50" t="n"/>
      <c r="C1153" s="4" t="n"/>
      <c r="D1153" s="4" t="n"/>
      <c r="E1153" s="51" t="n"/>
      <c r="F1153" s="50" t="n"/>
      <c r="G1153" s="4" t="n"/>
      <c r="H1153" s="4" t="n"/>
      <c r="I1153" s="4" t="n"/>
      <c r="J1153" s="4" t="n"/>
      <c r="K1153" s="4" t="n"/>
      <c r="L1153" s="4" t="n"/>
      <c r="M1153" s="4" t="n"/>
      <c r="N1153" s="4" t="n"/>
      <c r="O1153" s="52" t="n"/>
      <c r="P1153" s="4" t="n"/>
      <c r="Q1153" s="4" t="n"/>
      <c r="R1153" s="4" t="n"/>
      <c r="S1153" s="4" t="n"/>
      <c r="T1153" s="4" t="n"/>
      <c r="U1153" s="4" t="n"/>
      <c r="V1153" s="4" t="n"/>
    </row>
    <row r="1154">
      <c r="A1154" s="4" t="n"/>
      <c r="B1154" s="50" t="n"/>
      <c r="C1154" s="4" t="n"/>
      <c r="D1154" s="4" t="n"/>
      <c r="E1154" s="51" t="n"/>
      <c r="F1154" s="50" t="n"/>
      <c r="G1154" s="4" t="n"/>
      <c r="H1154" s="4" t="n"/>
      <c r="I1154" s="4" t="n"/>
      <c r="J1154" s="4" t="n"/>
      <c r="K1154" s="4" t="n"/>
      <c r="L1154" s="4" t="n"/>
      <c r="M1154" s="4" t="n"/>
      <c r="N1154" s="4" t="n"/>
      <c r="O1154" s="52" t="n"/>
      <c r="P1154" s="4" t="n"/>
      <c r="Q1154" s="4" t="n"/>
      <c r="R1154" s="4" t="n"/>
      <c r="S1154" s="4" t="n"/>
      <c r="T1154" s="4" t="n"/>
      <c r="U1154" s="4" t="n"/>
      <c r="V1154" s="4" t="n"/>
    </row>
    <row r="1155">
      <c r="A1155" s="4" t="n"/>
      <c r="B1155" s="50" t="n"/>
      <c r="C1155" s="4" t="n"/>
      <c r="D1155" s="4" t="n"/>
      <c r="E1155" s="51" t="n"/>
      <c r="F1155" s="50" t="n"/>
      <c r="G1155" s="4" t="n"/>
      <c r="H1155" s="4" t="n"/>
      <c r="I1155" s="4" t="n"/>
      <c r="J1155" s="4" t="n"/>
      <c r="K1155" s="4" t="n"/>
      <c r="L1155" s="4" t="n"/>
      <c r="M1155" s="4" t="n"/>
      <c r="N1155" s="4" t="n"/>
      <c r="O1155" s="52" t="n"/>
      <c r="P1155" s="4" t="n"/>
      <c r="Q1155" s="4" t="n"/>
      <c r="R1155" s="4" t="n"/>
      <c r="S1155" s="4" t="n"/>
      <c r="T1155" s="4" t="n"/>
      <c r="U1155" s="4" t="n"/>
      <c r="V1155" s="4" t="n"/>
    </row>
    <row r="1156">
      <c r="A1156" s="4" t="n"/>
      <c r="B1156" s="50" t="n"/>
      <c r="C1156" s="4" t="n"/>
      <c r="D1156" s="4" t="n"/>
      <c r="E1156" s="51" t="n"/>
      <c r="F1156" s="50" t="n"/>
      <c r="G1156" s="4" t="n"/>
      <c r="H1156" s="4" t="n"/>
      <c r="I1156" s="4" t="n"/>
      <c r="J1156" s="4" t="n"/>
      <c r="K1156" s="4" t="n"/>
      <c r="L1156" s="4" t="n"/>
      <c r="M1156" s="4" t="n"/>
      <c r="N1156" s="4" t="n"/>
      <c r="O1156" s="52" t="n"/>
      <c r="P1156" s="4" t="n"/>
      <c r="Q1156" s="4" t="n"/>
      <c r="R1156" s="4" t="n"/>
      <c r="S1156" s="4" t="n"/>
      <c r="T1156" s="4" t="n"/>
      <c r="U1156" s="4" t="n"/>
      <c r="V1156" s="4" t="n"/>
    </row>
    <row r="1157">
      <c r="A1157" s="4" t="n"/>
      <c r="B1157" s="50" t="n"/>
      <c r="C1157" s="4" t="n"/>
      <c r="D1157" s="4" t="n"/>
      <c r="E1157" s="51" t="n"/>
      <c r="F1157" s="50" t="n"/>
      <c r="G1157" s="4" t="n"/>
      <c r="H1157" s="4" t="n"/>
      <c r="I1157" s="4" t="n"/>
      <c r="J1157" s="4" t="n"/>
      <c r="K1157" s="4" t="n"/>
      <c r="L1157" s="4" t="n"/>
      <c r="M1157" s="4" t="n"/>
      <c r="N1157" s="4" t="n"/>
      <c r="O1157" s="52" t="n"/>
      <c r="P1157" s="4" t="n"/>
      <c r="Q1157" s="4" t="n"/>
      <c r="R1157" s="4" t="n"/>
      <c r="S1157" s="4" t="n"/>
      <c r="T1157" s="4" t="n"/>
      <c r="U1157" s="4" t="n"/>
      <c r="V1157" s="4" t="n"/>
    </row>
    <row r="1158">
      <c r="A1158" s="4" t="n"/>
      <c r="B1158" s="50" t="n"/>
      <c r="C1158" s="4" t="n"/>
      <c r="D1158" s="4" t="n"/>
      <c r="E1158" s="51" t="n"/>
      <c r="F1158" s="50" t="n"/>
      <c r="G1158" s="4" t="n"/>
      <c r="H1158" s="4" t="n"/>
      <c r="I1158" s="4" t="n"/>
      <c r="J1158" s="4" t="n"/>
      <c r="K1158" s="4" t="n"/>
      <c r="L1158" s="4" t="n"/>
      <c r="M1158" s="4" t="n"/>
      <c r="N1158" s="4" t="n"/>
      <c r="O1158" s="52" t="n"/>
      <c r="P1158" s="4" t="n"/>
      <c r="Q1158" s="4" t="n"/>
      <c r="R1158" s="4" t="n"/>
      <c r="S1158" s="4" t="n"/>
      <c r="T1158" s="4" t="n"/>
      <c r="U1158" s="4" t="n"/>
      <c r="V1158" s="4" t="n"/>
    </row>
    <row r="1159">
      <c r="A1159" s="4" t="n"/>
      <c r="B1159" s="50" t="n"/>
      <c r="C1159" s="4" t="n"/>
      <c r="D1159" s="4" t="n"/>
      <c r="E1159" s="51" t="n"/>
      <c r="F1159" s="50" t="n"/>
      <c r="G1159" s="4" t="n"/>
      <c r="H1159" s="4" t="n"/>
      <c r="I1159" s="4" t="n"/>
      <c r="J1159" s="4" t="n"/>
      <c r="K1159" s="4" t="n"/>
      <c r="L1159" s="4" t="n"/>
      <c r="M1159" s="4" t="n"/>
      <c r="N1159" s="4" t="n"/>
      <c r="O1159" s="52" t="n"/>
      <c r="P1159" s="4" t="n"/>
      <c r="Q1159" s="4" t="n"/>
      <c r="R1159" s="4" t="n"/>
      <c r="S1159" s="4" t="n"/>
      <c r="T1159" s="4" t="n"/>
      <c r="U1159" s="4" t="n"/>
      <c r="V1159" s="4" t="n"/>
    </row>
    <row r="1160">
      <c r="A1160" s="4" t="n"/>
      <c r="B1160" s="50" t="n"/>
      <c r="C1160" s="4" t="n"/>
      <c r="D1160" s="4" t="n"/>
      <c r="E1160" s="51" t="n"/>
      <c r="F1160" s="50" t="n"/>
      <c r="G1160" s="4" t="n"/>
      <c r="H1160" s="4" t="n"/>
      <c r="I1160" s="4" t="n"/>
      <c r="J1160" s="4" t="n"/>
      <c r="K1160" s="4" t="n"/>
      <c r="L1160" s="4" t="n"/>
      <c r="M1160" s="4" t="n"/>
      <c r="N1160" s="4" t="n"/>
      <c r="O1160" s="52" t="n"/>
      <c r="P1160" s="4" t="n"/>
      <c r="Q1160" s="4" t="n"/>
      <c r="R1160" s="4" t="n"/>
      <c r="S1160" s="4" t="n"/>
      <c r="T1160" s="4" t="n"/>
      <c r="U1160" s="4" t="n"/>
      <c r="V1160" s="4" t="n"/>
    </row>
    <row r="1161">
      <c r="A1161" s="4" t="n"/>
      <c r="B1161" s="50" t="n"/>
      <c r="C1161" s="4" t="n"/>
      <c r="D1161" s="4" t="n"/>
      <c r="E1161" s="51" t="n"/>
      <c r="F1161" s="50" t="n"/>
      <c r="G1161" s="4" t="n"/>
      <c r="H1161" s="4" t="n"/>
      <c r="I1161" s="4" t="n"/>
      <c r="J1161" s="4" t="n"/>
      <c r="K1161" s="4" t="n"/>
      <c r="L1161" s="4" t="n"/>
      <c r="M1161" s="4" t="n"/>
      <c r="N1161" s="4" t="n"/>
      <c r="O1161" s="52" t="n"/>
      <c r="P1161" s="4" t="n"/>
      <c r="Q1161" s="4" t="n"/>
      <c r="R1161" s="4" t="n"/>
      <c r="S1161" s="4" t="n"/>
      <c r="T1161" s="4" t="n"/>
      <c r="U1161" s="4" t="n"/>
      <c r="V1161" s="4" t="n"/>
    </row>
    <row r="1162">
      <c r="A1162" s="4" t="n"/>
      <c r="B1162" s="50" t="n"/>
      <c r="C1162" s="4" t="n"/>
      <c r="D1162" s="4" t="n"/>
      <c r="E1162" s="51" t="n"/>
      <c r="F1162" s="50" t="n"/>
      <c r="G1162" s="4" t="n"/>
      <c r="H1162" s="4" t="n"/>
      <c r="I1162" s="4" t="n"/>
      <c r="J1162" s="4" t="n"/>
      <c r="K1162" s="4" t="n"/>
      <c r="L1162" s="4" t="n"/>
      <c r="M1162" s="4" t="n"/>
      <c r="N1162" s="4" t="n"/>
      <c r="O1162" s="52" t="n"/>
      <c r="P1162" s="4" t="n"/>
      <c r="Q1162" s="4" t="n"/>
      <c r="R1162" s="4" t="n"/>
      <c r="S1162" s="4" t="n"/>
      <c r="T1162" s="4" t="n"/>
      <c r="U1162" s="4" t="n"/>
      <c r="V1162" s="4" t="n"/>
    </row>
    <row r="1163">
      <c r="A1163" s="4" t="n"/>
      <c r="B1163" s="50" t="n"/>
      <c r="C1163" s="4" t="n"/>
      <c r="D1163" s="4" t="n"/>
      <c r="E1163" s="51" t="n"/>
      <c r="F1163" s="50" t="n"/>
      <c r="G1163" s="4" t="n"/>
      <c r="H1163" s="4" t="n"/>
      <c r="I1163" s="4" t="n"/>
      <c r="J1163" s="4" t="n"/>
      <c r="K1163" s="4" t="n"/>
      <c r="L1163" s="4" t="n"/>
      <c r="M1163" s="4" t="n"/>
      <c r="N1163" s="4" t="n"/>
      <c r="O1163" s="52" t="n"/>
      <c r="P1163" s="4" t="n"/>
      <c r="Q1163" s="4" t="n"/>
      <c r="R1163" s="4" t="n"/>
      <c r="S1163" s="4" t="n"/>
      <c r="T1163" s="4" t="n"/>
      <c r="U1163" s="4" t="n"/>
      <c r="V1163" s="4" t="n"/>
    </row>
    <row r="1164">
      <c r="A1164" s="4" t="n"/>
      <c r="B1164" s="50" t="n"/>
      <c r="C1164" s="4" t="n"/>
      <c r="D1164" s="4" t="n"/>
      <c r="E1164" s="51" t="n"/>
      <c r="F1164" s="50" t="n"/>
      <c r="G1164" s="4" t="n"/>
      <c r="H1164" s="4" t="n"/>
      <c r="I1164" s="4" t="n"/>
      <c r="J1164" s="4" t="n"/>
      <c r="K1164" s="4" t="n"/>
      <c r="L1164" s="4" t="n"/>
      <c r="M1164" s="4" t="n"/>
      <c r="N1164" s="4" t="n"/>
      <c r="O1164" s="52" t="n"/>
      <c r="P1164" s="4" t="n"/>
      <c r="Q1164" s="4" t="n"/>
      <c r="R1164" s="4" t="n"/>
      <c r="S1164" s="4" t="n"/>
      <c r="T1164" s="4" t="n"/>
      <c r="U1164" s="4" t="n"/>
      <c r="V1164" s="4" t="n"/>
    </row>
    <row r="1165">
      <c r="A1165" s="4" t="n"/>
      <c r="B1165" s="50" t="n"/>
      <c r="C1165" s="4" t="n"/>
      <c r="D1165" s="4" t="n"/>
      <c r="E1165" s="51" t="n"/>
      <c r="F1165" s="50" t="n"/>
      <c r="G1165" s="4" t="n"/>
      <c r="H1165" s="4" t="n"/>
      <c r="I1165" s="4" t="n"/>
      <c r="J1165" s="4" t="n"/>
      <c r="K1165" s="4" t="n"/>
      <c r="L1165" s="4" t="n"/>
      <c r="M1165" s="4" t="n"/>
      <c r="N1165" s="4" t="n"/>
      <c r="O1165" s="52" t="n"/>
      <c r="P1165" s="4" t="n"/>
      <c r="Q1165" s="4" t="n"/>
      <c r="R1165" s="4" t="n"/>
      <c r="S1165" s="4" t="n"/>
      <c r="T1165" s="4" t="n"/>
      <c r="U1165" s="4" t="n"/>
      <c r="V1165" s="4" t="n"/>
    </row>
    <row r="1166">
      <c r="A1166" s="4" t="n"/>
      <c r="B1166" s="50" t="n"/>
      <c r="C1166" s="4" t="n"/>
      <c r="D1166" s="4" t="n"/>
      <c r="E1166" s="51" t="n"/>
      <c r="F1166" s="50" t="n"/>
      <c r="G1166" s="4" t="n"/>
      <c r="H1166" s="4" t="n"/>
      <c r="I1166" s="4" t="n"/>
      <c r="J1166" s="4" t="n"/>
      <c r="K1166" s="4" t="n"/>
      <c r="L1166" s="4" t="n"/>
      <c r="M1166" s="4" t="n"/>
      <c r="N1166" s="4" t="n"/>
      <c r="O1166" s="52" t="n"/>
      <c r="P1166" s="4" t="n"/>
      <c r="Q1166" s="4" t="n"/>
      <c r="R1166" s="4" t="n"/>
      <c r="S1166" s="4" t="n"/>
      <c r="T1166" s="4" t="n"/>
      <c r="U1166" s="4" t="n"/>
      <c r="V1166" s="4" t="n"/>
    </row>
    <row r="1167">
      <c r="A1167" s="4" t="n"/>
      <c r="B1167" s="50" t="n"/>
      <c r="C1167" s="4" t="n"/>
      <c r="D1167" s="4" t="n"/>
      <c r="E1167" s="51" t="n"/>
      <c r="F1167" s="50" t="n"/>
      <c r="G1167" s="4" t="n"/>
      <c r="H1167" s="4" t="n"/>
      <c r="I1167" s="4" t="n"/>
      <c r="J1167" s="4" t="n"/>
      <c r="K1167" s="4" t="n"/>
      <c r="L1167" s="4" t="n"/>
      <c r="M1167" s="4" t="n"/>
      <c r="N1167" s="4" t="n"/>
      <c r="O1167" s="52" t="n"/>
      <c r="P1167" s="4" t="n"/>
      <c r="Q1167" s="4" t="n"/>
      <c r="R1167" s="4" t="n"/>
      <c r="S1167" s="4" t="n"/>
      <c r="T1167" s="4" t="n"/>
      <c r="U1167" s="4" t="n"/>
      <c r="V1167" s="4" t="n"/>
    </row>
    <row r="1168">
      <c r="A1168" s="4" t="n"/>
      <c r="B1168" s="50" t="n"/>
      <c r="C1168" s="4" t="n"/>
      <c r="D1168" s="4" t="n"/>
      <c r="E1168" s="51" t="n"/>
      <c r="F1168" s="50" t="n"/>
      <c r="G1168" s="4" t="n"/>
      <c r="H1168" s="4" t="n"/>
      <c r="I1168" s="4" t="n"/>
      <c r="J1168" s="4" t="n"/>
      <c r="K1168" s="4" t="n"/>
      <c r="L1168" s="4" t="n"/>
      <c r="M1168" s="4" t="n"/>
      <c r="N1168" s="4" t="n"/>
      <c r="O1168" s="52" t="n"/>
      <c r="P1168" s="4" t="n"/>
      <c r="Q1168" s="4" t="n"/>
      <c r="R1168" s="4" t="n"/>
      <c r="S1168" s="4" t="n"/>
      <c r="T1168" s="4" t="n"/>
      <c r="U1168" s="4" t="n"/>
      <c r="V1168" s="4" t="n"/>
    </row>
    <row r="1169">
      <c r="A1169" s="4" t="n"/>
      <c r="B1169" s="50" t="n"/>
      <c r="C1169" s="4" t="n"/>
      <c r="D1169" s="4" t="n"/>
      <c r="E1169" s="51" t="n"/>
      <c r="F1169" s="50" t="n"/>
      <c r="G1169" s="4" t="n"/>
      <c r="H1169" s="4" t="n"/>
      <c r="I1169" s="4" t="n"/>
      <c r="J1169" s="4" t="n"/>
      <c r="K1169" s="4" t="n"/>
      <c r="L1169" s="4" t="n"/>
      <c r="M1169" s="4" t="n"/>
      <c r="N1169" s="4" t="n"/>
      <c r="O1169" s="52" t="n"/>
      <c r="P1169" s="4" t="n"/>
      <c r="Q1169" s="4" t="n"/>
      <c r="R1169" s="4" t="n"/>
      <c r="S1169" s="4" t="n"/>
      <c r="T1169" s="4" t="n"/>
      <c r="U1169" s="4" t="n"/>
      <c r="V1169" s="4" t="n"/>
    </row>
    <row r="1170">
      <c r="A1170" s="4" t="n"/>
      <c r="B1170" s="50" t="n"/>
      <c r="C1170" s="4" t="n"/>
      <c r="D1170" s="4" t="n"/>
      <c r="E1170" s="51" t="n"/>
      <c r="F1170" s="50" t="n"/>
      <c r="G1170" s="4" t="n"/>
      <c r="H1170" s="4" t="n"/>
      <c r="I1170" s="4" t="n"/>
      <c r="J1170" s="4" t="n"/>
      <c r="K1170" s="4" t="n"/>
      <c r="L1170" s="4" t="n"/>
      <c r="M1170" s="4" t="n"/>
      <c r="N1170" s="4" t="n"/>
      <c r="O1170" s="52" t="n"/>
      <c r="P1170" s="4" t="n"/>
      <c r="Q1170" s="4" t="n"/>
      <c r="R1170" s="4" t="n"/>
      <c r="S1170" s="4" t="n"/>
      <c r="T1170" s="4" t="n"/>
      <c r="U1170" s="4" t="n"/>
      <c r="V1170" s="4" t="n"/>
    </row>
    <row r="1171">
      <c r="A1171" s="4" t="n"/>
      <c r="B1171" s="50" t="n"/>
      <c r="C1171" s="4" t="n"/>
      <c r="D1171" s="4" t="n"/>
      <c r="E1171" s="51" t="n"/>
      <c r="F1171" s="50" t="n"/>
      <c r="G1171" s="4" t="n"/>
      <c r="H1171" s="4" t="n"/>
      <c r="I1171" s="4" t="n"/>
      <c r="J1171" s="4" t="n"/>
      <c r="K1171" s="4" t="n"/>
      <c r="L1171" s="4" t="n"/>
      <c r="M1171" s="4" t="n"/>
      <c r="N1171" s="4" t="n"/>
      <c r="O1171" s="52" t="n"/>
      <c r="P1171" s="4" t="n"/>
      <c r="Q1171" s="4" t="n"/>
      <c r="R1171" s="4" t="n"/>
      <c r="S1171" s="4" t="n"/>
      <c r="T1171" s="4" t="n"/>
      <c r="U1171" s="4" t="n"/>
      <c r="V1171" s="4" t="n"/>
    </row>
    <row r="1172">
      <c r="A1172" s="4" t="n"/>
      <c r="B1172" s="50" t="n"/>
      <c r="C1172" s="4" t="n"/>
      <c r="D1172" s="4" t="n"/>
      <c r="E1172" s="51" t="n"/>
      <c r="F1172" s="50" t="n"/>
      <c r="G1172" s="4" t="n"/>
      <c r="H1172" s="4" t="n"/>
      <c r="I1172" s="4" t="n"/>
      <c r="J1172" s="4" t="n"/>
      <c r="K1172" s="4" t="n"/>
      <c r="L1172" s="4" t="n"/>
      <c r="M1172" s="4" t="n"/>
      <c r="N1172" s="4" t="n"/>
      <c r="O1172" s="52" t="n"/>
      <c r="P1172" s="4" t="n"/>
      <c r="Q1172" s="4" t="n"/>
      <c r="R1172" s="4" t="n"/>
      <c r="S1172" s="4" t="n"/>
      <c r="T1172" s="4" t="n"/>
      <c r="U1172" s="4" t="n"/>
      <c r="V1172" s="4" t="n"/>
    </row>
    <row r="1173">
      <c r="A1173" s="4" t="n"/>
      <c r="B1173" s="50" t="n"/>
      <c r="C1173" s="4" t="n"/>
      <c r="D1173" s="4" t="n"/>
      <c r="E1173" s="51" t="n"/>
      <c r="F1173" s="50" t="n"/>
      <c r="G1173" s="4" t="n"/>
      <c r="H1173" s="4" t="n"/>
      <c r="I1173" s="4" t="n"/>
      <c r="J1173" s="4" t="n"/>
      <c r="K1173" s="4" t="n"/>
      <c r="L1173" s="4" t="n"/>
      <c r="M1173" s="4" t="n"/>
      <c r="N1173" s="4" t="n"/>
      <c r="O1173" s="52" t="n"/>
      <c r="P1173" s="4" t="n"/>
      <c r="Q1173" s="4" t="n"/>
      <c r="R1173" s="4" t="n"/>
      <c r="S1173" s="4" t="n"/>
      <c r="T1173" s="4" t="n"/>
      <c r="U1173" s="4" t="n"/>
      <c r="V1173" s="4" t="n"/>
    </row>
    <row r="1174">
      <c r="A1174" s="4" t="n"/>
      <c r="B1174" s="50" t="n"/>
      <c r="C1174" s="4" t="n"/>
      <c r="D1174" s="4" t="n"/>
      <c r="E1174" s="51" t="n"/>
      <c r="F1174" s="50" t="n"/>
      <c r="G1174" s="4" t="n"/>
      <c r="H1174" s="4" t="n"/>
      <c r="I1174" s="4" t="n"/>
      <c r="J1174" s="4" t="n"/>
      <c r="K1174" s="4" t="n"/>
      <c r="L1174" s="4" t="n"/>
      <c r="M1174" s="4" t="n"/>
      <c r="N1174" s="4" t="n"/>
      <c r="O1174" s="52" t="n"/>
      <c r="P1174" s="4" t="n"/>
      <c r="Q1174" s="4" t="n"/>
      <c r="R1174" s="4" t="n"/>
      <c r="S1174" s="4" t="n"/>
      <c r="T1174" s="4" t="n"/>
      <c r="U1174" s="4" t="n"/>
      <c r="V1174" s="4" t="n"/>
    </row>
    <row r="1175">
      <c r="A1175" s="4" t="n"/>
      <c r="B1175" s="50" t="n"/>
      <c r="C1175" s="4" t="n"/>
      <c r="D1175" s="4" t="n"/>
      <c r="E1175" s="51" t="n"/>
      <c r="F1175" s="50" t="n"/>
      <c r="G1175" s="4" t="n"/>
      <c r="H1175" s="4" t="n"/>
      <c r="I1175" s="4" t="n"/>
      <c r="J1175" s="4" t="n"/>
      <c r="K1175" s="4" t="n"/>
      <c r="L1175" s="4" t="n"/>
      <c r="M1175" s="4" t="n"/>
      <c r="N1175" s="4" t="n"/>
      <c r="O1175" s="52" t="n"/>
      <c r="P1175" s="4" t="n"/>
      <c r="Q1175" s="4" t="n"/>
      <c r="R1175" s="4" t="n"/>
      <c r="S1175" s="4" t="n"/>
      <c r="T1175" s="4" t="n"/>
      <c r="U1175" s="4" t="n"/>
      <c r="V1175" s="4" t="n"/>
    </row>
    <row r="1176">
      <c r="A1176" s="4" t="n"/>
      <c r="B1176" s="50" t="n"/>
      <c r="C1176" s="4" t="n"/>
      <c r="D1176" s="4" t="n"/>
      <c r="E1176" s="51" t="n"/>
      <c r="F1176" s="50" t="n"/>
      <c r="G1176" s="4" t="n"/>
      <c r="H1176" s="4" t="n"/>
      <c r="I1176" s="4" t="n"/>
      <c r="J1176" s="4" t="n"/>
      <c r="K1176" s="4" t="n"/>
      <c r="L1176" s="4" t="n"/>
      <c r="M1176" s="4" t="n"/>
      <c r="N1176" s="4" t="n"/>
      <c r="O1176" s="52" t="n"/>
      <c r="P1176" s="4" t="n"/>
      <c r="Q1176" s="4" t="n"/>
      <c r="R1176" s="4" t="n"/>
      <c r="S1176" s="4" t="n"/>
      <c r="T1176" s="4" t="n"/>
      <c r="U1176" s="4" t="n"/>
      <c r="V1176" s="4" t="n"/>
    </row>
    <row r="1177">
      <c r="A1177" s="4" t="n"/>
      <c r="B1177" s="50" t="n"/>
      <c r="C1177" s="4" t="n"/>
      <c r="D1177" s="4" t="n"/>
      <c r="E1177" s="51" t="n"/>
      <c r="F1177" s="50" t="n"/>
      <c r="G1177" s="4" t="n"/>
      <c r="H1177" s="4" t="n"/>
      <c r="I1177" s="4" t="n"/>
      <c r="J1177" s="4" t="n"/>
      <c r="K1177" s="4" t="n"/>
      <c r="L1177" s="4" t="n"/>
      <c r="M1177" s="4" t="n"/>
      <c r="N1177" s="4" t="n"/>
      <c r="O1177" s="52" t="n"/>
      <c r="P1177" s="4" t="n"/>
      <c r="Q1177" s="4" t="n"/>
      <c r="R1177" s="4" t="n"/>
      <c r="S1177" s="4" t="n"/>
      <c r="T1177" s="4" t="n"/>
      <c r="U1177" s="4" t="n"/>
      <c r="V1177" s="4" t="n"/>
    </row>
    <row r="1178">
      <c r="A1178" s="4" t="n"/>
      <c r="B1178" s="50" t="n"/>
      <c r="C1178" s="4" t="n"/>
      <c r="D1178" s="4" t="n"/>
      <c r="E1178" s="51" t="n"/>
      <c r="F1178" s="50" t="n"/>
      <c r="G1178" s="4" t="n"/>
      <c r="H1178" s="4" t="n"/>
      <c r="I1178" s="4" t="n"/>
      <c r="J1178" s="4" t="n"/>
      <c r="K1178" s="4" t="n"/>
      <c r="L1178" s="4" t="n"/>
      <c r="M1178" s="4" t="n"/>
      <c r="N1178" s="4" t="n"/>
      <c r="O1178" s="52" t="n"/>
      <c r="P1178" s="4" t="n"/>
      <c r="Q1178" s="4" t="n"/>
      <c r="R1178" s="4" t="n"/>
      <c r="S1178" s="4" t="n"/>
      <c r="T1178" s="4" t="n"/>
      <c r="U1178" s="4" t="n"/>
      <c r="V1178" s="4" t="n"/>
    </row>
    <row r="1179">
      <c r="A1179" s="4" t="n"/>
      <c r="B1179" s="50" t="n"/>
      <c r="C1179" s="4" t="n"/>
      <c r="D1179" s="4" t="n"/>
      <c r="E1179" s="51" t="n"/>
      <c r="F1179" s="50" t="n"/>
      <c r="G1179" s="4" t="n"/>
      <c r="H1179" s="4" t="n"/>
      <c r="I1179" s="4" t="n"/>
      <c r="J1179" s="4" t="n"/>
      <c r="K1179" s="4" t="n"/>
      <c r="L1179" s="4" t="n"/>
      <c r="M1179" s="4" t="n"/>
      <c r="N1179" s="4" t="n"/>
      <c r="O1179" s="52" t="n"/>
      <c r="P1179" s="4" t="n"/>
      <c r="Q1179" s="4" t="n"/>
      <c r="R1179" s="4" t="n"/>
      <c r="S1179" s="4" t="n"/>
      <c r="T1179" s="4" t="n"/>
      <c r="U1179" s="4" t="n"/>
      <c r="V1179" s="4" t="n"/>
    </row>
    <row r="1180">
      <c r="A1180" s="4" t="n"/>
      <c r="B1180" s="50" t="n"/>
      <c r="C1180" s="4" t="n"/>
      <c r="D1180" s="4" t="n"/>
      <c r="E1180" s="51" t="n"/>
      <c r="F1180" s="50" t="n"/>
      <c r="G1180" s="4" t="n"/>
      <c r="H1180" s="4" t="n"/>
      <c r="I1180" s="4" t="n"/>
      <c r="J1180" s="4" t="n"/>
      <c r="K1180" s="4" t="n"/>
      <c r="L1180" s="4" t="n"/>
      <c r="M1180" s="4" t="n"/>
      <c r="N1180" s="4" t="n"/>
      <c r="O1180" s="52" t="n"/>
      <c r="P1180" s="4" t="n"/>
      <c r="Q1180" s="4" t="n"/>
      <c r="R1180" s="4" t="n"/>
      <c r="S1180" s="4" t="n"/>
      <c r="T1180" s="4" t="n"/>
      <c r="U1180" s="4" t="n"/>
      <c r="V1180" s="4" t="n"/>
    </row>
    <row r="1181">
      <c r="A1181" s="4" t="n"/>
      <c r="B1181" s="50" t="n"/>
      <c r="C1181" s="4" t="n"/>
      <c r="D1181" s="4" t="n"/>
      <c r="E1181" s="51" t="n"/>
      <c r="F1181" s="50" t="n"/>
      <c r="G1181" s="4" t="n"/>
      <c r="H1181" s="4" t="n"/>
      <c r="I1181" s="4" t="n"/>
      <c r="J1181" s="4" t="n"/>
      <c r="K1181" s="4" t="n"/>
      <c r="L1181" s="4" t="n"/>
      <c r="M1181" s="4" t="n"/>
      <c r="N1181" s="4" t="n"/>
      <c r="O1181" s="52" t="n"/>
      <c r="P1181" s="4" t="n"/>
      <c r="Q1181" s="4" t="n"/>
      <c r="R1181" s="4" t="n"/>
      <c r="S1181" s="4" t="n"/>
      <c r="T1181" s="4" t="n"/>
      <c r="U1181" s="4" t="n"/>
      <c r="V1181" s="4" t="n"/>
    </row>
    <row r="1182">
      <c r="A1182" s="4" t="n"/>
      <c r="B1182" s="50" t="n"/>
      <c r="C1182" s="4" t="n"/>
      <c r="D1182" s="4" t="n"/>
      <c r="E1182" s="51" t="n"/>
      <c r="F1182" s="50" t="n"/>
      <c r="G1182" s="4" t="n"/>
      <c r="H1182" s="4" t="n"/>
      <c r="I1182" s="4" t="n"/>
      <c r="J1182" s="4" t="n"/>
      <c r="K1182" s="4" t="n"/>
      <c r="L1182" s="4" t="n"/>
      <c r="M1182" s="4" t="n"/>
      <c r="N1182" s="4" t="n"/>
      <c r="O1182" s="52" t="n"/>
      <c r="P1182" s="4" t="n"/>
      <c r="Q1182" s="4" t="n"/>
      <c r="R1182" s="4" t="n"/>
      <c r="S1182" s="4" t="n"/>
      <c r="T1182" s="4" t="n"/>
      <c r="U1182" s="4" t="n"/>
      <c r="V1182" s="4" t="n"/>
    </row>
    <row r="1183">
      <c r="A1183" s="4" t="n"/>
      <c r="B1183" s="50" t="n"/>
      <c r="C1183" s="4" t="n"/>
      <c r="D1183" s="4" t="n"/>
      <c r="E1183" s="51" t="n"/>
      <c r="F1183" s="50" t="n"/>
      <c r="G1183" s="4" t="n"/>
      <c r="H1183" s="4" t="n"/>
      <c r="I1183" s="4" t="n"/>
      <c r="J1183" s="4" t="n"/>
      <c r="K1183" s="4" t="n"/>
      <c r="L1183" s="4" t="n"/>
      <c r="M1183" s="4" t="n"/>
      <c r="N1183" s="4" t="n"/>
      <c r="O1183" s="52" t="n"/>
      <c r="P1183" s="4" t="n"/>
      <c r="Q1183" s="4" t="n"/>
      <c r="R1183" s="4" t="n"/>
      <c r="S1183" s="4" t="n"/>
      <c r="T1183" s="4" t="n"/>
      <c r="U1183" s="4" t="n"/>
      <c r="V1183" s="4" t="n"/>
    </row>
    <row r="1184">
      <c r="A1184" s="4" t="n"/>
      <c r="B1184" s="50" t="n"/>
      <c r="C1184" s="4" t="n"/>
      <c r="D1184" s="4" t="n"/>
      <c r="E1184" s="51" t="n"/>
      <c r="F1184" s="50" t="n"/>
      <c r="G1184" s="4" t="n"/>
      <c r="H1184" s="4" t="n"/>
      <c r="I1184" s="4" t="n"/>
      <c r="J1184" s="4" t="n"/>
      <c r="K1184" s="4" t="n"/>
      <c r="L1184" s="4" t="n"/>
      <c r="M1184" s="4" t="n"/>
      <c r="N1184" s="4" t="n"/>
      <c r="O1184" s="52" t="n"/>
      <c r="P1184" s="4" t="n"/>
      <c r="Q1184" s="4" t="n"/>
      <c r="R1184" s="4" t="n"/>
      <c r="S1184" s="4" t="n"/>
      <c r="T1184" s="4" t="n"/>
      <c r="U1184" s="4" t="n"/>
      <c r="V1184" s="4" t="n"/>
    </row>
    <row r="1185">
      <c r="A1185" s="4" t="n"/>
      <c r="B1185" s="50" t="n"/>
      <c r="C1185" s="4" t="n"/>
      <c r="D1185" s="4" t="n"/>
      <c r="E1185" s="51" t="n"/>
      <c r="F1185" s="50" t="n"/>
      <c r="G1185" s="4" t="n"/>
      <c r="H1185" s="4" t="n"/>
      <c r="I1185" s="4" t="n"/>
      <c r="J1185" s="4" t="n"/>
      <c r="K1185" s="4" t="n"/>
      <c r="L1185" s="4" t="n"/>
      <c r="M1185" s="4" t="n"/>
      <c r="N1185" s="4" t="n"/>
      <c r="O1185" s="52" t="n"/>
      <c r="P1185" s="4" t="n"/>
      <c r="Q1185" s="4" t="n"/>
      <c r="R1185" s="4" t="n"/>
      <c r="S1185" s="4" t="n"/>
      <c r="T1185" s="4" t="n"/>
      <c r="U1185" s="4" t="n"/>
      <c r="V1185" s="4" t="n"/>
    </row>
    <row r="1186">
      <c r="A1186" s="4" t="n"/>
      <c r="B1186" s="50" t="n"/>
      <c r="C1186" s="4" t="n"/>
      <c r="D1186" s="4" t="n"/>
      <c r="E1186" s="51" t="n"/>
      <c r="F1186" s="50" t="n"/>
      <c r="G1186" s="4" t="n"/>
      <c r="H1186" s="4" t="n"/>
      <c r="I1186" s="4" t="n"/>
      <c r="J1186" s="4" t="n"/>
      <c r="K1186" s="4" t="n"/>
      <c r="L1186" s="4" t="n"/>
      <c r="M1186" s="4" t="n"/>
      <c r="N1186" s="4" t="n"/>
      <c r="O1186" s="52" t="n"/>
      <c r="P1186" s="4" t="n"/>
      <c r="Q1186" s="4" t="n"/>
      <c r="R1186" s="4" t="n"/>
      <c r="S1186" s="4" t="n"/>
      <c r="T1186" s="4" t="n"/>
      <c r="U1186" s="4" t="n"/>
      <c r="V1186" s="4" t="n"/>
    </row>
    <row r="1187">
      <c r="A1187" s="4" t="n"/>
      <c r="B1187" s="50" t="n"/>
      <c r="C1187" s="4" t="n"/>
      <c r="D1187" s="4" t="n"/>
      <c r="E1187" s="51" t="n"/>
      <c r="F1187" s="50" t="n"/>
      <c r="G1187" s="4" t="n"/>
      <c r="H1187" s="4" t="n"/>
      <c r="I1187" s="4" t="n"/>
      <c r="J1187" s="4" t="n"/>
      <c r="K1187" s="4" t="n"/>
      <c r="L1187" s="4" t="n"/>
      <c r="M1187" s="4" t="n"/>
      <c r="N1187" s="4" t="n"/>
      <c r="O1187" s="52" t="n"/>
      <c r="P1187" s="4" t="n"/>
      <c r="Q1187" s="4" t="n"/>
      <c r="R1187" s="4" t="n"/>
      <c r="S1187" s="4" t="n"/>
      <c r="T1187" s="4" t="n"/>
      <c r="U1187" s="4" t="n"/>
      <c r="V1187" s="4" t="n"/>
    </row>
    <row r="1188">
      <c r="A1188" s="4" t="n"/>
      <c r="B1188" s="50" t="n"/>
      <c r="C1188" s="4" t="n"/>
      <c r="D1188" s="4" t="n"/>
      <c r="E1188" s="51" t="n"/>
      <c r="F1188" s="50" t="n"/>
      <c r="G1188" s="4" t="n"/>
      <c r="H1188" s="4" t="n"/>
      <c r="I1188" s="4" t="n"/>
      <c r="J1188" s="4" t="n"/>
      <c r="K1188" s="4" t="n"/>
      <c r="L1188" s="4" t="n"/>
      <c r="M1188" s="4" t="n"/>
      <c r="N1188" s="4" t="n"/>
      <c r="O1188" s="52" t="n"/>
      <c r="P1188" s="4" t="n"/>
      <c r="Q1188" s="4" t="n"/>
      <c r="R1188" s="4" t="n"/>
      <c r="S1188" s="4" t="n"/>
      <c r="T1188" s="4" t="n"/>
      <c r="U1188" s="4" t="n"/>
      <c r="V1188" s="4" t="n"/>
    </row>
    <row r="1189">
      <c r="A1189" s="4" t="n"/>
      <c r="B1189" s="50" t="n"/>
      <c r="C1189" s="4" t="n"/>
      <c r="D1189" s="4" t="n"/>
      <c r="E1189" s="51" t="n"/>
      <c r="F1189" s="50" t="n"/>
      <c r="G1189" s="4" t="n"/>
      <c r="H1189" s="4" t="n"/>
      <c r="I1189" s="4" t="n"/>
      <c r="J1189" s="4" t="n"/>
      <c r="K1189" s="4" t="n"/>
      <c r="L1189" s="4" t="n"/>
      <c r="M1189" s="4" t="n"/>
      <c r="N1189" s="4" t="n"/>
      <c r="O1189" s="52" t="n"/>
      <c r="P1189" s="4" t="n"/>
      <c r="Q1189" s="4" t="n"/>
      <c r="R1189" s="4" t="n"/>
      <c r="S1189" s="4" t="n"/>
      <c r="T1189" s="4" t="n"/>
      <c r="U1189" s="4" t="n"/>
      <c r="V1189" s="4" t="n"/>
    </row>
    <row r="1190">
      <c r="A1190" s="4" t="n"/>
      <c r="B1190" s="50" t="n"/>
      <c r="C1190" s="4" t="n"/>
      <c r="D1190" s="4" t="n"/>
      <c r="E1190" s="51" t="n"/>
      <c r="F1190" s="50" t="n"/>
      <c r="G1190" s="4" t="n"/>
      <c r="H1190" s="4" t="n"/>
      <c r="I1190" s="4" t="n"/>
      <c r="J1190" s="4" t="n"/>
      <c r="K1190" s="4" t="n"/>
      <c r="L1190" s="4" t="n"/>
      <c r="M1190" s="4" t="n"/>
      <c r="N1190" s="4" t="n"/>
      <c r="O1190" s="52" t="n"/>
      <c r="P1190" s="4" t="n"/>
      <c r="Q1190" s="4" t="n"/>
      <c r="R1190" s="4" t="n"/>
      <c r="S1190" s="4" t="n"/>
      <c r="T1190" s="4" t="n"/>
      <c r="U1190" s="4" t="n"/>
      <c r="V1190" s="4" t="n"/>
    </row>
    <row r="1191">
      <c r="A1191" s="4" t="n"/>
      <c r="B1191" s="50" t="n"/>
      <c r="C1191" s="4" t="n"/>
      <c r="D1191" s="4" t="n"/>
      <c r="E1191" s="51" t="n"/>
      <c r="F1191" s="50" t="n"/>
      <c r="G1191" s="4" t="n"/>
      <c r="H1191" s="4" t="n"/>
      <c r="I1191" s="4" t="n"/>
      <c r="J1191" s="4" t="n"/>
      <c r="K1191" s="4" t="n"/>
      <c r="L1191" s="4" t="n"/>
      <c r="M1191" s="4" t="n"/>
      <c r="N1191" s="4" t="n"/>
      <c r="O1191" s="52" t="n"/>
      <c r="P1191" s="4" t="n"/>
      <c r="Q1191" s="4" t="n"/>
      <c r="R1191" s="4" t="n"/>
      <c r="S1191" s="4" t="n"/>
      <c r="T1191" s="4" t="n"/>
      <c r="U1191" s="4" t="n"/>
      <c r="V1191" s="4" t="n"/>
    </row>
    <row r="1192">
      <c r="A1192" s="4" t="n"/>
      <c r="B1192" s="50" t="n"/>
      <c r="C1192" s="4" t="n"/>
      <c r="D1192" s="4" t="n"/>
      <c r="E1192" s="51" t="n"/>
      <c r="F1192" s="50" t="n"/>
      <c r="G1192" s="4" t="n"/>
      <c r="H1192" s="4" t="n"/>
      <c r="I1192" s="4" t="n"/>
      <c r="J1192" s="4" t="n"/>
      <c r="K1192" s="4" t="n"/>
      <c r="L1192" s="4" t="n"/>
      <c r="M1192" s="4" t="n"/>
      <c r="N1192" s="4" t="n"/>
      <c r="O1192" s="52" t="n"/>
      <c r="P1192" s="4" t="n"/>
      <c r="Q1192" s="4" t="n"/>
      <c r="R1192" s="4" t="n"/>
      <c r="S1192" s="4" t="n"/>
      <c r="T1192" s="4" t="n"/>
      <c r="U1192" s="4" t="n"/>
      <c r="V1192" s="4" t="n"/>
    </row>
    <row r="1193">
      <c r="A1193" s="4" t="n"/>
      <c r="B1193" s="50" t="n"/>
      <c r="C1193" s="4" t="n"/>
      <c r="D1193" s="4" t="n"/>
      <c r="E1193" s="51" t="n"/>
      <c r="F1193" s="50" t="n"/>
      <c r="G1193" s="4" t="n"/>
      <c r="H1193" s="4" t="n"/>
      <c r="I1193" s="4" t="n"/>
      <c r="J1193" s="4" t="n"/>
      <c r="K1193" s="4" t="n"/>
      <c r="L1193" s="4" t="n"/>
      <c r="M1193" s="4" t="n"/>
      <c r="N1193" s="4" t="n"/>
      <c r="O1193" s="52" t="n"/>
      <c r="P1193" s="4" t="n"/>
      <c r="Q1193" s="4" t="n"/>
      <c r="R1193" s="4" t="n"/>
      <c r="S1193" s="4" t="n"/>
      <c r="T1193" s="4" t="n"/>
      <c r="U1193" s="4" t="n"/>
      <c r="V1193" s="4" t="n"/>
    </row>
    <row r="1194">
      <c r="A1194" s="4" t="n"/>
      <c r="B1194" s="50" t="n"/>
      <c r="C1194" s="4" t="n"/>
      <c r="D1194" s="4" t="n"/>
      <c r="E1194" s="51" t="n"/>
      <c r="F1194" s="50" t="n"/>
      <c r="G1194" s="4" t="n"/>
      <c r="H1194" s="4" t="n"/>
      <c r="I1194" s="4" t="n"/>
      <c r="J1194" s="4" t="n"/>
      <c r="K1194" s="4" t="n"/>
      <c r="L1194" s="4" t="n"/>
      <c r="M1194" s="4" t="n"/>
      <c r="N1194" s="4" t="n"/>
      <c r="O1194" s="52" t="n"/>
      <c r="P1194" s="4" t="n"/>
      <c r="Q1194" s="4" t="n"/>
      <c r="R1194" s="4" t="n"/>
      <c r="S1194" s="4" t="n"/>
      <c r="T1194" s="4" t="n"/>
      <c r="U1194" s="4" t="n"/>
      <c r="V1194" s="4" t="n"/>
    </row>
    <row r="1195">
      <c r="A1195" s="4" t="n"/>
      <c r="B1195" s="50" t="n"/>
      <c r="C1195" s="4" t="n"/>
      <c r="D1195" s="4" t="n"/>
      <c r="E1195" s="51" t="n"/>
      <c r="F1195" s="50" t="n"/>
      <c r="G1195" s="4" t="n"/>
      <c r="H1195" s="4" t="n"/>
      <c r="I1195" s="4" t="n"/>
      <c r="J1195" s="4" t="n"/>
      <c r="K1195" s="4" t="n"/>
      <c r="L1195" s="4" t="n"/>
      <c r="M1195" s="4" t="n"/>
      <c r="N1195" s="4" t="n"/>
      <c r="O1195" s="52" t="n"/>
      <c r="P1195" s="4" t="n"/>
      <c r="Q1195" s="4" t="n"/>
      <c r="R1195" s="4" t="n"/>
      <c r="S1195" s="4" t="n"/>
      <c r="T1195" s="4" t="n"/>
      <c r="U1195" s="4" t="n"/>
      <c r="V1195" s="4" t="n"/>
    </row>
    <row r="1196">
      <c r="A1196" s="4" t="n"/>
      <c r="B1196" s="50" t="n"/>
      <c r="C1196" s="4" t="n"/>
      <c r="D1196" s="4" t="n"/>
      <c r="E1196" s="51" t="n"/>
      <c r="F1196" s="50" t="n"/>
      <c r="G1196" s="4" t="n"/>
      <c r="H1196" s="4" t="n"/>
      <c r="I1196" s="4" t="n"/>
      <c r="J1196" s="4" t="n"/>
      <c r="K1196" s="4" t="n"/>
      <c r="L1196" s="4" t="n"/>
      <c r="M1196" s="4" t="n"/>
      <c r="N1196" s="4" t="n"/>
      <c r="O1196" s="52" t="n"/>
      <c r="P1196" s="4" t="n"/>
      <c r="Q1196" s="4" t="n"/>
      <c r="R1196" s="4" t="n"/>
      <c r="S1196" s="4" t="n"/>
      <c r="T1196" s="4" t="n"/>
      <c r="U1196" s="4" t="n"/>
      <c r="V1196" s="4" t="n"/>
    </row>
    <row r="1197">
      <c r="A1197" s="4" t="n"/>
      <c r="B1197" s="50" t="n"/>
      <c r="C1197" s="4" t="n"/>
      <c r="D1197" s="4" t="n"/>
      <c r="E1197" s="51" t="n"/>
      <c r="F1197" s="50" t="n"/>
      <c r="G1197" s="4" t="n"/>
      <c r="H1197" s="4" t="n"/>
      <c r="I1197" s="4" t="n"/>
      <c r="J1197" s="4" t="n"/>
      <c r="K1197" s="4" t="n"/>
      <c r="L1197" s="4" t="n"/>
      <c r="M1197" s="4" t="n"/>
      <c r="N1197" s="4" t="n"/>
      <c r="O1197" s="52" t="n"/>
      <c r="P1197" s="4" t="n"/>
      <c r="Q1197" s="4" t="n"/>
      <c r="R1197" s="4" t="n"/>
      <c r="S1197" s="4" t="n"/>
      <c r="T1197" s="4" t="n"/>
      <c r="U1197" s="4" t="n"/>
      <c r="V1197" s="4" t="n"/>
    </row>
    <row r="1198">
      <c r="A1198" s="4" t="n"/>
      <c r="B1198" s="50" t="n"/>
      <c r="C1198" s="4" t="n"/>
      <c r="D1198" s="4" t="n"/>
      <c r="E1198" s="51" t="n"/>
      <c r="F1198" s="50" t="n"/>
      <c r="G1198" s="4" t="n"/>
      <c r="H1198" s="4" t="n"/>
      <c r="I1198" s="4" t="n"/>
      <c r="J1198" s="4" t="n"/>
      <c r="K1198" s="4" t="n"/>
      <c r="L1198" s="4" t="n"/>
      <c r="M1198" s="4" t="n"/>
      <c r="N1198" s="4" t="n"/>
      <c r="O1198" s="52" t="n"/>
      <c r="P1198" s="4" t="n"/>
      <c r="Q1198" s="4" t="n"/>
      <c r="R1198" s="4" t="n"/>
      <c r="S1198" s="4" t="n"/>
      <c r="T1198" s="4" t="n"/>
      <c r="U1198" s="4" t="n"/>
      <c r="V1198" s="4" t="n"/>
    </row>
    <row r="1199">
      <c r="A1199" s="4" t="n"/>
      <c r="B1199" s="50" t="n"/>
      <c r="C1199" s="4" t="n"/>
      <c r="D1199" s="4" t="n"/>
      <c r="E1199" s="51" t="n"/>
      <c r="F1199" s="50" t="n"/>
      <c r="G1199" s="4" t="n"/>
      <c r="H1199" s="4" t="n"/>
      <c r="I1199" s="4" t="n"/>
      <c r="J1199" s="4" t="n"/>
      <c r="K1199" s="4" t="n"/>
      <c r="L1199" s="4" t="n"/>
      <c r="M1199" s="4" t="n"/>
      <c r="N1199" s="4" t="n"/>
      <c r="O1199" s="52" t="n"/>
      <c r="P1199" s="4" t="n"/>
      <c r="Q1199" s="4" t="n"/>
      <c r="R1199" s="4" t="n"/>
      <c r="S1199" s="4" t="n"/>
      <c r="T1199" s="4" t="n"/>
      <c r="U1199" s="4" t="n"/>
      <c r="V1199" s="4" t="n"/>
    </row>
    <row r="1200">
      <c r="A1200" s="4" t="n"/>
      <c r="B1200" s="50" t="n"/>
      <c r="C1200" s="4" t="n"/>
      <c r="D1200" s="4" t="n"/>
      <c r="E1200" s="51" t="n"/>
      <c r="F1200" s="50" t="n"/>
      <c r="G1200" s="4" t="n"/>
      <c r="H1200" s="4" t="n"/>
      <c r="I1200" s="4" t="n"/>
      <c r="J1200" s="4" t="n"/>
      <c r="K1200" s="4" t="n"/>
      <c r="L1200" s="4" t="n"/>
      <c r="M1200" s="4" t="n"/>
      <c r="N1200" s="4" t="n"/>
      <c r="O1200" s="52" t="n"/>
      <c r="P1200" s="4" t="n"/>
      <c r="Q1200" s="4" t="n"/>
      <c r="R1200" s="4" t="n"/>
      <c r="S1200" s="4" t="n"/>
      <c r="T1200" s="4" t="n"/>
      <c r="U1200" s="4" t="n"/>
      <c r="V1200" s="4" t="n"/>
    </row>
    <row r="1201">
      <c r="A1201" s="4" t="n"/>
      <c r="B1201" s="50" t="n"/>
      <c r="C1201" s="4" t="n"/>
      <c r="D1201" s="4" t="n"/>
      <c r="E1201" s="51" t="n"/>
      <c r="F1201" s="50" t="n"/>
      <c r="G1201" s="4" t="n"/>
      <c r="H1201" s="4" t="n"/>
      <c r="I1201" s="4" t="n"/>
      <c r="J1201" s="4" t="n"/>
      <c r="K1201" s="4" t="n"/>
      <c r="L1201" s="4" t="n"/>
      <c r="M1201" s="4" t="n"/>
      <c r="N1201" s="4" t="n"/>
      <c r="O1201" s="52" t="n"/>
      <c r="P1201" s="4" t="n"/>
      <c r="Q1201" s="4" t="n"/>
      <c r="R1201" s="4" t="n"/>
      <c r="S1201" s="4" t="n"/>
      <c r="T1201" s="4" t="n"/>
      <c r="U1201" s="4" t="n"/>
      <c r="V1201" s="4" t="n"/>
    </row>
    <row r="1202">
      <c r="A1202" s="4" t="n"/>
      <c r="B1202" s="50" t="n"/>
      <c r="C1202" s="4" t="n"/>
      <c r="D1202" s="4" t="n"/>
      <c r="E1202" s="51" t="n"/>
      <c r="F1202" s="50" t="n"/>
      <c r="G1202" s="4" t="n"/>
      <c r="H1202" s="4" t="n"/>
      <c r="I1202" s="4" t="n"/>
      <c r="J1202" s="4" t="n"/>
      <c r="K1202" s="4" t="n"/>
      <c r="L1202" s="4" t="n"/>
      <c r="M1202" s="4" t="n"/>
      <c r="N1202" s="4" t="n"/>
      <c r="O1202" s="52" t="n"/>
      <c r="P1202" s="4" t="n"/>
      <c r="Q1202" s="4" t="n"/>
      <c r="R1202" s="4" t="n"/>
      <c r="S1202" s="4" t="n"/>
      <c r="T1202" s="4" t="n"/>
      <c r="U1202" s="4" t="n"/>
      <c r="V1202" s="4" t="n"/>
    </row>
    <row r="1203">
      <c r="A1203" s="4" t="n"/>
      <c r="B1203" s="50" t="n"/>
      <c r="C1203" s="4" t="n"/>
      <c r="D1203" s="4" t="n"/>
      <c r="E1203" s="51" t="n"/>
      <c r="F1203" s="50" t="n"/>
      <c r="G1203" s="4" t="n"/>
      <c r="H1203" s="4" t="n"/>
      <c r="I1203" s="4" t="n"/>
      <c r="J1203" s="4" t="n"/>
      <c r="K1203" s="4" t="n"/>
      <c r="L1203" s="4" t="n"/>
      <c r="M1203" s="4" t="n"/>
      <c r="N1203" s="4" t="n"/>
      <c r="O1203" s="52" t="n"/>
      <c r="P1203" s="4" t="n"/>
      <c r="Q1203" s="4" t="n"/>
      <c r="R1203" s="4" t="n"/>
      <c r="S1203" s="4" t="n"/>
      <c r="T1203" s="4" t="n"/>
      <c r="U1203" s="4" t="n"/>
      <c r="V1203" s="4" t="n"/>
    </row>
    <row r="1204">
      <c r="A1204" s="4" t="n"/>
      <c r="B1204" s="50" t="n"/>
      <c r="C1204" s="4" t="n"/>
      <c r="D1204" s="4" t="n"/>
      <c r="E1204" s="51" t="n"/>
      <c r="F1204" s="50" t="n"/>
      <c r="G1204" s="4" t="n"/>
      <c r="H1204" s="4" t="n"/>
      <c r="I1204" s="4" t="n"/>
      <c r="J1204" s="4" t="n"/>
      <c r="K1204" s="4" t="n"/>
      <c r="L1204" s="4" t="n"/>
      <c r="M1204" s="4" t="n"/>
      <c r="N1204" s="4" t="n"/>
      <c r="O1204" s="52" t="n"/>
      <c r="P1204" s="4" t="n"/>
      <c r="Q1204" s="4" t="n"/>
      <c r="R1204" s="4" t="n"/>
      <c r="S1204" s="4" t="n"/>
      <c r="T1204" s="4" t="n"/>
      <c r="U1204" s="4" t="n"/>
      <c r="V1204" s="4" t="n"/>
    </row>
    <row r="1205">
      <c r="A1205" s="4" t="n"/>
      <c r="B1205" s="50" t="n"/>
      <c r="C1205" s="4" t="n"/>
      <c r="D1205" s="4" t="n"/>
      <c r="E1205" s="51" t="n"/>
      <c r="F1205" s="50" t="n"/>
      <c r="G1205" s="4" t="n"/>
      <c r="H1205" s="4" t="n"/>
      <c r="I1205" s="4" t="n"/>
      <c r="J1205" s="4" t="n"/>
      <c r="K1205" s="4" t="n"/>
      <c r="L1205" s="4" t="n"/>
      <c r="M1205" s="4" t="n"/>
      <c r="N1205" s="4" t="n"/>
      <c r="O1205" s="52" t="n"/>
      <c r="P1205" s="4" t="n"/>
      <c r="Q1205" s="4" t="n"/>
      <c r="R1205" s="4" t="n"/>
      <c r="S1205" s="4" t="n"/>
      <c r="T1205" s="4" t="n"/>
      <c r="U1205" s="4" t="n"/>
      <c r="V1205" s="4" t="n"/>
    </row>
    <row r="1206">
      <c r="A1206" s="4" t="n"/>
      <c r="B1206" s="50" t="n"/>
      <c r="C1206" s="4" t="n"/>
      <c r="D1206" s="4" t="n"/>
      <c r="E1206" s="51" t="n"/>
      <c r="F1206" s="50" t="n"/>
      <c r="G1206" s="4" t="n"/>
      <c r="H1206" s="4" t="n"/>
      <c r="I1206" s="4" t="n"/>
      <c r="J1206" s="4" t="n"/>
      <c r="K1206" s="4" t="n"/>
      <c r="L1206" s="4" t="n"/>
      <c r="M1206" s="4" t="n"/>
      <c r="N1206" s="4" t="n"/>
      <c r="O1206" s="52" t="n"/>
      <c r="P1206" s="4" t="n"/>
      <c r="Q1206" s="4" t="n"/>
      <c r="R1206" s="4" t="n"/>
      <c r="S1206" s="4" t="n"/>
      <c r="T1206" s="4" t="n"/>
      <c r="U1206" s="4" t="n"/>
      <c r="V1206" s="4" t="n"/>
    </row>
    <row r="1207">
      <c r="A1207" s="4" t="n"/>
      <c r="B1207" s="50" t="n"/>
      <c r="C1207" s="4" t="n"/>
      <c r="D1207" s="4" t="n"/>
      <c r="E1207" s="51" t="n"/>
      <c r="F1207" s="50" t="n"/>
      <c r="G1207" s="4" t="n"/>
      <c r="H1207" s="4" t="n"/>
      <c r="I1207" s="4" t="n"/>
      <c r="J1207" s="4" t="n"/>
      <c r="K1207" s="4" t="n"/>
      <c r="L1207" s="4" t="n"/>
      <c r="M1207" s="4" t="n"/>
      <c r="N1207" s="4" t="n"/>
      <c r="O1207" s="52" t="n"/>
      <c r="P1207" s="4" t="n"/>
      <c r="Q1207" s="4" t="n"/>
      <c r="R1207" s="4" t="n"/>
      <c r="S1207" s="4" t="n"/>
      <c r="T1207" s="4" t="n"/>
      <c r="U1207" s="4" t="n"/>
      <c r="V1207" s="4" t="n"/>
    </row>
    <row r="1208">
      <c r="A1208" s="4" t="n"/>
      <c r="B1208" s="50" t="n"/>
      <c r="C1208" s="4" t="n"/>
      <c r="D1208" s="4" t="n"/>
      <c r="E1208" s="51" t="n"/>
      <c r="F1208" s="50" t="n"/>
      <c r="G1208" s="4" t="n"/>
      <c r="H1208" s="4" t="n"/>
      <c r="I1208" s="4" t="n"/>
      <c r="J1208" s="4" t="n"/>
      <c r="K1208" s="4" t="n"/>
      <c r="L1208" s="4" t="n"/>
      <c r="M1208" s="4" t="n"/>
      <c r="N1208" s="4" t="n"/>
      <c r="O1208" s="52" t="n"/>
      <c r="P1208" s="4" t="n"/>
      <c r="Q1208" s="4" t="n"/>
      <c r="R1208" s="4" t="n"/>
      <c r="S1208" s="4" t="n"/>
      <c r="T1208" s="4" t="n"/>
      <c r="U1208" s="4" t="n"/>
      <c r="V1208" s="4" t="n"/>
    </row>
    <row r="1209">
      <c r="A1209" s="4" t="n"/>
      <c r="B1209" s="50" t="n"/>
      <c r="C1209" s="4" t="n"/>
      <c r="D1209" s="4" t="n"/>
      <c r="E1209" s="51" t="n"/>
      <c r="F1209" s="50" t="n"/>
      <c r="G1209" s="4" t="n"/>
      <c r="H1209" s="4" t="n"/>
      <c r="I1209" s="4" t="n"/>
      <c r="J1209" s="4" t="n"/>
      <c r="K1209" s="4" t="n"/>
      <c r="L1209" s="4" t="n"/>
      <c r="M1209" s="4" t="n"/>
      <c r="N1209" s="4" t="n"/>
      <c r="O1209" s="52" t="n"/>
      <c r="P1209" s="4" t="n"/>
      <c r="Q1209" s="4" t="n"/>
      <c r="R1209" s="4" t="n"/>
      <c r="S1209" s="4" t="n"/>
      <c r="T1209" s="4" t="n"/>
      <c r="U1209" s="4" t="n"/>
      <c r="V1209" s="4" t="n"/>
    </row>
    <row r="1210">
      <c r="A1210" s="4" t="n"/>
      <c r="B1210" s="50" t="n"/>
      <c r="C1210" s="4" t="n"/>
      <c r="D1210" s="4" t="n"/>
      <c r="E1210" s="51" t="n"/>
      <c r="F1210" s="50" t="n"/>
      <c r="G1210" s="4" t="n"/>
      <c r="H1210" s="4" t="n"/>
      <c r="I1210" s="4" t="n"/>
      <c r="J1210" s="4" t="n"/>
      <c r="K1210" s="4" t="n"/>
      <c r="L1210" s="4" t="n"/>
      <c r="M1210" s="4" t="n"/>
      <c r="N1210" s="4" t="n"/>
      <c r="O1210" s="52" t="n"/>
      <c r="P1210" s="4" t="n"/>
      <c r="Q1210" s="4" t="n"/>
      <c r="R1210" s="4" t="n"/>
      <c r="S1210" s="4" t="n"/>
      <c r="T1210" s="4" t="n"/>
      <c r="U1210" s="4" t="n"/>
      <c r="V1210" s="4" t="n"/>
    </row>
    <row r="1211">
      <c r="A1211" s="4" t="n"/>
      <c r="B1211" s="50" t="n"/>
      <c r="C1211" s="4" t="n"/>
      <c r="D1211" s="4" t="n"/>
      <c r="E1211" s="51" t="n"/>
      <c r="F1211" s="50" t="n"/>
      <c r="G1211" s="4" t="n"/>
      <c r="H1211" s="4" t="n"/>
      <c r="I1211" s="4" t="n"/>
      <c r="J1211" s="4" t="n"/>
      <c r="K1211" s="4" t="n"/>
      <c r="L1211" s="4" t="n"/>
      <c r="M1211" s="4" t="n"/>
      <c r="N1211" s="4" t="n"/>
      <c r="O1211" s="52" t="n"/>
      <c r="P1211" s="4" t="n"/>
      <c r="Q1211" s="4" t="n"/>
      <c r="R1211" s="4" t="n"/>
      <c r="S1211" s="4" t="n"/>
      <c r="T1211" s="4" t="n"/>
      <c r="U1211" s="4" t="n"/>
      <c r="V1211" s="4" t="n"/>
    </row>
    <row r="1212">
      <c r="A1212" s="4" t="n"/>
      <c r="B1212" s="50" t="n"/>
      <c r="C1212" s="4" t="n"/>
      <c r="D1212" s="4" t="n"/>
      <c r="E1212" s="51" t="n"/>
      <c r="F1212" s="50" t="n"/>
      <c r="G1212" s="4" t="n"/>
      <c r="H1212" s="4" t="n"/>
      <c r="I1212" s="4" t="n"/>
      <c r="J1212" s="4" t="n"/>
      <c r="K1212" s="4" t="n"/>
      <c r="L1212" s="4" t="n"/>
      <c r="M1212" s="4" t="n"/>
      <c r="N1212" s="4" t="n"/>
      <c r="O1212" s="52" t="n"/>
      <c r="P1212" s="4" t="n"/>
      <c r="Q1212" s="4" t="n"/>
      <c r="R1212" s="4" t="n"/>
      <c r="S1212" s="4" t="n"/>
      <c r="T1212" s="4" t="n"/>
      <c r="U1212" s="4" t="n"/>
      <c r="V1212" s="4" t="n"/>
    </row>
    <row r="1213">
      <c r="A1213" s="4" t="n"/>
      <c r="B1213" s="50" t="n"/>
      <c r="C1213" s="4" t="n"/>
      <c r="D1213" s="4" t="n"/>
      <c r="E1213" s="51" t="n"/>
      <c r="F1213" s="50" t="n"/>
      <c r="G1213" s="4" t="n"/>
      <c r="H1213" s="4" t="n"/>
      <c r="I1213" s="4" t="n"/>
      <c r="J1213" s="4" t="n"/>
      <c r="K1213" s="4" t="n"/>
      <c r="L1213" s="4" t="n"/>
      <c r="M1213" s="4" t="n"/>
      <c r="N1213" s="4" t="n"/>
      <c r="O1213" s="52" t="n"/>
      <c r="P1213" s="4" t="n"/>
      <c r="Q1213" s="4" t="n"/>
      <c r="R1213" s="4" t="n"/>
      <c r="S1213" s="4" t="n"/>
      <c r="T1213" s="4" t="n"/>
      <c r="U1213" s="4" t="n"/>
      <c r="V1213" s="4" t="n"/>
    </row>
    <row r="1214">
      <c r="A1214" s="4" t="n"/>
      <c r="B1214" s="50" t="n"/>
      <c r="C1214" s="4" t="n"/>
      <c r="D1214" s="4" t="n"/>
      <c r="E1214" s="51" t="n"/>
      <c r="F1214" s="50" t="n"/>
      <c r="G1214" s="4" t="n"/>
      <c r="H1214" s="4" t="n"/>
      <c r="I1214" s="4" t="n"/>
      <c r="J1214" s="4" t="n"/>
      <c r="K1214" s="4" t="n"/>
      <c r="L1214" s="4" t="n"/>
      <c r="M1214" s="4" t="n"/>
      <c r="N1214" s="4" t="n"/>
      <c r="O1214" s="52" t="n"/>
      <c r="P1214" s="4" t="n"/>
      <c r="Q1214" s="4" t="n"/>
      <c r="R1214" s="4" t="n"/>
      <c r="S1214" s="4" t="n"/>
      <c r="T1214" s="4" t="n"/>
      <c r="U1214" s="4" t="n"/>
      <c r="V1214" s="4" t="n"/>
    </row>
    <row r="1215">
      <c r="A1215" s="4" t="n"/>
      <c r="B1215" s="50" t="n"/>
      <c r="C1215" s="4" t="n"/>
      <c r="D1215" s="4" t="n"/>
      <c r="E1215" s="51" t="n"/>
      <c r="F1215" s="50" t="n"/>
      <c r="G1215" s="4" t="n"/>
      <c r="H1215" s="4" t="n"/>
      <c r="I1215" s="4" t="n"/>
      <c r="J1215" s="4" t="n"/>
      <c r="K1215" s="4" t="n"/>
      <c r="L1215" s="4" t="n"/>
      <c r="M1215" s="4" t="n"/>
      <c r="N1215" s="4" t="n"/>
      <c r="O1215" s="52" t="n"/>
      <c r="P1215" s="4" t="n"/>
      <c r="Q1215" s="4" t="n"/>
      <c r="R1215" s="4" t="n"/>
      <c r="S1215" s="4" t="n"/>
      <c r="T1215" s="4" t="n"/>
      <c r="U1215" s="4" t="n"/>
      <c r="V1215" s="4" t="n"/>
    </row>
    <row r="1216">
      <c r="A1216" s="4" t="n"/>
      <c r="B1216" s="50" t="n"/>
      <c r="C1216" s="4" t="n"/>
      <c r="D1216" s="4" t="n"/>
      <c r="E1216" s="51" t="n"/>
      <c r="F1216" s="50" t="n"/>
      <c r="G1216" s="4" t="n"/>
      <c r="H1216" s="4" t="n"/>
      <c r="I1216" s="4" t="n"/>
      <c r="J1216" s="4" t="n"/>
      <c r="K1216" s="4" t="n"/>
      <c r="L1216" s="4" t="n"/>
      <c r="M1216" s="4" t="n"/>
      <c r="N1216" s="4" t="n"/>
      <c r="O1216" s="52" t="n"/>
      <c r="P1216" s="4" t="n"/>
      <c r="Q1216" s="4" t="n"/>
      <c r="R1216" s="4" t="n"/>
      <c r="S1216" s="4" t="n"/>
      <c r="T1216" s="4" t="n"/>
      <c r="U1216" s="4" t="n"/>
      <c r="V1216" s="4" t="n"/>
    </row>
    <row r="1217">
      <c r="A1217" s="4" t="n"/>
      <c r="B1217" s="50" t="n"/>
      <c r="C1217" s="4" t="n"/>
      <c r="D1217" s="4" t="n"/>
      <c r="E1217" s="51" t="n"/>
      <c r="F1217" s="50" t="n"/>
      <c r="G1217" s="4" t="n"/>
      <c r="H1217" s="4" t="n"/>
      <c r="I1217" s="4" t="n"/>
      <c r="J1217" s="4" t="n"/>
      <c r="K1217" s="4" t="n"/>
      <c r="L1217" s="4" t="n"/>
      <c r="M1217" s="4" t="n"/>
      <c r="N1217" s="4" t="n"/>
      <c r="O1217" s="52" t="n"/>
      <c r="P1217" s="4" t="n"/>
      <c r="Q1217" s="4" t="n"/>
      <c r="R1217" s="4" t="n"/>
      <c r="S1217" s="4" t="n"/>
      <c r="T1217" s="4" t="n"/>
      <c r="U1217" s="4" t="n"/>
      <c r="V1217" s="4" t="n"/>
    </row>
    <row r="1218">
      <c r="A1218" s="4" t="n"/>
      <c r="B1218" s="50" t="n"/>
      <c r="C1218" s="4" t="n"/>
      <c r="D1218" s="4" t="n"/>
      <c r="E1218" s="51" t="n"/>
      <c r="F1218" s="50" t="n"/>
      <c r="G1218" s="4" t="n"/>
      <c r="H1218" s="4" t="n"/>
      <c r="I1218" s="4" t="n"/>
      <c r="J1218" s="4" t="n"/>
      <c r="K1218" s="4" t="n"/>
      <c r="L1218" s="4" t="n"/>
      <c r="M1218" s="4" t="n"/>
      <c r="N1218" s="4" t="n"/>
      <c r="O1218" s="52" t="n"/>
      <c r="P1218" s="4" t="n"/>
      <c r="Q1218" s="4" t="n"/>
      <c r="R1218" s="4" t="n"/>
      <c r="S1218" s="4" t="n"/>
      <c r="T1218" s="4" t="n"/>
      <c r="U1218" s="4" t="n"/>
      <c r="V1218" s="4" t="n"/>
    </row>
    <row r="1219">
      <c r="A1219" s="4" t="n"/>
      <c r="B1219" s="50" t="n"/>
      <c r="C1219" s="4" t="n"/>
      <c r="D1219" s="4" t="n"/>
      <c r="E1219" s="51" t="n"/>
      <c r="F1219" s="50" t="n"/>
      <c r="G1219" s="4" t="n"/>
      <c r="H1219" s="4" t="n"/>
      <c r="I1219" s="4" t="n"/>
      <c r="J1219" s="4" t="n"/>
      <c r="K1219" s="4" t="n"/>
      <c r="L1219" s="4" t="n"/>
      <c r="M1219" s="4" t="n"/>
      <c r="N1219" s="4" t="n"/>
      <c r="O1219" s="52" t="n"/>
      <c r="P1219" s="4" t="n"/>
      <c r="Q1219" s="4" t="n"/>
      <c r="R1219" s="4" t="n"/>
      <c r="S1219" s="4" t="n"/>
      <c r="T1219" s="4" t="n"/>
      <c r="U1219" s="4" t="n"/>
      <c r="V1219" s="4" t="n"/>
    </row>
    <row r="1220">
      <c r="A1220" s="4" t="n"/>
      <c r="B1220" s="50" t="n"/>
      <c r="C1220" s="4" t="n"/>
      <c r="D1220" s="4" t="n"/>
      <c r="E1220" s="51" t="n"/>
      <c r="F1220" s="50" t="n"/>
      <c r="G1220" s="4" t="n"/>
      <c r="H1220" s="4" t="n"/>
      <c r="I1220" s="4" t="n"/>
      <c r="J1220" s="4" t="n"/>
      <c r="K1220" s="4" t="n"/>
      <c r="L1220" s="4" t="n"/>
      <c r="M1220" s="4" t="n"/>
      <c r="N1220" s="4" t="n"/>
      <c r="O1220" s="52" t="n"/>
      <c r="P1220" s="4" t="n"/>
      <c r="Q1220" s="4" t="n"/>
      <c r="R1220" s="4" t="n"/>
      <c r="S1220" s="4" t="n"/>
      <c r="T1220" s="4" t="n"/>
      <c r="U1220" s="4" t="n"/>
      <c r="V1220" s="4" t="n"/>
    </row>
    <row r="1221">
      <c r="A1221" s="4" t="n"/>
      <c r="B1221" s="50" t="n"/>
      <c r="C1221" s="4" t="n"/>
      <c r="D1221" s="4" t="n"/>
      <c r="E1221" s="51" t="n"/>
      <c r="F1221" s="50" t="n"/>
      <c r="G1221" s="4" t="n"/>
      <c r="H1221" s="4" t="n"/>
      <c r="I1221" s="4" t="n"/>
      <c r="J1221" s="4" t="n"/>
      <c r="K1221" s="4" t="n"/>
      <c r="L1221" s="4" t="n"/>
      <c r="M1221" s="4" t="n"/>
      <c r="N1221" s="4" t="n"/>
      <c r="O1221" s="52" t="n"/>
      <c r="P1221" s="4" t="n"/>
      <c r="Q1221" s="4" t="n"/>
      <c r="R1221" s="4" t="n"/>
      <c r="S1221" s="4" t="n"/>
      <c r="T1221" s="4" t="n"/>
      <c r="U1221" s="4" t="n"/>
      <c r="V1221" s="4" t="n"/>
    </row>
    <row r="1222">
      <c r="A1222" s="4" t="n"/>
      <c r="B1222" s="50" t="n"/>
      <c r="C1222" s="4" t="n"/>
      <c r="D1222" s="4" t="n"/>
      <c r="E1222" s="51" t="n"/>
      <c r="F1222" s="50" t="n"/>
      <c r="G1222" s="4" t="n"/>
      <c r="H1222" s="4" t="n"/>
      <c r="I1222" s="4" t="n"/>
      <c r="J1222" s="4" t="n"/>
      <c r="K1222" s="4" t="n"/>
      <c r="L1222" s="4" t="n"/>
      <c r="M1222" s="4" t="n"/>
      <c r="N1222" s="4" t="n"/>
      <c r="O1222" s="52" t="n"/>
      <c r="P1222" s="4" t="n"/>
      <c r="Q1222" s="4" t="n"/>
      <c r="R1222" s="4" t="n"/>
      <c r="S1222" s="4" t="n"/>
      <c r="T1222" s="4" t="n"/>
      <c r="U1222" s="4" t="n"/>
      <c r="V1222" s="4" t="n"/>
    </row>
    <row r="1223">
      <c r="A1223" s="4" t="n"/>
      <c r="B1223" s="50" t="n"/>
      <c r="C1223" s="4" t="n"/>
      <c r="D1223" s="4" t="n"/>
      <c r="E1223" s="51" t="n"/>
      <c r="F1223" s="50" t="n"/>
      <c r="G1223" s="4" t="n"/>
      <c r="H1223" s="4" t="n"/>
      <c r="I1223" s="4" t="n"/>
      <c r="J1223" s="4" t="n"/>
      <c r="K1223" s="4" t="n"/>
      <c r="L1223" s="4" t="n"/>
      <c r="M1223" s="4" t="n"/>
      <c r="N1223" s="4" t="n"/>
      <c r="O1223" s="52" t="n"/>
      <c r="P1223" s="4" t="n"/>
      <c r="Q1223" s="4" t="n"/>
      <c r="R1223" s="4" t="n"/>
      <c r="S1223" s="4" t="n"/>
      <c r="T1223" s="4" t="n"/>
      <c r="U1223" s="4" t="n"/>
      <c r="V1223" s="4" t="n"/>
    </row>
    <row r="1224">
      <c r="A1224" s="4" t="n"/>
      <c r="B1224" s="50" t="n"/>
      <c r="C1224" s="4" t="n"/>
      <c r="D1224" s="4" t="n"/>
      <c r="E1224" s="51" t="n"/>
      <c r="F1224" s="50" t="n"/>
      <c r="G1224" s="4" t="n"/>
      <c r="H1224" s="4" t="n"/>
      <c r="I1224" s="4" t="n"/>
      <c r="J1224" s="4" t="n"/>
      <c r="K1224" s="4" t="n"/>
      <c r="L1224" s="4" t="n"/>
      <c r="M1224" s="4" t="n"/>
      <c r="N1224" s="4" t="n"/>
      <c r="O1224" s="52" t="n"/>
      <c r="P1224" s="4" t="n"/>
      <c r="Q1224" s="4" t="n"/>
      <c r="R1224" s="4" t="n"/>
      <c r="S1224" s="4" t="n"/>
      <c r="T1224" s="4" t="n"/>
      <c r="U1224" s="4" t="n"/>
      <c r="V1224" s="4" t="n"/>
    </row>
    <row r="1225">
      <c r="A1225" s="4" t="n"/>
      <c r="B1225" s="50" t="n"/>
      <c r="C1225" s="4" t="n"/>
      <c r="D1225" s="4" t="n"/>
      <c r="E1225" s="51" t="n"/>
      <c r="F1225" s="50" t="n"/>
      <c r="G1225" s="4" t="n"/>
      <c r="H1225" s="4" t="n"/>
      <c r="I1225" s="4" t="n"/>
      <c r="J1225" s="4" t="n"/>
      <c r="K1225" s="4" t="n"/>
      <c r="L1225" s="4" t="n"/>
      <c r="M1225" s="4" t="n"/>
      <c r="N1225" s="4" t="n"/>
      <c r="O1225" s="52" t="n"/>
      <c r="P1225" s="4" t="n"/>
      <c r="Q1225" s="4" t="n"/>
      <c r="R1225" s="4" t="n"/>
      <c r="S1225" s="4" t="n"/>
      <c r="T1225" s="4" t="n"/>
      <c r="U1225" s="4" t="n"/>
      <c r="V1225" s="4" t="n"/>
    </row>
    <row r="1226">
      <c r="A1226" s="4" t="n"/>
      <c r="B1226" s="50" t="n"/>
      <c r="C1226" s="4" t="n"/>
      <c r="D1226" s="4" t="n"/>
      <c r="E1226" s="51" t="n"/>
      <c r="F1226" s="50" t="n"/>
      <c r="G1226" s="4" t="n"/>
      <c r="H1226" s="4" t="n"/>
      <c r="I1226" s="4" t="n"/>
      <c r="J1226" s="4" t="n"/>
      <c r="K1226" s="4" t="n"/>
      <c r="L1226" s="4" t="n"/>
      <c r="M1226" s="4" t="n"/>
      <c r="N1226" s="4" t="n"/>
      <c r="O1226" s="52" t="n"/>
      <c r="P1226" s="4" t="n"/>
      <c r="Q1226" s="4" t="n"/>
      <c r="R1226" s="4" t="n"/>
      <c r="S1226" s="4" t="n"/>
      <c r="T1226" s="4" t="n"/>
      <c r="U1226" s="4" t="n"/>
      <c r="V1226" s="4" t="n"/>
    </row>
    <row r="1227">
      <c r="A1227" s="4" t="n"/>
      <c r="B1227" s="50" t="n"/>
      <c r="C1227" s="4" t="n"/>
      <c r="D1227" s="4" t="n"/>
      <c r="E1227" s="51" t="n"/>
      <c r="F1227" s="50" t="n"/>
      <c r="G1227" s="4" t="n"/>
      <c r="H1227" s="4" t="n"/>
      <c r="I1227" s="4" t="n"/>
      <c r="J1227" s="4" t="n"/>
      <c r="K1227" s="4" t="n"/>
      <c r="L1227" s="4" t="n"/>
      <c r="M1227" s="4" t="n"/>
      <c r="N1227" s="4" t="n"/>
      <c r="O1227" s="52" t="n"/>
      <c r="P1227" s="4" t="n"/>
      <c r="Q1227" s="4" t="n"/>
      <c r="R1227" s="4" t="n"/>
      <c r="S1227" s="4" t="n"/>
      <c r="T1227" s="4" t="n"/>
      <c r="U1227" s="4" t="n"/>
      <c r="V1227" s="4" t="n"/>
    </row>
    <row r="1228">
      <c r="A1228" s="4" t="n"/>
      <c r="B1228" s="50" t="n"/>
      <c r="C1228" s="4" t="n"/>
      <c r="D1228" s="4" t="n"/>
      <c r="E1228" s="51" t="n"/>
      <c r="F1228" s="50" t="n"/>
      <c r="G1228" s="4" t="n"/>
      <c r="H1228" s="4" t="n"/>
      <c r="I1228" s="4" t="n"/>
      <c r="J1228" s="4" t="n"/>
      <c r="K1228" s="4" t="n"/>
      <c r="L1228" s="4" t="n"/>
      <c r="M1228" s="4" t="n"/>
      <c r="N1228" s="4" t="n"/>
      <c r="O1228" s="52" t="n"/>
      <c r="P1228" s="4" t="n"/>
      <c r="Q1228" s="4" t="n"/>
      <c r="R1228" s="4" t="n"/>
      <c r="S1228" s="4" t="n"/>
      <c r="T1228" s="4" t="n"/>
      <c r="U1228" s="4" t="n"/>
      <c r="V1228" s="4" t="n"/>
    </row>
    <row r="1229">
      <c r="A1229" s="4" t="n"/>
      <c r="B1229" s="50" t="n"/>
      <c r="C1229" s="4" t="n"/>
      <c r="D1229" s="4" t="n"/>
      <c r="E1229" s="51" t="n"/>
      <c r="F1229" s="50" t="n"/>
      <c r="G1229" s="4" t="n"/>
      <c r="H1229" s="4" t="n"/>
      <c r="I1229" s="4" t="n"/>
      <c r="J1229" s="4" t="n"/>
      <c r="K1229" s="4" t="n"/>
      <c r="L1229" s="4" t="n"/>
      <c r="M1229" s="4" t="n"/>
      <c r="N1229" s="4" t="n"/>
      <c r="O1229" s="52" t="n"/>
      <c r="P1229" s="4" t="n"/>
      <c r="Q1229" s="4" t="n"/>
      <c r="R1229" s="4" t="n"/>
      <c r="S1229" s="4" t="n"/>
      <c r="T1229" s="4" t="n"/>
      <c r="U1229" s="4" t="n"/>
      <c r="V1229" s="4" t="n"/>
    </row>
    <row r="1230">
      <c r="A1230" s="4" t="n"/>
      <c r="B1230" s="50" t="n"/>
      <c r="C1230" s="4" t="n"/>
      <c r="D1230" s="4" t="n"/>
      <c r="E1230" s="51" t="n"/>
      <c r="F1230" s="50" t="n"/>
      <c r="G1230" s="4" t="n"/>
      <c r="H1230" s="4" t="n"/>
      <c r="I1230" s="4" t="n"/>
      <c r="J1230" s="4" t="n"/>
      <c r="K1230" s="4" t="n"/>
      <c r="L1230" s="4" t="n"/>
      <c r="M1230" s="4" t="n"/>
      <c r="N1230" s="4" t="n"/>
      <c r="O1230" s="52" t="n"/>
      <c r="P1230" s="4" t="n"/>
      <c r="Q1230" s="4" t="n"/>
      <c r="R1230" s="4" t="n"/>
      <c r="S1230" s="4" t="n"/>
      <c r="T1230" s="4" t="n"/>
      <c r="U1230" s="4" t="n"/>
      <c r="V1230" s="4" t="n"/>
    </row>
    <row r="1231">
      <c r="A1231" s="4" t="n"/>
      <c r="B1231" s="50" t="n"/>
      <c r="C1231" s="4" t="n"/>
      <c r="D1231" s="4" t="n"/>
      <c r="E1231" s="51" t="n"/>
      <c r="F1231" s="50" t="n"/>
      <c r="G1231" s="4" t="n"/>
      <c r="H1231" s="4" t="n"/>
      <c r="I1231" s="4" t="n"/>
      <c r="J1231" s="4" t="n"/>
      <c r="K1231" s="4" t="n"/>
      <c r="L1231" s="4" t="n"/>
      <c r="M1231" s="4" t="n"/>
      <c r="N1231" s="4" t="n"/>
      <c r="O1231" s="52" t="n"/>
      <c r="P1231" s="4" t="n"/>
      <c r="Q1231" s="4" t="n"/>
      <c r="R1231" s="4" t="n"/>
      <c r="S1231" s="4" t="n"/>
      <c r="T1231" s="4" t="n"/>
      <c r="U1231" s="4" t="n"/>
      <c r="V1231" s="4" t="n"/>
    </row>
    <row r="1232">
      <c r="A1232" s="4" t="n"/>
      <c r="B1232" s="50" t="n"/>
      <c r="C1232" s="4" t="n"/>
      <c r="D1232" s="4" t="n"/>
      <c r="E1232" s="51" t="n"/>
      <c r="F1232" s="50" t="n"/>
      <c r="G1232" s="4" t="n"/>
      <c r="H1232" s="4" t="n"/>
      <c r="I1232" s="4" t="n"/>
      <c r="J1232" s="4" t="n"/>
      <c r="K1232" s="4" t="n"/>
      <c r="L1232" s="4" t="n"/>
      <c r="M1232" s="4" t="n"/>
      <c r="N1232" s="4" t="n"/>
      <c r="O1232" s="52" t="n"/>
      <c r="P1232" s="4" t="n"/>
      <c r="Q1232" s="4" t="n"/>
      <c r="R1232" s="4" t="n"/>
      <c r="S1232" s="4" t="n"/>
      <c r="T1232" s="4" t="n"/>
      <c r="U1232" s="4" t="n"/>
      <c r="V1232" s="4" t="n"/>
    </row>
    <row r="1233">
      <c r="A1233" s="4" t="n"/>
      <c r="B1233" s="50" t="n"/>
      <c r="C1233" s="4" t="n"/>
      <c r="D1233" s="4" t="n"/>
      <c r="E1233" s="51" t="n"/>
      <c r="F1233" s="50" t="n"/>
      <c r="G1233" s="4" t="n"/>
      <c r="H1233" s="4" t="n"/>
      <c r="I1233" s="4" t="n"/>
      <c r="J1233" s="4" t="n"/>
      <c r="K1233" s="4" t="n"/>
      <c r="L1233" s="4" t="n"/>
      <c r="M1233" s="4" t="n"/>
      <c r="N1233" s="4" t="n"/>
      <c r="O1233" s="52" t="n"/>
      <c r="P1233" s="4" t="n"/>
      <c r="Q1233" s="4" t="n"/>
      <c r="R1233" s="4" t="n"/>
      <c r="S1233" s="4" t="n"/>
      <c r="T1233" s="4" t="n"/>
      <c r="U1233" s="4" t="n"/>
      <c r="V1233" s="4" t="n"/>
    </row>
    <row r="1234">
      <c r="A1234" s="4" t="n"/>
      <c r="B1234" s="50" t="n"/>
      <c r="C1234" s="4" t="n"/>
      <c r="D1234" s="4" t="n"/>
      <c r="E1234" s="51" t="n"/>
      <c r="F1234" s="50" t="n"/>
      <c r="G1234" s="4" t="n"/>
      <c r="H1234" s="4" t="n"/>
      <c r="I1234" s="4" t="n"/>
      <c r="J1234" s="4" t="n"/>
      <c r="K1234" s="4" t="n"/>
      <c r="L1234" s="4" t="n"/>
      <c r="M1234" s="4" t="n"/>
      <c r="N1234" s="4" t="n"/>
      <c r="O1234" s="52" t="n"/>
      <c r="P1234" s="4" t="n"/>
      <c r="Q1234" s="4" t="n"/>
      <c r="R1234" s="4" t="n"/>
      <c r="S1234" s="4" t="n"/>
      <c r="T1234" s="4" t="n"/>
      <c r="U1234" s="4" t="n"/>
      <c r="V1234" s="4" t="n"/>
    </row>
    <row r="1235">
      <c r="A1235" s="4" t="n"/>
      <c r="B1235" s="50" t="n"/>
      <c r="C1235" s="4" t="n"/>
      <c r="D1235" s="4" t="n"/>
      <c r="E1235" s="51" t="n"/>
      <c r="F1235" s="50" t="n"/>
      <c r="G1235" s="4" t="n"/>
      <c r="H1235" s="4" t="n"/>
      <c r="I1235" s="4" t="n"/>
      <c r="J1235" s="4" t="n"/>
      <c r="K1235" s="4" t="n"/>
      <c r="L1235" s="4" t="n"/>
      <c r="M1235" s="4" t="n"/>
      <c r="N1235" s="4" t="n"/>
      <c r="O1235" s="52" t="n"/>
      <c r="P1235" s="4" t="n"/>
      <c r="Q1235" s="4" t="n"/>
      <c r="R1235" s="4" t="n"/>
      <c r="S1235" s="4" t="n"/>
      <c r="T1235" s="4" t="n"/>
      <c r="U1235" s="4" t="n"/>
      <c r="V1235" s="4" t="n"/>
    </row>
    <row r="1236">
      <c r="A1236" s="4" t="n"/>
      <c r="B1236" s="50" t="n"/>
      <c r="C1236" s="4" t="n"/>
      <c r="D1236" s="4" t="n"/>
      <c r="E1236" s="51" t="n"/>
      <c r="F1236" s="50" t="n"/>
      <c r="G1236" s="4" t="n"/>
      <c r="H1236" s="4" t="n"/>
      <c r="I1236" s="4" t="n"/>
      <c r="J1236" s="4" t="n"/>
      <c r="K1236" s="4" t="n"/>
      <c r="L1236" s="4" t="n"/>
      <c r="M1236" s="4" t="n"/>
      <c r="N1236" s="4" t="n"/>
      <c r="O1236" s="52" t="n"/>
      <c r="P1236" s="4" t="n"/>
      <c r="Q1236" s="4" t="n"/>
      <c r="R1236" s="4" t="n"/>
      <c r="S1236" s="4" t="n"/>
      <c r="T1236" s="4" t="n"/>
      <c r="U1236" s="4" t="n"/>
      <c r="V1236" s="4" t="n"/>
    </row>
    <row r="1237">
      <c r="A1237" s="4" t="n"/>
      <c r="B1237" s="50" t="n"/>
      <c r="C1237" s="4" t="n"/>
      <c r="D1237" s="4" t="n"/>
      <c r="E1237" s="51" t="n"/>
      <c r="F1237" s="50" t="n"/>
      <c r="G1237" s="4" t="n"/>
      <c r="H1237" s="4" t="n"/>
      <c r="I1237" s="4" t="n"/>
      <c r="J1237" s="4" t="n"/>
      <c r="K1237" s="4" t="n"/>
      <c r="L1237" s="4" t="n"/>
      <c r="M1237" s="4" t="n"/>
      <c r="N1237" s="4" t="n"/>
      <c r="O1237" s="52" t="n"/>
      <c r="P1237" s="4" t="n"/>
      <c r="Q1237" s="4" t="n"/>
      <c r="R1237" s="4" t="n"/>
      <c r="S1237" s="4" t="n"/>
      <c r="T1237" s="4" t="n"/>
      <c r="U1237" s="4" t="n"/>
      <c r="V1237" s="4" t="n"/>
    </row>
    <row r="1238">
      <c r="A1238" s="4" t="n"/>
      <c r="B1238" s="50" t="n"/>
      <c r="C1238" s="4" t="n"/>
      <c r="D1238" s="4" t="n"/>
      <c r="E1238" s="51" t="n"/>
      <c r="F1238" s="50" t="n"/>
      <c r="G1238" s="4" t="n"/>
      <c r="H1238" s="4" t="n"/>
      <c r="I1238" s="4" t="n"/>
      <c r="J1238" s="4" t="n"/>
      <c r="K1238" s="4" t="n"/>
      <c r="L1238" s="4" t="n"/>
      <c r="M1238" s="4" t="n"/>
      <c r="N1238" s="4" t="n"/>
      <c r="O1238" s="52" t="n"/>
      <c r="P1238" s="4" t="n"/>
      <c r="Q1238" s="4" t="n"/>
      <c r="R1238" s="4" t="n"/>
      <c r="S1238" s="4" t="n"/>
      <c r="T1238" s="4" t="n"/>
      <c r="U1238" s="4" t="n"/>
      <c r="V1238" s="4" t="n"/>
    </row>
    <row r="1239">
      <c r="A1239" s="4" t="n"/>
      <c r="B1239" s="50" t="n"/>
      <c r="C1239" s="4" t="n"/>
      <c r="D1239" s="4" t="n"/>
      <c r="E1239" s="51" t="n"/>
      <c r="F1239" s="50" t="n"/>
      <c r="G1239" s="4" t="n"/>
      <c r="H1239" s="4" t="n"/>
      <c r="I1239" s="4" t="n"/>
      <c r="J1239" s="4" t="n"/>
      <c r="K1239" s="4" t="n"/>
      <c r="L1239" s="4" t="n"/>
      <c r="M1239" s="4" t="n"/>
      <c r="N1239" s="4" t="n"/>
      <c r="O1239" s="52" t="n"/>
      <c r="P1239" s="4" t="n"/>
      <c r="Q1239" s="4" t="n"/>
      <c r="R1239" s="4" t="n"/>
      <c r="S1239" s="4" t="n"/>
      <c r="T1239" s="4" t="n"/>
      <c r="U1239" s="4" t="n"/>
      <c r="V1239" s="4" t="n"/>
    </row>
    <row r="1240">
      <c r="A1240" s="4" t="n"/>
      <c r="B1240" s="50" t="n"/>
      <c r="C1240" s="4" t="n"/>
      <c r="D1240" s="4" t="n"/>
      <c r="E1240" s="51" t="n"/>
      <c r="F1240" s="50" t="n"/>
      <c r="G1240" s="4" t="n"/>
      <c r="H1240" s="4" t="n"/>
      <c r="I1240" s="4" t="n"/>
      <c r="J1240" s="4" t="n"/>
      <c r="K1240" s="4" t="n"/>
      <c r="L1240" s="4" t="n"/>
      <c r="M1240" s="4" t="n"/>
      <c r="N1240" s="4" t="n"/>
      <c r="O1240" s="52" t="n"/>
      <c r="P1240" s="4" t="n"/>
      <c r="Q1240" s="4" t="n"/>
      <c r="R1240" s="4" t="n"/>
      <c r="S1240" s="4" t="n"/>
      <c r="T1240" s="4" t="n"/>
      <c r="U1240" s="4" t="n"/>
      <c r="V1240" s="4" t="n"/>
    </row>
    <row r="1241">
      <c r="A1241" s="4" t="n"/>
      <c r="B1241" s="50" t="n"/>
      <c r="C1241" s="4" t="n"/>
      <c r="D1241" s="4" t="n"/>
      <c r="E1241" s="51" t="n"/>
      <c r="F1241" s="50" t="n"/>
      <c r="G1241" s="4" t="n"/>
      <c r="H1241" s="4" t="n"/>
      <c r="I1241" s="4" t="n"/>
      <c r="J1241" s="4" t="n"/>
      <c r="K1241" s="4" t="n"/>
      <c r="L1241" s="4" t="n"/>
      <c r="M1241" s="4" t="n"/>
      <c r="N1241" s="4" t="n"/>
      <c r="O1241" s="52" t="n"/>
      <c r="P1241" s="4" t="n"/>
      <c r="Q1241" s="4" t="n"/>
      <c r="R1241" s="4" t="n"/>
      <c r="S1241" s="4" t="n"/>
      <c r="T1241" s="4" t="n"/>
      <c r="U1241" s="4" t="n"/>
      <c r="V1241" s="4" t="n"/>
    </row>
    <row r="1242">
      <c r="A1242" s="4" t="n"/>
      <c r="B1242" s="50" t="n"/>
      <c r="C1242" s="4" t="n"/>
      <c r="D1242" s="4" t="n"/>
      <c r="E1242" s="51" t="n"/>
      <c r="F1242" s="50" t="n"/>
      <c r="G1242" s="4" t="n"/>
      <c r="H1242" s="4" t="n"/>
      <c r="I1242" s="4" t="n"/>
      <c r="J1242" s="4" t="n"/>
      <c r="K1242" s="4" t="n"/>
      <c r="L1242" s="4" t="n"/>
      <c r="M1242" s="4" t="n"/>
      <c r="N1242" s="4" t="n"/>
      <c r="O1242" s="52" t="n"/>
      <c r="P1242" s="4" t="n"/>
      <c r="Q1242" s="4" t="n"/>
      <c r="R1242" s="4" t="n"/>
      <c r="S1242" s="4" t="n"/>
      <c r="T1242" s="4" t="n"/>
      <c r="U1242" s="4" t="n"/>
      <c r="V1242" s="4" t="n"/>
    </row>
    <row r="1243">
      <c r="A1243" s="4" t="n"/>
      <c r="B1243" s="50" t="n"/>
      <c r="C1243" s="4" t="n"/>
      <c r="D1243" s="4" t="n"/>
      <c r="E1243" s="51" t="n"/>
      <c r="F1243" s="50" t="n"/>
      <c r="G1243" s="4" t="n"/>
      <c r="H1243" s="4" t="n"/>
      <c r="I1243" s="4" t="n"/>
      <c r="J1243" s="4" t="n"/>
      <c r="K1243" s="4" t="n"/>
      <c r="L1243" s="4" t="n"/>
      <c r="M1243" s="4" t="n"/>
      <c r="N1243" s="4" t="n"/>
      <c r="O1243" s="52" t="n"/>
      <c r="P1243" s="4" t="n"/>
      <c r="Q1243" s="4" t="n"/>
      <c r="R1243" s="4" t="n"/>
      <c r="S1243" s="4" t="n"/>
      <c r="T1243" s="4" t="n"/>
      <c r="U1243" s="4" t="n"/>
      <c r="V1243" s="4" t="n"/>
    </row>
    <row r="1244">
      <c r="A1244" s="4" t="n"/>
      <c r="B1244" s="50" t="n"/>
      <c r="C1244" s="4" t="n"/>
      <c r="D1244" s="4" t="n"/>
      <c r="E1244" s="51" t="n"/>
      <c r="F1244" s="50" t="n"/>
      <c r="G1244" s="4" t="n"/>
      <c r="H1244" s="4" t="n"/>
      <c r="I1244" s="4" t="n"/>
      <c r="J1244" s="4" t="n"/>
      <c r="K1244" s="4" t="n"/>
      <c r="L1244" s="4" t="n"/>
      <c r="M1244" s="4" t="n"/>
      <c r="N1244" s="4" t="n"/>
      <c r="O1244" s="52" t="n"/>
      <c r="P1244" s="4" t="n"/>
      <c r="Q1244" s="4" t="n"/>
      <c r="R1244" s="4" t="n"/>
      <c r="S1244" s="4" t="n"/>
      <c r="T1244" s="4" t="n"/>
      <c r="U1244" s="4" t="n"/>
      <c r="V1244" s="4" t="n"/>
    </row>
    <row r="1245">
      <c r="A1245" s="4" t="n"/>
      <c r="B1245" s="50" t="n"/>
      <c r="C1245" s="4" t="n"/>
      <c r="D1245" s="4" t="n"/>
      <c r="E1245" s="51" t="n"/>
      <c r="F1245" s="50" t="n"/>
      <c r="G1245" s="4" t="n"/>
      <c r="H1245" s="4" t="n"/>
      <c r="I1245" s="4" t="n"/>
      <c r="J1245" s="4" t="n"/>
      <c r="K1245" s="4" t="n"/>
      <c r="L1245" s="4" t="n"/>
      <c r="M1245" s="4" t="n"/>
      <c r="N1245" s="4" t="n"/>
      <c r="O1245" s="52" t="n"/>
      <c r="P1245" s="4" t="n"/>
      <c r="Q1245" s="4" t="n"/>
      <c r="R1245" s="4" t="n"/>
      <c r="S1245" s="4" t="n"/>
      <c r="T1245" s="4" t="n"/>
      <c r="U1245" s="4" t="n"/>
      <c r="V1245" s="4" t="n"/>
    </row>
    <row r="1246">
      <c r="A1246" s="4" t="n"/>
      <c r="B1246" s="50" t="n"/>
      <c r="C1246" s="4" t="n"/>
      <c r="D1246" s="4" t="n"/>
      <c r="E1246" s="51" t="n"/>
      <c r="F1246" s="50" t="n"/>
      <c r="G1246" s="4" t="n"/>
      <c r="H1246" s="4" t="n"/>
      <c r="I1246" s="4" t="n"/>
      <c r="J1246" s="4" t="n"/>
      <c r="K1246" s="4" t="n"/>
      <c r="L1246" s="4" t="n"/>
      <c r="M1246" s="4" t="n"/>
      <c r="N1246" s="4" t="n"/>
      <c r="O1246" s="52" t="n"/>
      <c r="P1246" s="4" t="n"/>
      <c r="Q1246" s="4" t="n"/>
      <c r="R1246" s="4" t="n"/>
      <c r="S1246" s="4" t="n"/>
      <c r="T1246" s="4" t="n"/>
      <c r="U1246" s="4" t="n"/>
      <c r="V1246" s="4" t="n"/>
    </row>
    <row r="1247">
      <c r="A1247" s="4" t="n"/>
      <c r="B1247" s="50" t="n"/>
      <c r="C1247" s="4" t="n"/>
      <c r="D1247" s="4" t="n"/>
      <c r="E1247" s="51" t="n"/>
      <c r="F1247" s="50" t="n"/>
      <c r="G1247" s="4" t="n"/>
      <c r="H1247" s="4" t="n"/>
      <c r="I1247" s="4" t="n"/>
      <c r="J1247" s="4" t="n"/>
      <c r="K1247" s="4" t="n"/>
      <c r="L1247" s="4" t="n"/>
      <c r="M1247" s="4" t="n"/>
      <c r="N1247" s="4" t="n"/>
      <c r="O1247" s="52" t="n"/>
      <c r="P1247" s="4" t="n"/>
      <c r="Q1247" s="4" t="n"/>
      <c r="R1247" s="4" t="n"/>
      <c r="S1247" s="4" t="n"/>
      <c r="T1247" s="4" t="n"/>
      <c r="U1247" s="4" t="n"/>
      <c r="V1247" s="4" t="n"/>
    </row>
    <row r="1248">
      <c r="A1248" s="4" t="n"/>
      <c r="B1248" s="50" t="n"/>
      <c r="C1248" s="4" t="n"/>
      <c r="D1248" s="4" t="n"/>
      <c r="E1248" s="51" t="n"/>
      <c r="F1248" s="50" t="n"/>
      <c r="G1248" s="4" t="n"/>
      <c r="H1248" s="4" t="n"/>
      <c r="I1248" s="4" t="n"/>
      <c r="J1248" s="4" t="n"/>
      <c r="K1248" s="4" t="n"/>
      <c r="L1248" s="4" t="n"/>
      <c r="M1248" s="4" t="n"/>
      <c r="N1248" s="4" t="n"/>
      <c r="O1248" s="52" t="n"/>
      <c r="P1248" s="4" t="n"/>
      <c r="Q1248" s="4" t="n"/>
      <c r="R1248" s="4" t="n"/>
      <c r="S1248" s="4" t="n"/>
      <c r="T1248" s="4" t="n"/>
      <c r="U1248" s="4" t="n"/>
      <c r="V1248" s="4" t="n"/>
    </row>
    <row r="1249">
      <c r="A1249" s="4" t="n"/>
      <c r="B1249" s="50" t="n"/>
      <c r="C1249" s="4" t="n"/>
      <c r="D1249" s="4" t="n"/>
      <c r="E1249" s="51" t="n"/>
      <c r="F1249" s="50" t="n"/>
      <c r="G1249" s="4" t="n"/>
      <c r="H1249" s="4" t="n"/>
      <c r="I1249" s="4" t="n"/>
      <c r="J1249" s="4" t="n"/>
      <c r="K1249" s="4" t="n"/>
      <c r="L1249" s="4" t="n"/>
      <c r="M1249" s="4" t="n"/>
      <c r="N1249" s="4" t="n"/>
      <c r="O1249" s="52" t="n"/>
      <c r="P1249" s="4" t="n"/>
      <c r="Q1249" s="4" t="n"/>
      <c r="R1249" s="4" t="n"/>
      <c r="S1249" s="4" t="n"/>
      <c r="T1249" s="4" t="n"/>
      <c r="U1249" s="4" t="n"/>
      <c r="V1249" s="4" t="n"/>
    </row>
    <row r="1250">
      <c r="A1250" s="4" t="n"/>
      <c r="B1250" s="50" t="n"/>
      <c r="C1250" s="4" t="n"/>
      <c r="D1250" s="4" t="n"/>
      <c r="E1250" s="51" t="n"/>
      <c r="F1250" s="50" t="n"/>
      <c r="G1250" s="4" t="n"/>
      <c r="H1250" s="4" t="n"/>
      <c r="I1250" s="4" t="n"/>
      <c r="J1250" s="4" t="n"/>
      <c r="K1250" s="4" t="n"/>
      <c r="L1250" s="4" t="n"/>
      <c r="M1250" s="4" t="n"/>
      <c r="N1250" s="4" t="n"/>
      <c r="O1250" s="52" t="n"/>
      <c r="P1250" s="4" t="n"/>
      <c r="Q1250" s="4" t="n"/>
      <c r="R1250" s="4" t="n"/>
      <c r="S1250" s="4" t="n"/>
      <c r="T1250" s="4" t="n"/>
      <c r="U1250" s="4" t="n"/>
      <c r="V1250" s="4" t="n"/>
    </row>
    <row r="1251">
      <c r="A1251" s="4" t="n"/>
      <c r="B1251" s="50" t="n"/>
      <c r="C1251" s="4" t="n"/>
      <c r="D1251" s="4" t="n"/>
      <c r="E1251" s="51" t="n"/>
      <c r="F1251" s="50" t="n"/>
      <c r="G1251" s="4" t="n"/>
      <c r="H1251" s="4" t="n"/>
      <c r="I1251" s="4" t="n"/>
      <c r="J1251" s="4" t="n"/>
      <c r="K1251" s="4" t="n"/>
      <c r="L1251" s="4" t="n"/>
      <c r="M1251" s="4" t="n"/>
      <c r="N1251" s="4" t="n"/>
      <c r="O1251" s="52" t="n"/>
      <c r="P1251" s="4" t="n"/>
      <c r="Q1251" s="4" t="n"/>
      <c r="R1251" s="4" t="n"/>
      <c r="S1251" s="4" t="n"/>
      <c r="T1251" s="4" t="n"/>
      <c r="U1251" s="4" t="n"/>
      <c r="V1251" s="4" t="n"/>
    </row>
    <row r="1252">
      <c r="A1252" s="4" t="n"/>
      <c r="B1252" s="50" t="n"/>
      <c r="C1252" s="4" t="n"/>
      <c r="D1252" s="4" t="n"/>
      <c r="E1252" s="51" t="n"/>
      <c r="F1252" s="50" t="n"/>
      <c r="G1252" s="4" t="n"/>
      <c r="H1252" s="4" t="n"/>
      <c r="I1252" s="4" t="n"/>
      <c r="J1252" s="4" t="n"/>
      <c r="K1252" s="4" t="n"/>
      <c r="L1252" s="4" t="n"/>
      <c r="M1252" s="4" t="n"/>
      <c r="N1252" s="4" t="n"/>
      <c r="O1252" s="52" t="n"/>
      <c r="P1252" s="4" t="n"/>
      <c r="Q1252" s="4" t="n"/>
      <c r="R1252" s="4" t="n"/>
      <c r="S1252" s="4" t="n"/>
      <c r="T1252" s="4" t="n"/>
      <c r="U1252" s="4" t="n"/>
      <c r="V1252" s="4" t="n"/>
    </row>
    <row r="1253">
      <c r="A1253" s="4" t="n"/>
      <c r="B1253" s="50" t="n"/>
      <c r="C1253" s="4" t="n"/>
      <c r="D1253" s="4" t="n"/>
      <c r="E1253" s="51" t="n"/>
      <c r="F1253" s="50" t="n"/>
      <c r="G1253" s="4" t="n"/>
      <c r="H1253" s="4" t="n"/>
      <c r="I1253" s="4" t="n"/>
      <c r="J1253" s="4" t="n"/>
      <c r="K1253" s="4" t="n"/>
      <c r="L1253" s="4" t="n"/>
      <c r="M1253" s="4" t="n"/>
      <c r="N1253" s="4" t="n"/>
      <c r="O1253" s="52" t="n"/>
      <c r="P1253" s="4" t="n"/>
      <c r="Q1253" s="4" t="n"/>
      <c r="R1253" s="4" t="n"/>
      <c r="S1253" s="4" t="n"/>
      <c r="T1253" s="4" t="n"/>
      <c r="U1253" s="4" t="n"/>
      <c r="V1253" s="4" t="n"/>
    </row>
    <row r="1254">
      <c r="A1254" s="4" t="n"/>
      <c r="B1254" s="50" t="n"/>
      <c r="C1254" s="4" t="n"/>
      <c r="D1254" s="4" t="n"/>
      <c r="E1254" s="51" t="n"/>
      <c r="F1254" s="50" t="n"/>
      <c r="G1254" s="4" t="n"/>
      <c r="H1254" s="4" t="n"/>
      <c r="I1254" s="4" t="n"/>
      <c r="J1254" s="4" t="n"/>
      <c r="K1254" s="4" t="n"/>
      <c r="L1254" s="4" t="n"/>
      <c r="M1254" s="4" t="n"/>
      <c r="N1254" s="4" t="n"/>
      <c r="O1254" s="52" t="n"/>
      <c r="P1254" s="4" t="n"/>
      <c r="Q1254" s="4" t="n"/>
      <c r="R1254" s="4" t="n"/>
      <c r="S1254" s="4" t="n"/>
      <c r="T1254" s="4" t="n"/>
      <c r="U1254" s="4" t="n"/>
      <c r="V1254" s="4" t="n"/>
    </row>
    <row r="1255">
      <c r="A1255" s="4" t="n"/>
      <c r="B1255" s="50" t="n"/>
      <c r="C1255" s="4" t="n"/>
      <c r="D1255" s="4" t="n"/>
      <c r="E1255" s="51" t="n"/>
      <c r="F1255" s="50" t="n"/>
      <c r="G1255" s="4" t="n"/>
      <c r="H1255" s="4" t="n"/>
      <c r="I1255" s="4" t="n"/>
      <c r="J1255" s="4" t="n"/>
      <c r="K1255" s="4" t="n"/>
      <c r="L1255" s="4" t="n"/>
      <c r="M1255" s="4" t="n"/>
      <c r="N1255" s="4" t="n"/>
      <c r="O1255" s="52" t="n"/>
      <c r="P1255" s="4" t="n"/>
      <c r="Q1255" s="4" t="n"/>
      <c r="R1255" s="4" t="n"/>
      <c r="S1255" s="4" t="n"/>
      <c r="T1255" s="4" t="n"/>
      <c r="U1255" s="4" t="n"/>
      <c r="V1255" s="4" t="n"/>
    </row>
    <row r="1256">
      <c r="A1256" s="4" t="n"/>
      <c r="B1256" s="50" t="n"/>
      <c r="C1256" s="4" t="n"/>
      <c r="D1256" s="4" t="n"/>
      <c r="E1256" s="51" t="n"/>
      <c r="F1256" s="50" t="n"/>
      <c r="G1256" s="4" t="n"/>
      <c r="H1256" s="4" t="n"/>
      <c r="I1256" s="4" t="n"/>
      <c r="J1256" s="4" t="n"/>
      <c r="K1256" s="4" t="n"/>
      <c r="L1256" s="4" t="n"/>
      <c r="M1256" s="4" t="n"/>
      <c r="N1256" s="4" t="n"/>
      <c r="O1256" s="52" t="n"/>
      <c r="P1256" s="4" t="n"/>
      <c r="Q1256" s="4" t="n"/>
      <c r="R1256" s="4" t="n"/>
      <c r="S1256" s="4" t="n"/>
      <c r="T1256" s="4" t="n"/>
      <c r="U1256" s="4" t="n"/>
      <c r="V1256" s="4" t="n"/>
    </row>
    <row r="1257">
      <c r="A1257" s="4" t="n"/>
      <c r="B1257" s="50" t="n"/>
      <c r="C1257" s="4" t="n"/>
      <c r="D1257" s="4" t="n"/>
      <c r="E1257" s="51" t="n"/>
      <c r="F1257" s="50" t="n"/>
      <c r="G1257" s="4" t="n"/>
      <c r="H1257" s="4" t="n"/>
      <c r="I1257" s="4" t="n"/>
      <c r="J1257" s="4" t="n"/>
      <c r="K1257" s="4" t="n"/>
      <c r="L1257" s="4" t="n"/>
      <c r="M1257" s="4" t="n"/>
      <c r="N1257" s="4" t="n"/>
      <c r="O1257" s="52" t="n"/>
      <c r="P1257" s="4" t="n"/>
      <c r="Q1257" s="4" t="n"/>
      <c r="R1257" s="4" t="n"/>
      <c r="S1257" s="4" t="n"/>
      <c r="T1257" s="4" t="n"/>
      <c r="U1257" s="4" t="n"/>
      <c r="V1257" s="4" t="n"/>
    </row>
    <row r="1258">
      <c r="A1258" s="4" t="n"/>
      <c r="B1258" s="50" t="n"/>
      <c r="C1258" s="4" t="n"/>
      <c r="D1258" s="4" t="n"/>
      <c r="E1258" s="51" t="n"/>
      <c r="F1258" s="50" t="n"/>
      <c r="G1258" s="4" t="n"/>
      <c r="H1258" s="4" t="n"/>
      <c r="I1258" s="4" t="n"/>
      <c r="J1258" s="4" t="n"/>
      <c r="K1258" s="4" t="n"/>
      <c r="L1258" s="4" t="n"/>
      <c r="M1258" s="4" t="n"/>
      <c r="N1258" s="4" t="n"/>
      <c r="O1258" s="52" t="n"/>
      <c r="P1258" s="4" t="n"/>
      <c r="Q1258" s="4" t="n"/>
      <c r="R1258" s="4" t="n"/>
      <c r="S1258" s="4" t="n"/>
      <c r="T1258" s="4" t="n"/>
      <c r="U1258" s="4" t="n"/>
      <c r="V1258" s="4" t="n"/>
    </row>
    <row r="1259">
      <c r="A1259" s="4" t="n"/>
      <c r="B1259" s="50" t="n"/>
      <c r="C1259" s="4" t="n"/>
      <c r="D1259" s="4" t="n"/>
      <c r="E1259" s="51" t="n"/>
      <c r="F1259" s="50" t="n"/>
      <c r="G1259" s="4" t="n"/>
      <c r="H1259" s="4" t="n"/>
      <c r="I1259" s="4" t="n"/>
      <c r="J1259" s="4" t="n"/>
      <c r="K1259" s="4" t="n"/>
      <c r="L1259" s="4" t="n"/>
      <c r="M1259" s="4" t="n"/>
      <c r="N1259" s="4" t="n"/>
      <c r="O1259" s="52" t="n"/>
      <c r="P1259" s="4" t="n"/>
      <c r="Q1259" s="4" t="n"/>
      <c r="R1259" s="4" t="n"/>
      <c r="S1259" s="4" t="n"/>
      <c r="T1259" s="4" t="n"/>
      <c r="U1259" s="4" t="n"/>
      <c r="V1259" s="4" t="n"/>
    </row>
    <row r="1260">
      <c r="A1260" s="4" t="n"/>
      <c r="B1260" s="50" t="n"/>
      <c r="C1260" s="4" t="n"/>
      <c r="D1260" s="4" t="n"/>
      <c r="E1260" s="51" t="n"/>
      <c r="F1260" s="50" t="n"/>
      <c r="G1260" s="4" t="n"/>
      <c r="H1260" s="4" t="n"/>
      <c r="I1260" s="4" t="n"/>
      <c r="J1260" s="4" t="n"/>
      <c r="K1260" s="4" t="n"/>
      <c r="L1260" s="4" t="n"/>
      <c r="M1260" s="4" t="n"/>
      <c r="N1260" s="4" t="n"/>
      <c r="O1260" s="52" t="n"/>
      <c r="P1260" s="4" t="n"/>
      <c r="Q1260" s="4" t="n"/>
      <c r="R1260" s="4" t="n"/>
      <c r="S1260" s="4" t="n"/>
      <c r="T1260" s="4" t="n"/>
      <c r="U1260" s="4" t="n"/>
      <c r="V1260" s="4" t="n"/>
    </row>
    <row r="1261">
      <c r="A1261" s="4" t="n"/>
      <c r="B1261" s="50" t="n"/>
      <c r="C1261" s="4" t="n"/>
      <c r="D1261" s="4" t="n"/>
      <c r="E1261" s="51" t="n"/>
      <c r="F1261" s="50" t="n"/>
      <c r="G1261" s="4" t="n"/>
      <c r="H1261" s="4" t="n"/>
      <c r="I1261" s="4" t="n"/>
      <c r="J1261" s="4" t="n"/>
      <c r="K1261" s="4" t="n"/>
      <c r="L1261" s="4" t="n"/>
      <c r="M1261" s="4" t="n"/>
      <c r="N1261" s="4" t="n"/>
      <c r="O1261" s="52" t="n"/>
      <c r="P1261" s="4" t="n"/>
      <c r="Q1261" s="4" t="n"/>
      <c r="R1261" s="4" t="n"/>
      <c r="S1261" s="4" t="n"/>
      <c r="T1261" s="4" t="n"/>
      <c r="U1261" s="4" t="n"/>
      <c r="V1261" s="4" t="n"/>
    </row>
    <row r="1262">
      <c r="A1262" s="4" t="n"/>
      <c r="B1262" s="50" t="n"/>
      <c r="C1262" s="4" t="n"/>
      <c r="D1262" s="4" t="n"/>
      <c r="E1262" s="51" t="n"/>
      <c r="F1262" s="50" t="n"/>
      <c r="G1262" s="4" t="n"/>
      <c r="H1262" s="4" t="n"/>
      <c r="I1262" s="4" t="n"/>
      <c r="J1262" s="4" t="n"/>
      <c r="K1262" s="4" t="n"/>
      <c r="L1262" s="4" t="n"/>
      <c r="M1262" s="4" t="n"/>
      <c r="N1262" s="4" t="n"/>
      <c r="O1262" s="52" t="n"/>
      <c r="P1262" s="4" t="n"/>
      <c r="Q1262" s="4" t="n"/>
      <c r="R1262" s="4" t="n"/>
      <c r="S1262" s="4" t="n"/>
      <c r="T1262" s="4" t="n"/>
      <c r="U1262" s="4" t="n"/>
      <c r="V1262" s="4" t="n"/>
    </row>
    <row r="1263">
      <c r="A1263" s="4" t="n"/>
      <c r="B1263" s="50" t="n"/>
      <c r="C1263" s="4" t="n"/>
      <c r="D1263" s="4" t="n"/>
      <c r="E1263" s="51" t="n"/>
      <c r="F1263" s="50" t="n"/>
      <c r="G1263" s="4" t="n"/>
      <c r="H1263" s="4" t="n"/>
      <c r="I1263" s="4" t="n"/>
      <c r="J1263" s="4" t="n"/>
      <c r="K1263" s="4" t="n"/>
      <c r="L1263" s="4" t="n"/>
      <c r="M1263" s="4" t="n"/>
      <c r="N1263" s="4" t="n"/>
      <c r="O1263" s="52" t="n"/>
      <c r="P1263" s="4" t="n"/>
      <c r="Q1263" s="4" t="n"/>
      <c r="R1263" s="4" t="n"/>
      <c r="S1263" s="4" t="n"/>
      <c r="T1263" s="4" t="n"/>
      <c r="U1263" s="4" t="n"/>
      <c r="V1263" s="4" t="n"/>
    </row>
    <row r="1264">
      <c r="A1264" s="4" t="n"/>
      <c r="B1264" s="50" t="n"/>
      <c r="C1264" s="4" t="n"/>
      <c r="D1264" s="4" t="n"/>
      <c r="E1264" s="51" t="n"/>
      <c r="F1264" s="50" t="n"/>
      <c r="G1264" s="4" t="n"/>
      <c r="H1264" s="4" t="n"/>
      <c r="I1264" s="4" t="n"/>
      <c r="J1264" s="4" t="n"/>
      <c r="K1264" s="4" t="n"/>
      <c r="L1264" s="4" t="n"/>
      <c r="M1264" s="4" t="n"/>
      <c r="N1264" s="4" t="n"/>
      <c r="O1264" s="52" t="n"/>
      <c r="P1264" s="4" t="n"/>
      <c r="Q1264" s="4" t="n"/>
      <c r="R1264" s="4" t="n"/>
      <c r="S1264" s="4" t="n"/>
      <c r="T1264" s="4" t="n"/>
      <c r="U1264" s="4" t="n"/>
      <c r="V1264" s="4" t="n"/>
    </row>
    <row r="1265">
      <c r="A1265" s="4" t="n"/>
      <c r="B1265" s="50" t="n"/>
      <c r="C1265" s="4" t="n"/>
      <c r="D1265" s="4" t="n"/>
      <c r="E1265" s="51" t="n"/>
      <c r="F1265" s="50" t="n"/>
      <c r="G1265" s="4" t="n"/>
      <c r="H1265" s="4" t="n"/>
      <c r="I1265" s="4" t="n"/>
      <c r="J1265" s="4" t="n"/>
      <c r="K1265" s="4" t="n"/>
      <c r="L1265" s="4" t="n"/>
      <c r="M1265" s="4" t="n"/>
      <c r="N1265" s="4" t="n"/>
      <c r="O1265" s="52" t="n"/>
      <c r="P1265" s="4" t="n"/>
      <c r="Q1265" s="4" t="n"/>
      <c r="R1265" s="4" t="n"/>
      <c r="S1265" s="4" t="n"/>
      <c r="T1265" s="4" t="n"/>
      <c r="U1265" s="4" t="n"/>
      <c r="V1265" s="4" t="n"/>
    </row>
    <row r="1266">
      <c r="A1266" s="4" t="n"/>
      <c r="B1266" s="50" t="n"/>
      <c r="C1266" s="4" t="n"/>
      <c r="D1266" s="4" t="n"/>
      <c r="E1266" s="51" t="n"/>
      <c r="F1266" s="50" t="n"/>
      <c r="G1266" s="4" t="n"/>
      <c r="H1266" s="4" t="n"/>
      <c r="I1266" s="4" t="n"/>
      <c r="J1266" s="4" t="n"/>
      <c r="K1266" s="4" t="n"/>
      <c r="L1266" s="4" t="n"/>
      <c r="M1266" s="4" t="n"/>
      <c r="N1266" s="4" t="n"/>
      <c r="O1266" s="52" t="n"/>
      <c r="P1266" s="4" t="n"/>
      <c r="Q1266" s="4" t="n"/>
      <c r="R1266" s="4" t="n"/>
      <c r="S1266" s="4" t="n"/>
      <c r="T1266" s="4" t="n"/>
      <c r="U1266" s="4" t="n"/>
      <c r="V1266" s="4" t="n"/>
    </row>
  </sheetData>
  <mergeCells count="3">
    <mergeCell ref="D2:F2"/>
    <mergeCell ref="J2:K2"/>
    <mergeCell ref="H2:I2"/>
  </mergeCells>
  <conditionalFormatting sqref="E5:E2026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26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26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266">
    <cfRule type="expression" priority="10" dxfId="8">
      <formula>AND($C5&lt;&gt;"",OR($B5="",$B5="Sem categoria"))</formula>
    </cfRule>
  </conditionalFormatting>
  <conditionalFormatting sqref="I5:I20266">
    <cfRule type="expression" priority="12" dxfId="8">
      <formula>AND($C5&lt;&gt;"",OR($I5="",$I5="Sem categoria"))</formula>
    </cfRule>
  </conditionalFormatting>
  <conditionalFormatting sqref="L5:L20266">
    <cfRule type="expression" priority="13" dxfId="13">
      <formula>AND($G5="Descontar Depois",$L5="")</formula>
    </cfRule>
  </conditionalFormatting>
  <conditionalFormatting sqref="B5:K20266">
    <cfRule type="expression" priority="14" dxfId="14">
      <formula>$G5="Pendente"</formula>
    </cfRule>
  </conditionalFormatting>
  <conditionalFormatting sqref="C15:C54">
    <cfRule type="expression" priority="15" dxfId="15">
      <formula>AND($C15&lt;&gt;"",COUNTIFS($B$5:$B$20266,$B15,$C$5:$C$20266,$C15,$E$5:$E$20266,$E15)&gt;1)</formula>
    </cfRule>
  </conditionalFormatting>
  <dataValidations count="12">
    <dataValidation sqref="C5:C2026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266" showDropDown="0" showInputMessage="0" showErrorMessage="1" allowBlank="1" errorTitle="Valor inválido" error="Escolha um tipo cadastrado na aba Config." type="list">
      <formula1>=Tipos</formula1>
    </dataValidation>
    <dataValidation sqref="I5:I20266" showDropDown="0" showInputMessage="0" showErrorMessage="1" allowBlank="1" errorTitle="Valor inválido" error="Escolha uma categoria cadastrada na aba Config." type="list">
      <formula1>=Categorias</formula1>
    </dataValidation>
    <dataValidation sqref="J5:J20266" showDropDown="0" showInputMessage="0" showErrorMessage="1" allowBlank="1" errorTitle="Valor inválido" error="Escolha um pote cadastrado na aba Config." type="list">
      <formula1>=Potes</formula1>
    </dataValidation>
    <dataValidation sqref="K5:K20266" showDropDown="0" showInputMessage="0" showErrorMessage="1" allowBlank="1" errorTitle="Valor inválido" error="Escolha uma pessoa cadastrada na aba Config." type="list">
      <formula1>=Pessoas</formula1>
    </dataValidation>
    <dataValidation sqref="M5:M20266" showDropDown="0" showInputMessage="0" showErrorMessage="1" allowBlank="1" errorTitle="Valor inválido" error="Escolha uma conta ou cartão cadastrado na aba Config." type="list">
      <formula1>=Contas</formula1>
    </dataValidation>
    <dataValidation sqref="N5:N2026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26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26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26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26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266 O5:O2026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266 H5:H266 I5:I266 G5:G266 J5:J266 K5:K266 M5:M266 N5:N26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T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30" customWidth="1" style="1" min="2" max="2"/>
    <col width="22" customWidth="1" style="1" min="3" max="3"/>
    <col width="3" customWidth="1" style="1" min="4" max="4"/>
    <col width="13.5" customWidth="1" style="1" min="5" max="5"/>
    <col width="26" customWidth="1" style="1" min="6" max="6"/>
    <col width="9" customWidth="1" style="1" min="7" max="7"/>
    <col width="14" customWidth="1" style="1" min="8" max="8"/>
    <col width="13.5" customWidth="1" style="1" min="9" max="9"/>
    <col width="12" customWidth="1" style="1" min="10" max="10"/>
    <col width="12" customWidth="1" style="1" min="11" max="11"/>
    <col width="20" customWidth="1" style="1" min="12" max="12"/>
    <col width="12" customWidth="1" style="1" min="13" max="13"/>
    <col width="10" customWidth="1" style="1" min="14" max="14"/>
    <col width="12" customWidth="1" style="1" min="15" max="15"/>
    <col width="14" customWidth="1" style="1" min="16" max="16"/>
    <col width="16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1" t="inlineStr">
        <is>
          <t>Parcelar ou repetir</t>
        </is>
      </c>
      <c r="C2" s="1" t="n"/>
      <c r="D2" s="1" t="n"/>
      <c r="E2" s="40">
        <f>HYPERLINK("#Lancamentos!B"&amp;IF(COUNTA(Lancamentos!$C$15:$C$54)&lt;40,15+COUNTA(Lancamentos!$C$15:$C$54),ROWS(tbLancamentos[Data])+5),"✚  Colar aqui: primeira linha livre de Lançamentos")</f>
        <v/>
      </c>
      <c r="F2" s="4" t="n"/>
      <c r="G2" s="4" t="n"/>
      <c r="H2" s="4" t="n"/>
      <c r="I2" s="4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Preencha os campos à esquerda: o bloco à direita gera uma linha por parcela (ou por mês). Copie, vá até a primeira linha vazia de Lançamentos e cole só os valores.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4" customHeight="1">
      <c r="A4" s="4" t="n"/>
      <c r="B4" s="53" t="inlineStr">
        <is>
          <t>COMPRA / LANÇAMENTO</t>
        </is>
      </c>
      <c r="C4" s="4" t="n"/>
      <c r="D4" s="4" t="n"/>
      <c r="E4" s="14" t="inlineStr">
        <is>
          <t>Data</t>
        </is>
      </c>
      <c r="F4" s="14" t="inlineStr">
        <is>
          <t>Descrição</t>
        </is>
      </c>
      <c r="G4" s="14" t="inlineStr">
        <is>
          <t>Parcela</t>
        </is>
      </c>
      <c r="H4" s="14" t="inlineStr">
        <is>
          <t>Valor</t>
        </is>
      </c>
      <c r="I4" s="14" t="inlineStr">
        <is>
          <t>Vencimento</t>
        </is>
      </c>
      <c r="J4" s="14" t="inlineStr">
        <is>
          <t>Situação</t>
        </is>
      </c>
      <c r="K4" s="14" t="inlineStr">
        <is>
          <t>Tipo</t>
        </is>
      </c>
      <c r="L4" s="14" t="inlineStr">
        <is>
          <t>Categoria</t>
        </is>
      </c>
      <c r="M4" s="14" t="inlineStr">
        <is>
          <t>Pote</t>
        </is>
      </c>
      <c r="N4" s="14" t="inlineStr">
        <is>
          <t>Quem</t>
        </is>
      </c>
      <c r="O4" s="14" t="inlineStr">
        <is>
          <t>Descontar de</t>
        </is>
      </c>
      <c r="P4" s="14" t="inlineStr">
        <is>
          <t>Conta</t>
        </is>
      </c>
      <c r="Q4" s="14" t="inlineStr">
        <is>
          <t>Forma de pagamento</t>
        </is>
      </c>
      <c r="R4" s="4" t="n"/>
      <c r="S4" s="4" t="n"/>
      <c r="T4" s="4" t="n"/>
    </row>
    <row r="5" ht="20" customHeight="1">
      <c r="A5" s="4" t="n"/>
      <c r="B5" s="54" t="inlineStr">
        <is>
          <t>Modo</t>
        </is>
      </c>
      <c r="C5" s="55" t="inlineStr">
        <is>
          <t>Parcelado</t>
        </is>
      </c>
      <c r="D5" s="4" t="n"/>
      <c r="E5" s="56">
        <f>IF(1&lt;=$C$9,DATE(YEAR($C$10),MONTH($C$10)+0,MIN(DAY($C$10),DAY(EOMONTH(DATE(YEAR($C$10),MONTH($C$10)+0,1),0)))),"")</f>
        <v/>
      </c>
      <c r="F5" s="57">
        <f>IF(1&lt;=$C$9,$C$6,"")</f>
        <v/>
      </c>
      <c r="G5" s="58">
        <f>IF(AND(1&lt;=$C$9,$C$5="Parcelado"),"1/"&amp;$C$9,"")</f>
        <v/>
      </c>
      <c r="H5" s="59">
        <f>IF(1&lt;=$C$9,IF($C$5="Repetir todo mês",$C$7,IF($C$8="Total da compra",IF(1&lt;$C$9,ROUND($C$7/$C$9,2),ROUND($C$7-ROUND($C$7/$C$9,2)*($C$9-1),2)),$C$7)),"")</f>
        <v/>
      </c>
      <c r="I5" s="56">
        <f>IF(1&lt;=$C$9,DATE(YEAR($C$10),MONTH($C$10)+0,MIN(DAY($C$10),DAY(EOMONTH(DATE(YEAR($C$10),MONTH($C$10)+0,1),0)))),"")</f>
        <v/>
      </c>
      <c r="J5" s="57">
        <f>IF(1&lt;=$C$9,IF(AND(1=1,$C$17="sim"),IF(IF($C$11&lt;&gt;"",$C$11,IFERROR(INDEX(tbAtalhos[Tipo],MATCH($C$6,tbAtalhos[Descrição],0))&amp;"","Despesa"))="Receita","Recebido","Pago"),"Pendente"),"")</f>
        <v/>
      </c>
      <c r="K5" s="57">
        <f>IF(1&lt;=$C$9,IF($C$11&lt;&gt;"",$C$11,IFERROR(INDEX(tbAtalhos[Tipo],MATCH($C$6,tbAtalhos[Descrição],0))&amp;"","Despesa")),"")</f>
        <v/>
      </c>
      <c r="L5" s="57">
        <f>IF(1&lt;=$C$9,IF($C$12&lt;&gt;"",$C$12,IFERROR(INDEX(tbAtalhos[Categoria],MATCH($C$6,tbAtalhos[Descrição],0))&amp;"","")),"")</f>
        <v/>
      </c>
      <c r="M5" s="57">
        <f>IF(1&lt;=$C$9,IF(IF($C$13&lt;&gt;"",$C$13,IFERROR(INDEX(tbAtalhos[Pote],MATCH($C$6,tbAtalhos[Descrição],0))&amp;"",""))&lt;&gt;"",IF($C$13&lt;&gt;"",$C$13,IFERROR(INDEX(tbAtalhos[Pote],MATCH($C$6,tbAtalhos[Descrição],0))&amp;"","")),IFERROR(INDEX(tbCatDespesa[Fundo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" s="57">
        <f>IF(1&lt;=$C$9,IF(IF($C$14&lt;&gt;"",$C$14,IFERROR(INDEX(tbAtalhos[Quem],MATCH($C$6,tbAtalhos[Descrição],0))&amp;"",""))&lt;&gt;"",IF($C$14&lt;&gt;"",$C$14,IFERROR(INDEX(tbAtalhos[Quem],MATCH($C$6,tbAtalhos[Descrição],0))&amp;"","")),QuemPadrao),"")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" s="57">
        <f>""</f>
        <v/>
      </c>
      <c r="P5" s="57">
        <f>IF(1&lt;=$C$9,IF($C$15&lt;&gt;"",$C$15,IFERROR(INDEX(tbAtalhos[Conta],MATCH($C$6,tbAtalhos[Descrição],0))&amp;"","")),"")</f>
        <v/>
      </c>
      <c r="Q5" s="57">
        <f>IF(1&lt;=$C$9,IF($C$16&lt;&gt;"",$C$16,IFERROR(INDEX(tbAtalhos[Forma de pagamento],MATCH($C$6,tbAtalhos[Descrição],0))&amp;"","")),"")</f>
        <v/>
      </c>
      <c r="R5" s="4" t="n"/>
      <c r="S5" s="4" t="n"/>
      <c r="T5" s="4" t="n"/>
    </row>
    <row r="6" ht="20" customHeight="1">
      <c r="A6" s="4" t="n"/>
      <c r="B6" s="54" t="inlineStr">
        <is>
          <t>Descrição</t>
        </is>
      </c>
      <c r="C6" s="55" t="inlineStr">
        <is>
          <t>Geladeira nova (exemplo)</t>
        </is>
      </c>
      <c r="D6" s="4" t="n"/>
      <c r="E6" s="56">
        <f>IF(2&lt;=$C$9,DATE(YEAR($C$10),MONTH($C$10)+1,MIN(DAY($C$10),DAY(EOMONTH(DATE(YEAR($C$10),MONTH($C$10)+1,1),0)))),"")</f>
        <v/>
      </c>
      <c r="F6" s="57">
        <f>IF(2&lt;=$C$9,$C$6,"")</f>
        <v/>
      </c>
      <c r="G6" s="58">
        <f>IF(AND(2&lt;=$C$9,$C$5="Parcelado"),"2/"&amp;$C$9,"")</f>
        <v/>
      </c>
      <c r="H6" s="59">
        <f>IF(2&lt;=$C$9,IF($C$5="Repetir todo mês",$C$7,IF($C$8="Total da compra",IF(2&lt;$C$9,ROUND($C$7/$C$9,2),ROUND($C$7-ROUND($C$7/$C$9,2)*($C$9-1),2)),$C$7)),"")</f>
        <v/>
      </c>
      <c r="I6" s="56">
        <f>IF(2&lt;=$C$9,DATE(YEAR($C$10),MONTH($C$10)+1,MIN(DAY($C$10),DAY(EOMONTH(DATE(YEAR($C$10),MONTH($C$10)+1,1),0)))),"")</f>
        <v/>
      </c>
      <c r="J6" s="57">
        <f>IF(2&lt;=$C$9,IF(AND(2=1,$C$17="sim"),IF(IF($C$11&lt;&gt;"",$C$11,IFERROR(INDEX(tbAtalhos[Tipo],MATCH($C$6,tbAtalhos[Descrição],0))&amp;"","Despesa"))="Receita","Recebido","Pago"),"Pendente"),"")</f>
        <v/>
      </c>
      <c r="K6" s="57">
        <f>IF(2&lt;=$C$9,IF($C$11&lt;&gt;"",$C$11,IFERROR(INDEX(tbAtalhos[Tipo],MATCH($C$6,tbAtalhos[Descrição],0))&amp;"","Despesa")),"")</f>
        <v/>
      </c>
      <c r="L6" s="57">
        <f>IF(2&lt;=$C$9,IF($C$12&lt;&gt;"",$C$12,IFERROR(INDEX(tbAtalhos[Categoria],MATCH($C$6,tbAtalhos[Descrição],0))&amp;"","")),"")</f>
        <v/>
      </c>
      <c r="M6" s="57">
        <f>IF(2&lt;=$C$9,IF(IF($C$13&lt;&gt;"",$C$13,IFERROR(INDEX(tbAtalhos[Pote],MATCH($C$6,tbAtalhos[Descrição],0))&amp;"",""))&lt;&gt;"",IF($C$13&lt;&gt;"",$C$13,IFERROR(INDEX(tbAtalhos[Pote],MATCH($C$6,tbAtalhos[Descrição],0))&amp;"","")),IFERROR(INDEX(tbCatDespesa[Fundo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" s="57">
        <f>IF(2&lt;=$C$9,IF(IF($C$14&lt;&gt;"",$C$14,IFERROR(INDEX(tbAtalhos[Quem],MATCH($C$6,tbAtalhos[Descrição],0))&amp;"",""))&lt;&gt;"",IF($C$14&lt;&gt;"",$C$14,IFERROR(INDEX(tbAtalhos[Quem],MATCH($C$6,tbAtalhos[Descrição],0))&amp;"","")),QuemPadrao),"")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" s="57">
        <f>""</f>
        <v/>
      </c>
      <c r="P6" s="57">
        <f>IF(2&lt;=$C$9,IF($C$15&lt;&gt;"",$C$15,IFERROR(INDEX(tbAtalhos[Conta],MATCH($C$6,tbAtalhos[Descrição],0))&amp;"","")),"")</f>
        <v/>
      </c>
      <c r="Q6" s="57">
        <f>IF(2&lt;=$C$9,IF($C$16&lt;&gt;"",$C$16,IFERROR(INDEX(tbAtalhos[Forma de pagamento],MATCH($C$6,tbAtalhos[Descrição],0))&amp;"","")),"")</f>
        <v/>
      </c>
      <c r="R6" s="4" t="n"/>
      <c r="S6" s="4" t="n"/>
      <c r="T6" s="4" t="n"/>
    </row>
    <row r="7" ht="20" customHeight="1">
      <c r="A7" s="4" t="n"/>
      <c r="B7" s="54" t="inlineStr">
        <is>
          <t>Valor (R$)</t>
        </is>
      </c>
      <c r="C7" s="60" t="n">
        <v>3600</v>
      </c>
      <c r="D7" s="4" t="n"/>
      <c r="E7" s="56">
        <f>IF(3&lt;=$C$9,DATE(YEAR($C$10),MONTH($C$10)+2,MIN(DAY($C$10),DAY(EOMONTH(DATE(YEAR($C$10),MONTH($C$10)+2,1),0)))),"")</f>
        <v/>
      </c>
      <c r="F7" s="57">
        <f>IF(3&lt;=$C$9,$C$6,"")</f>
        <v/>
      </c>
      <c r="G7" s="58">
        <f>IF(AND(3&lt;=$C$9,$C$5="Parcelado"),"3/"&amp;$C$9,"")</f>
        <v/>
      </c>
      <c r="H7" s="59">
        <f>IF(3&lt;=$C$9,IF($C$5="Repetir todo mês",$C$7,IF($C$8="Total da compra",IF(3&lt;$C$9,ROUND($C$7/$C$9,2),ROUND($C$7-ROUND($C$7/$C$9,2)*($C$9-1),2)),$C$7)),"")</f>
        <v/>
      </c>
      <c r="I7" s="56">
        <f>IF(3&lt;=$C$9,DATE(YEAR($C$10),MONTH($C$10)+2,MIN(DAY($C$10),DAY(EOMONTH(DATE(YEAR($C$10),MONTH($C$10)+2,1),0)))),"")</f>
        <v/>
      </c>
      <c r="J7" s="57">
        <f>IF(3&lt;=$C$9,IF(AND(3=1,$C$17="sim"),IF(IF($C$11&lt;&gt;"",$C$11,IFERROR(INDEX(tbAtalhos[Tipo],MATCH($C$6,tbAtalhos[Descrição],0))&amp;"","Despesa"))="Receita","Recebido","Pago"),"Pendente"),"")</f>
        <v/>
      </c>
      <c r="K7" s="57">
        <f>IF(3&lt;=$C$9,IF($C$11&lt;&gt;"",$C$11,IFERROR(INDEX(tbAtalhos[Tipo],MATCH($C$6,tbAtalhos[Descrição],0))&amp;"","Despesa")),"")</f>
        <v/>
      </c>
      <c r="L7" s="57">
        <f>IF(3&lt;=$C$9,IF($C$12&lt;&gt;"",$C$12,IFERROR(INDEX(tbAtalhos[Categoria],MATCH($C$6,tbAtalhos[Descrição],0))&amp;"","")),"")</f>
        <v/>
      </c>
      <c r="M7" s="57">
        <f>IF(3&lt;=$C$9,IF(IF($C$13&lt;&gt;"",$C$13,IFERROR(INDEX(tbAtalhos[Pote],MATCH($C$6,tbAtalhos[Descrição],0))&amp;"",""))&lt;&gt;"",IF($C$13&lt;&gt;"",$C$13,IFERROR(INDEX(tbAtalhos[Pote],MATCH($C$6,tbAtalhos[Descrição],0))&amp;"","")),IFERROR(INDEX(tbCatDespesa[Fundo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7" s="57">
        <f>IF(3&lt;=$C$9,IF(IF($C$14&lt;&gt;"",$C$14,IFERROR(INDEX(tbAtalhos[Quem],MATCH($C$6,tbAtalhos[Descrição],0))&amp;"",""))&lt;&gt;"",IF($C$14&lt;&gt;"",$C$14,IFERROR(INDEX(tbAtalhos[Quem],MATCH($C$6,tbAtalhos[Descrição],0))&amp;"","")),QuemPadrao),"")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7" s="57">
        <f>""</f>
        <v/>
      </c>
      <c r="P7" s="57">
        <f>IF(3&lt;=$C$9,IF($C$15&lt;&gt;"",$C$15,IFERROR(INDEX(tbAtalhos[Conta],MATCH($C$6,tbAtalhos[Descrição],0))&amp;"","")),"")</f>
        <v/>
      </c>
      <c r="Q7" s="57">
        <f>IF(3&lt;=$C$9,IF($C$16&lt;&gt;"",$C$16,IFERROR(INDEX(tbAtalhos[Forma de pagamento],MATCH($C$6,tbAtalhos[Descrição],0))&amp;"","")),"")</f>
        <v/>
      </c>
      <c r="R7" s="4" t="n"/>
      <c r="S7" s="4" t="n"/>
      <c r="T7" s="4" t="n"/>
    </row>
    <row r="8" ht="20" customHeight="1">
      <c r="A8" s="4" t="n"/>
      <c r="B8" s="54" t="inlineStr">
        <is>
          <t>O valor informado é</t>
        </is>
      </c>
      <c r="C8" s="55" t="inlineStr">
        <is>
          <t>Total da compra</t>
        </is>
      </c>
      <c r="D8" s="4" t="n"/>
      <c r="E8" s="56">
        <f>IF(4&lt;=$C$9,DATE(YEAR($C$10),MONTH($C$10)+3,MIN(DAY($C$10),DAY(EOMONTH(DATE(YEAR($C$10),MONTH($C$10)+3,1),0)))),"")</f>
        <v/>
      </c>
      <c r="F8" s="57">
        <f>IF(4&lt;=$C$9,$C$6,"")</f>
        <v/>
      </c>
      <c r="G8" s="58">
        <f>IF(AND(4&lt;=$C$9,$C$5="Parcelado"),"4/"&amp;$C$9,"")</f>
        <v/>
      </c>
      <c r="H8" s="59">
        <f>IF(4&lt;=$C$9,IF($C$5="Repetir todo mês",$C$7,IF($C$8="Total da compra",IF(4&lt;$C$9,ROUND($C$7/$C$9,2),ROUND($C$7-ROUND($C$7/$C$9,2)*($C$9-1),2)),$C$7)),"")</f>
        <v/>
      </c>
      <c r="I8" s="56">
        <f>IF(4&lt;=$C$9,DATE(YEAR($C$10),MONTH($C$10)+3,MIN(DAY($C$10),DAY(EOMONTH(DATE(YEAR($C$10),MONTH($C$10)+3,1),0)))),"")</f>
        <v/>
      </c>
      <c r="J8" s="57">
        <f>IF(4&lt;=$C$9,IF(AND(4=1,$C$17="sim"),IF(IF($C$11&lt;&gt;"",$C$11,IFERROR(INDEX(tbAtalhos[Tipo],MATCH($C$6,tbAtalhos[Descrição],0))&amp;"","Despesa"))="Receita","Recebido","Pago"),"Pendente"),"")</f>
        <v/>
      </c>
      <c r="K8" s="57">
        <f>IF(4&lt;=$C$9,IF($C$11&lt;&gt;"",$C$11,IFERROR(INDEX(tbAtalhos[Tipo],MATCH($C$6,tbAtalhos[Descrição],0))&amp;"","Despesa")),"")</f>
        <v/>
      </c>
      <c r="L8" s="57">
        <f>IF(4&lt;=$C$9,IF($C$12&lt;&gt;"",$C$12,IFERROR(INDEX(tbAtalhos[Categoria],MATCH($C$6,tbAtalhos[Descrição],0))&amp;"","")),"")</f>
        <v/>
      </c>
      <c r="M8" s="57">
        <f>IF(4&lt;=$C$9,IF(IF($C$13&lt;&gt;"",$C$13,IFERROR(INDEX(tbAtalhos[Pote],MATCH($C$6,tbAtalhos[Descrição],0))&amp;"",""))&lt;&gt;"",IF($C$13&lt;&gt;"",$C$13,IFERROR(INDEX(tbAtalhos[Pote],MATCH($C$6,tbAtalhos[Descrição],0))&amp;"","")),IFERROR(INDEX(tbCatDespesa[Fundo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8" s="57">
        <f>IF(4&lt;=$C$9,IF(IF($C$14&lt;&gt;"",$C$14,IFERROR(INDEX(tbAtalhos[Quem],MATCH($C$6,tbAtalhos[Descrição],0))&amp;"",""))&lt;&gt;"",IF($C$14&lt;&gt;"",$C$14,IFERROR(INDEX(tbAtalhos[Quem],MATCH($C$6,tbAtalhos[Descrição],0))&amp;"","")),QuemPadrao),"")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8" s="57">
        <f>""</f>
        <v/>
      </c>
      <c r="P8" s="57">
        <f>IF(4&lt;=$C$9,IF($C$15&lt;&gt;"",$C$15,IFERROR(INDEX(tbAtalhos[Conta],MATCH($C$6,tbAtalhos[Descrição],0))&amp;"","")),"")</f>
        <v/>
      </c>
      <c r="Q8" s="57">
        <f>IF(4&lt;=$C$9,IF($C$16&lt;&gt;"",$C$16,IFERROR(INDEX(tbAtalhos[Forma de pagamento],MATCH($C$6,tbAtalhos[Descrição],0))&amp;"","")),"")</f>
        <v/>
      </c>
      <c r="R8" s="4" t="n"/>
      <c r="S8" s="4" t="n"/>
      <c r="T8" s="4" t="n"/>
    </row>
    <row r="9" ht="20" customHeight="1">
      <c r="A9" s="4" t="n"/>
      <c r="B9" s="54" t="inlineStr">
        <is>
          <t>Nº de parcelas / meses</t>
        </is>
      </c>
      <c r="C9" s="55" t="n">
        <v>10</v>
      </c>
      <c r="D9" s="4" t="n"/>
      <c r="E9" s="56">
        <f>IF(5&lt;=$C$9,DATE(YEAR($C$10),MONTH($C$10)+4,MIN(DAY($C$10),DAY(EOMONTH(DATE(YEAR($C$10),MONTH($C$10)+4,1),0)))),"")</f>
        <v/>
      </c>
      <c r="F9" s="57">
        <f>IF(5&lt;=$C$9,$C$6,"")</f>
        <v/>
      </c>
      <c r="G9" s="58">
        <f>IF(AND(5&lt;=$C$9,$C$5="Parcelado"),"5/"&amp;$C$9,"")</f>
        <v/>
      </c>
      <c r="H9" s="59">
        <f>IF(5&lt;=$C$9,IF($C$5="Repetir todo mês",$C$7,IF($C$8="Total da compra",IF(5&lt;$C$9,ROUND($C$7/$C$9,2),ROUND($C$7-ROUND($C$7/$C$9,2)*($C$9-1),2)),$C$7)),"")</f>
        <v/>
      </c>
      <c r="I9" s="56">
        <f>IF(5&lt;=$C$9,DATE(YEAR($C$10),MONTH($C$10)+4,MIN(DAY($C$10),DAY(EOMONTH(DATE(YEAR($C$10),MONTH($C$10)+4,1),0)))),"")</f>
        <v/>
      </c>
      <c r="J9" s="57">
        <f>IF(5&lt;=$C$9,IF(AND(5=1,$C$17="sim"),IF(IF($C$11&lt;&gt;"",$C$11,IFERROR(INDEX(tbAtalhos[Tipo],MATCH($C$6,tbAtalhos[Descrição],0))&amp;"","Despesa"))="Receita","Recebido","Pago"),"Pendente"),"")</f>
        <v/>
      </c>
      <c r="K9" s="57">
        <f>IF(5&lt;=$C$9,IF($C$11&lt;&gt;"",$C$11,IFERROR(INDEX(tbAtalhos[Tipo],MATCH($C$6,tbAtalhos[Descrição],0))&amp;"","Despesa")),"")</f>
        <v/>
      </c>
      <c r="L9" s="57">
        <f>IF(5&lt;=$C$9,IF($C$12&lt;&gt;"",$C$12,IFERROR(INDEX(tbAtalhos[Categoria],MATCH($C$6,tbAtalhos[Descrição],0))&amp;"","")),"")</f>
        <v/>
      </c>
      <c r="M9" s="57">
        <f>IF(5&lt;=$C$9,IF(IF($C$13&lt;&gt;"",$C$13,IFERROR(INDEX(tbAtalhos[Pote],MATCH($C$6,tbAtalhos[Descrição],0))&amp;"",""))&lt;&gt;"",IF($C$13&lt;&gt;"",$C$13,IFERROR(INDEX(tbAtalhos[Pote],MATCH($C$6,tbAtalhos[Descrição],0))&amp;"","")),IFERROR(INDEX(tbCatDespesa[Fundo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9" s="57">
        <f>IF(5&lt;=$C$9,IF(IF($C$14&lt;&gt;"",$C$14,IFERROR(INDEX(tbAtalhos[Quem],MATCH($C$6,tbAtalhos[Descrição],0))&amp;"",""))&lt;&gt;"",IF($C$14&lt;&gt;"",$C$14,IFERROR(INDEX(tbAtalhos[Quem],MATCH($C$6,tbAtalhos[Descrição],0))&amp;"","")),QuemPadrao),"")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9" s="57">
        <f>""</f>
        <v/>
      </c>
      <c r="P9" s="57">
        <f>IF(5&lt;=$C$9,IF($C$15&lt;&gt;"",$C$15,IFERROR(INDEX(tbAtalhos[Conta],MATCH($C$6,tbAtalhos[Descrição],0))&amp;"","")),"")</f>
        <v/>
      </c>
      <c r="Q9" s="57">
        <f>IF(5&lt;=$C$9,IF($C$16&lt;&gt;"",$C$16,IFERROR(INDEX(tbAtalhos[Forma de pagamento],MATCH($C$6,tbAtalhos[Descrição],0))&amp;"","")),"")</f>
        <v/>
      </c>
      <c r="R9" s="4" t="n"/>
      <c r="S9" s="4" t="n"/>
      <c r="T9" s="4" t="n"/>
    </row>
    <row r="10" ht="20" customHeight="1">
      <c r="A10" s="4" t="n"/>
      <c r="B10" s="54" t="inlineStr">
        <is>
          <t>Data da 1ª parcela</t>
        </is>
      </c>
      <c r="C10" s="61" t="n">
        <v>46305</v>
      </c>
      <c r="D10" s="4" t="n"/>
      <c r="E10" s="56">
        <f>IF(6&lt;=$C$9,DATE(YEAR($C$10),MONTH($C$10)+5,MIN(DAY($C$10),DAY(EOMONTH(DATE(YEAR($C$10),MONTH($C$10)+5,1),0)))),"")</f>
        <v/>
      </c>
      <c r="F10" s="57">
        <f>IF(6&lt;=$C$9,$C$6,"")</f>
        <v/>
      </c>
      <c r="G10" s="58">
        <f>IF(AND(6&lt;=$C$9,$C$5="Parcelado"),"6/"&amp;$C$9,"")</f>
        <v/>
      </c>
      <c r="H10" s="59">
        <f>IF(6&lt;=$C$9,IF($C$5="Repetir todo mês",$C$7,IF($C$8="Total da compra",IF(6&lt;$C$9,ROUND($C$7/$C$9,2),ROUND($C$7-ROUND($C$7/$C$9,2)*($C$9-1),2)),$C$7)),"")</f>
        <v/>
      </c>
      <c r="I10" s="56">
        <f>IF(6&lt;=$C$9,DATE(YEAR($C$10),MONTH($C$10)+5,MIN(DAY($C$10),DAY(EOMONTH(DATE(YEAR($C$10),MONTH($C$10)+5,1),0)))),"")</f>
        <v/>
      </c>
      <c r="J10" s="57">
        <f>IF(6&lt;=$C$9,IF(AND(6=1,$C$17="sim"),IF(IF($C$11&lt;&gt;"",$C$11,IFERROR(INDEX(tbAtalhos[Tipo],MATCH($C$6,tbAtalhos[Descrição],0))&amp;"","Despesa"))="Receita","Recebido","Pago"),"Pendente"),"")</f>
        <v/>
      </c>
      <c r="K10" s="57">
        <f>IF(6&lt;=$C$9,IF($C$11&lt;&gt;"",$C$11,IFERROR(INDEX(tbAtalhos[Tipo],MATCH($C$6,tbAtalhos[Descrição],0))&amp;"","Despesa")),"")</f>
        <v/>
      </c>
      <c r="L10" s="57">
        <f>IF(6&lt;=$C$9,IF($C$12&lt;&gt;"",$C$12,IFERROR(INDEX(tbAtalhos[Categoria],MATCH($C$6,tbAtalhos[Descrição],0))&amp;"","")),"")</f>
        <v/>
      </c>
      <c r="M10" s="57">
        <f>IF(6&lt;=$C$9,IF(IF($C$13&lt;&gt;"",$C$13,IFERROR(INDEX(tbAtalhos[Pote],MATCH($C$6,tbAtalhos[Descrição],0))&amp;"",""))&lt;&gt;"",IF($C$13&lt;&gt;"",$C$13,IFERROR(INDEX(tbAtalhos[Pote],MATCH($C$6,tbAtalhos[Descrição],0))&amp;"","")),IFERROR(INDEX(tbCatDespesa[Fundo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0" s="57">
        <f>IF(6&lt;=$C$9,IF(IF($C$14&lt;&gt;"",$C$14,IFERROR(INDEX(tbAtalhos[Quem],MATCH($C$6,tbAtalhos[Descrição],0))&amp;"",""))&lt;&gt;"",IF($C$14&lt;&gt;"",$C$14,IFERROR(INDEX(tbAtalhos[Quem],MATCH($C$6,tbAtalhos[Descrição],0))&amp;"","")),QuemPadrao),"")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0" s="57">
        <f>""</f>
        <v/>
      </c>
      <c r="P10" s="57">
        <f>IF(6&lt;=$C$9,IF($C$15&lt;&gt;"",$C$15,IFERROR(INDEX(tbAtalhos[Conta],MATCH($C$6,tbAtalhos[Descrição],0))&amp;"","")),"")</f>
        <v/>
      </c>
      <c r="Q10" s="57">
        <f>IF(6&lt;=$C$9,IF($C$16&lt;&gt;"",$C$16,IFERROR(INDEX(tbAtalhos[Forma de pagamento],MATCH($C$6,tbAtalhos[Descrição],0))&amp;"","")),"")</f>
        <v/>
      </c>
      <c r="R10" s="4" t="n"/>
      <c r="S10" s="4" t="n"/>
      <c r="T10" s="4" t="n"/>
    </row>
    <row r="11" ht="20" customHeight="1">
      <c r="A11" s="4" t="n"/>
      <c r="B11" s="54" t="inlineStr">
        <is>
          <t>Tipo</t>
        </is>
      </c>
      <c r="C11" s="55" t="inlineStr">
        <is>
          <t>Despesa</t>
        </is>
      </c>
      <c r="D11" s="4" t="n"/>
      <c r="E11" s="56">
        <f>IF(7&lt;=$C$9,DATE(YEAR($C$10),MONTH($C$10)+6,MIN(DAY($C$10),DAY(EOMONTH(DATE(YEAR($C$10),MONTH($C$10)+6,1),0)))),"")</f>
        <v/>
      </c>
      <c r="F11" s="57">
        <f>IF(7&lt;=$C$9,$C$6,"")</f>
        <v/>
      </c>
      <c r="G11" s="58">
        <f>IF(AND(7&lt;=$C$9,$C$5="Parcelado"),"7/"&amp;$C$9,"")</f>
        <v/>
      </c>
      <c r="H11" s="59">
        <f>IF(7&lt;=$C$9,IF($C$5="Repetir todo mês",$C$7,IF($C$8="Total da compra",IF(7&lt;$C$9,ROUND($C$7/$C$9,2),ROUND($C$7-ROUND($C$7/$C$9,2)*($C$9-1),2)),$C$7)),"")</f>
        <v/>
      </c>
      <c r="I11" s="56">
        <f>IF(7&lt;=$C$9,DATE(YEAR($C$10),MONTH($C$10)+6,MIN(DAY($C$10),DAY(EOMONTH(DATE(YEAR($C$10),MONTH($C$10)+6,1),0)))),"")</f>
        <v/>
      </c>
      <c r="J11" s="57">
        <f>IF(7&lt;=$C$9,IF(AND(7=1,$C$17="sim"),IF(IF($C$11&lt;&gt;"",$C$11,IFERROR(INDEX(tbAtalhos[Tipo],MATCH($C$6,tbAtalhos[Descrição],0))&amp;"","Despesa"))="Receita","Recebido","Pago"),"Pendente"),"")</f>
        <v/>
      </c>
      <c r="K11" s="57">
        <f>IF(7&lt;=$C$9,IF($C$11&lt;&gt;"",$C$11,IFERROR(INDEX(tbAtalhos[Tipo],MATCH($C$6,tbAtalhos[Descrição],0))&amp;"","Despesa")),"")</f>
        <v/>
      </c>
      <c r="L11" s="57">
        <f>IF(7&lt;=$C$9,IF($C$12&lt;&gt;"",$C$12,IFERROR(INDEX(tbAtalhos[Categoria],MATCH($C$6,tbAtalhos[Descrição],0))&amp;"","")),"")</f>
        <v/>
      </c>
      <c r="M11" s="57">
        <f>IF(7&lt;=$C$9,IF(IF($C$13&lt;&gt;"",$C$13,IFERROR(INDEX(tbAtalhos[Pote],MATCH($C$6,tbAtalhos[Descrição],0))&amp;"",""))&lt;&gt;"",IF($C$13&lt;&gt;"",$C$13,IFERROR(INDEX(tbAtalhos[Pote],MATCH($C$6,tbAtalhos[Descrição],0))&amp;"","")),IFERROR(INDEX(tbCatDespesa[Fundo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1" s="57">
        <f>IF(7&lt;=$C$9,IF(IF($C$14&lt;&gt;"",$C$14,IFERROR(INDEX(tbAtalhos[Quem],MATCH($C$6,tbAtalhos[Descrição],0))&amp;"",""))&lt;&gt;"",IF($C$14&lt;&gt;"",$C$14,IFERROR(INDEX(tbAtalhos[Quem],MATCH($C$6,tbAtalhos[Descrição],0))&amp;"","")),QuemPadrao),"")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1" s="57">
        <f>""</f>
        <v/>
      </c>
      <c r="P11" s="57">
        <f>IF(7&lt;=$C$9,IF($C$15&lt;&gt;"",$C$15,IFERROR(INDEX(tbAtalhos[Conta],MATCH($C$6,tbAtalhos[Descrição],0))&amp;"","")),"")</f>
        <v/>
      </c>
      <c r="Q11" s="57">
        <f>IF(7&lt;=$C$9,IF($C$16&lt;&gt;"",$C$16,IFERROR(INDEX(tbAtalhos[Forma de pagamento],MATCH($C$6,tbAtalhos[Descrição],0))&amp;"","")),"")</f>
        <v/>
      </c>
      <c r="R11" s="4" t="n"/>
      <c r="S11" s="4" t="n"/>
      <c r="T11" s="4" t="n"/>
    </row>
    <row r="12" ht="20" customHeight="1">
      <c r="A12" s="4" t="n"/>
      <c r="B12" s="54" t="inlineStr">
        <is>
          <t>Categoria (vazio = do favorito)</t>
        </is>
      </c>
      <c r="C12" s="55" t="n"/>
      <c r="D12" s="4" t="n"/>
      <c r="E12" s="56">
        <f>IF(8&lt;=$C$9,DATE(YEAR($C$10),MONTH($C$10)+7,MIN(DAY($C$10),DAY(EOMONTH(DATE(YEAR($C$10),MONTH($C$10)+7,1),0)))),"")</f>
        <v/>
      </c>
      <c r="F12" s="57">
        <f>IF(8&lt;=$C$9,$C$6,"")</f>
        <v/>
      </c>
      <c r="G12" s="58">
        <f>IF(AND(8&lt;=$C$9,$C$5="Parcelado"),"8/"&amp;$C$9,"")</f>
        <v/>
      </c>
      <c r="H12" s="59">
        <f>IF(8&lt;=$C$9,IF($C$5="Repetir todo mês",$C$7,IF($C$8="Total da compra",IF(8&lt;$C$9,ROUND($C$7/$C$9,2),ROUND($C$7-ROUND($C$7/$C$9,2)*($C$9-1),2)),$C$7)),"")</f>
        <v/>
      </c>
      <c r="I12" s="56">
        <f>IF(8&lt;=$C$9,DATE(YEAR($C$10),MONTH($C$10)+7,MIN(DAY($C$10),DAY(EOMONTH(DATE(YEAR($C$10),MONTH($C$10)+7,1),0)))),"")</f>
        <v/>
      </c>
      <c r="J12" s="57">
        <f>IF(8&lt;=$C$9,IF(AND(8=1,$C$17="sim"),IF(IF($C$11&lt;&gt;"",$C$11,IFERROR(INDEX(tbAtalhos[Tipo],MATCH($C$6,tbAtalhos[Descrição],0))&amp;"","Despesa"))="Receita","Recebido","Pago"),"Pendente"),"")</f>
        <v/>
      </c>
      <c r="K12" s="57">
        <f>IF(8&lt;=$C$9,IF($C$11&lt;&gt;"",$C$11,IFERROR(INDEX(tbAtalhos[Tipo],MATCH($C$6,tbAtalhos[Descrição],0))&amp;"","Despesa")),"")</f>
        <v/>
      </c>
      <c r="L12" s="57">
        <f>IF(8&lt;=$C$9,IF($C$12&lt;&gt;"",$C$12,IFERROR(INDEX(tbAtalhos[Categoria],MATCH($C$6,tbAtalhos[Descrição],0))&amp;"","")),"")</f>
        <v/>
      </c>
      <c r="M12" s="57">
        <f>IF(8&lt;=$C$9,IF(IF($C$13&lt;&gt;"",$C$13,IFERROR(INDEX(tbAtalhos[Pote],MATCH($C$6,tbAtalhos[Descrição],0))&amp;"",""))&lt;&gt;"",IF($C$13&lt;&gt;"",$C$13,IFERROR(INDEX(tbAtalhos[Pote],MATCH($C$6,tbAtalhos[Descrição],0))&amp;"","")),IFERROR(INDEX(tbCatDespesa[Fundo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2" s="57">
        <f>IF(8&lt;=$C$9,IF(IF($C$14&lt;&gt;"",$C$14,IFERROR(INDEX(tbAtalhos[Quem],MATCH($C$6,tbAtalhos[Descrição],0))&amp;"",""))&lt;&gt;"",IF($C$14&lt;&gt;"",$C$14,IFERROR(INDEX(tbAtalhos[Quem],MATCH($C$6,tbAtalhos[Descrição],0))&amp;"","")),QuemPadrao),"")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2" s="57">
        <f>""</f>
        <v/>
      </c>
      <c r="P12" s="57">
        <f>IF(8&lt;=$C$9,IF($C$15&lt;&gt;"",$C$15,IFERROR(INDEX(tbAtalhos[Conta],MATCH($C$6,tbAtalhos[Descrição],0))&amp;"","")),"")</f>
        <v/>
      </c>
      <c r="Q12" s="57">
        <f>IF(8&lt;=$C$9,IF($C$16&lt;&gt;"",$C$16,IFERROR(INDEX(tbAtalhos[Forma de pagamento],MATCH($C$6,tbAtalhos[Descrição],0))&amp;"","")),"")</f>
        <v/>
      </c>
      <c r="R12" s="4" t="n"/>
      <c r="S12" s="4" t="n"/>
      <c r="T12" s="4" t="n"/>
    </row>
    <row r="13" ht="20" customHeight="1">
      <c r="A13" s="4" t="n"/>
      <c r="B13" s="54" t="inlineStr">
        <is>
          <t>Pote (vazio = do favorito)</t>
        </is>
      </c>
      <c r="C13" s="55" t="n"/>
      <c r="D13" s="4" t="n"/>
      <c r="E13" s="56">
        <f>IF(9&lt;=$C$9,DATE(YEAR($C$10),MONTH($C$10)+8,MIN(DAY($C$10),DAY(EOMONTH(DATE(YEAR($C$10),MONTH($C$10)+8,1),0)))),"")</f>
        <v/>
      </c>
      <c r="F13" s="57">
        <f>IF(9&lt;=$C$9,$C$6,"")</f>
        <v/>
      </c>
      <c r="G13" s="58">
        <f>IF(AND(9&lt;=$C$9,$C$5="Parcelado"),"9/"&amp;$C$9,"")</f>
        <v/>
      </c>
      <c r="H13" s="59">
        <f>IF(9&lt;=$C$9,IF($C$5="Repetir todo mês",$C$7,IF($C$8="Total da compra",IF(9&lt;$C$9,ROUND($C$7/$C$9,2),ROUND($C$7-ROUND($C$7/$C$9,2)*($C$9-1),2)),$C$7)),"")</f>
        <v/>
      </c>
      <c r="I13" s="56">
        <f>IF(9&lt;=$C$9,DATE(YEAR($C$10),MONTH($C$10)+8,MIN(DAY($C$10),DAY(EOMONTH(DATE(YEAR($C$10),MONTH($C$10)+8,1),0)))),"")</f>
        <v/>
      </c>
      <c r="J13" s="57">
        <f>IF(9&lt;=$C$9,IF(AND(9=1,$C$17="sim"),IF(IF($C$11&lt;&gt;"",$C$11,IFERROR(INDEX(tbAtalhos[Tipo],MATCH($C$6,tbAtalhos[Descrição],0))&amp;"","Despesa"))="Receita","Recebido","Pago"),"Pendente"),"")</f>
        <v/>
      </c>
      <c r="K13" s="57">
        <f>IF(9&lt;=$C$9,IF($C$11&lt;&gt;"",$C$11,IFERROR(INDEX(tbAtalhos[Tipo],MATCH($C$6,tbAtalhos[Descrição],0))&amp;"","Despesa")),"")</f>
        <v/>
      </c>
      <c r="L13" s="57">
        <f>IF(9&lt;=$C$9,IF($C$12&lt;&gt;"",$C$12,IFERROR(INDEX(tbAtalhos[Categoria],MATCH($C$6,tbAtalhos[Descrição],0))&amp;"","")),"")</f>
        <v/>
      </c>
      <c r="M13" s="57">
        <f>IF(9&lt;=$C$9,IF(IF($C$13&lt;&gt;"",$C$13,IFERROR(INDEX(tbAtalhos[Pote],MATCH($C$6,tbAtalhos[Descrição],0))&amp;"",""))&lt;&gt;"",IF($C$13&lt;&gt;"",$C$13,IFERROR(INDEX(tbAtalhos[Pote],MATCH($C$6,tbAtalhos[Descrição],0))&amp;"","")),IFERROR(INDEX(tbCatDespesa[Fundo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3" s="57">
        <f>IF(9&lt;=$C$9,IF(IF($C$14&lt;&gt;"",$C$14,IFERROR(INDEX(tbAtalhos[Quem],MATCH($C$6,tbAtalhos[Descrição],0))&amp;"",""))&lt;&gt;"",IF($C$14&lt;&gt;"",$C$14,IFERROR(INDEX(tbAtalhos[Quem],MATCH($C$6,tbAtalhos[Descrição],0))&amp;"","")),QuemPadrao),"")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3" s="57">
        <f>""</f>
        <v/>
      </c>
      <c r="P13" s="57">
        <f>IF(9&lt;=$C$9,IF($C$15&lt;&gt;"",$C$15,IFERROR(INDEX(tbAtalhos[Conta],MATCH($C$6,tbAtalhos[Descrição],0))&amp;"","")),"")</f>
        <v/>
      </c>
      <c r="Q13" s="57">
        <f>IF(9&lt;=$C$9,IF($C$16&lt;&gt;"",$C$16,IFERROR(INDEX(tbAtalhos[Forma de pagamento],MATCH($C$6,tbAtalhos[Descrição],0))&amp;"","")),"")</f>
        <v/>
      </c>
      <c r="R13" s="4" t="n"/>
      <c r="S13" s="4" t="n"/>
      <c r="T13" s="4" t="n"/>
    </row>
    <row r="14" ht="20" customHeight="1">
      <c r="A14" s="4" t="n"/>
      <c r="B14" s="54" t="inlineStr">
        <is>
          <t>Quem</t>
        </is>
      </c>
      <c r="C14" s="55" t="n"/>
      <c r="D14" s="4" t="n"/>
      <c r="E14" s="56">
        <f>IF(10&lt;=$C$9,DATE(YEAR($C$10),MONTH($C$10)+9,MIN(DAY($C$10),DAY(EOMONTH(DATE(YEAR($C$10),MONTH($C$10)+9,1),0)))),"")</f>
        <v/>
      </c>
      <c r="F14" s="57">
        <f>IF(10&lt;=$C$9,$C$6,"")</f>
        <v/>
      </c>
      <c r="G14" s="58">
        <f>IF(AND(10&lt;=$C$9,$C$5="Parcelado"),"10/"&amp;$C$9,"")</f>
        <v/>
      </c>
      <c r="H14" s="59">
        <f>IF(10&lt;=$C$9,IF($C$5="Repetir todo mês",$C$7,IF($C$8="Total da compra",IF(10&lt;$C$9,ROUND($C$7/$C$9,2),ROUND($C$7-ROUND($C$7/$C$9,2)*($C$9-1),2)),$C$7)),"")</f>
        <v/>
      </c>
      <c r="I14" s="56">
        <f>IF(10&lt;=$C$9,DATE(YEAR($C$10),MONTH($C$10)+9,MIN(DAY($C$10),DAY(EOMONTH(DATE(YEAR($C$10),MONTH($C$10)+9,1),0)))),"")</f>
        <v/>
      </c>
      <c r="J14" s="57">
        <f>IF(10&lt;=$C$9,IF(AND(10=1,$C$17="sim"),IF(IF($C$11&lt;&gt;"",$C$11,IFERROR(INDEX(tbAtalhos[Tipo],MATCH($C$6,tbAtalhos[Descrição],0))&amp;"","Despesa"))="Receita","Recebido","Pago"),"Pendente"),"")</f>
        <v/>
      </c>
      <c r="K14" s="57">
        <f>IF(10&lt;=$C$9,IF($C$11&lt;&gt;"",$C$11,IFERROR(INDEX(tbAtalhos[Tipo],MATCH($C$6,tbAtalhos[Descrição],0))&amp;"","Despesa")),"")</f>
        <v/>
      </c>
      <c r="L14" s="57">
        <f>IF(10&lt;=$C$9,IF($C$12&lt;&gt;"",$C$12,IFERROR(INDEX(tbAtalhos[Categoria],MATCH($C$6,tbAtalhos[Descrição],0))&amp;"","")),"")</f>
        <v/>
      </c>
      <c r="M14" s="57">
        <f>IF(10&lt;=$C$9,IF(IF($C$13&lt;&gt;"",$C$13,IFERROR(INDEX(tbAtalhos[Pote],MATCH($C$6,tbAtalhos[Descrição],0))&amp;"",""))&lt;&gt;"",IF($C$13&lt;&gt;"",$C$13,IFERROR(INDEX(tbAtalhos[Pote],MATCH($C$6,tbAtalhos[Descrição],0))&amp;"","")),IFERROR(INDEX(tbCatDespesa[Fundo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4" s="57">
        <f>IF(10&lt;=$C$9,IF(IF($C$14&lt;&gt;"",$C$14,IFERROR(INDEX(tbAtalhos[Quem],MATCH($C$6,tbAtalhos[Descrição],0))&amp;"",""))&lt;&gt;"",IF($C$14&lt;&gt;"",$C$14,IFERROR(INDEX(tbAtalhos[Quem],MATCH($C$6,tbAtalhos[Descrição],0))&amp;"","")),QuemPadrao),"")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4" s="57">
        <f>""</f>
        <v/>
      </c>
      <c r="P14" s="57">
        <f>IF(10&lt;=$C$9,IF($C$15&lt;&gt;"",$C$15,IFERROR(INDEX(tbAtalhos[Conta],MATCH($C$6,tbAtalhos[Descrição],0))&amp;"","")),"")</f>
        <v/>
      </c>
      <c r="Q14" s="57">
        <f>IF(10&lt;=$C$9,IF($C$16&lt;&gt;"",$C$16,IFERROR(INDEX(tbAtalhos[Forma de pagamento],MATCH($C$6,tbAtalhos[Descrição],0))&amp;"","")),"")</f>
        <v/>
      </c>
      <c r="R14" s="4" t="n"/>
      <c r="S14" s="4" t="n"/>
      <c r="T14" s="4" t="n"/>
    </row>
    <row r="15" ht="20" customHeight="1">
      <c r="A15" s="4" t="n"/>
      <c r="B15" s="54" t="inlineStr">
        <is>
          <t>Conta / cartão</t>
        </is>
      </c>
      <c r="C15" s="55" t="n"/>
      <c r="D15" s="4" t="n"/>
      <c r="E15" s="56">
        <f>IF(11&lt;=$C$9,DATE(YEAR($C$10),MONTH($C$10)+10,MIN(DAY($C$10),DAY(EOMONTH(DATE(YEAR($C$10),MONTH($C$10)+10,1),0)))),"")</f>
        <v/>
      </c>
      <c r="F15" s="57">
        <f>IF(11&lt;=$C$9,$C$6,"")</f>
        <v/>
      </c>
      <c r="G15" s="58">
        <f>IF(AND(11&lt;=$C$9,$C$5="Parcelado"),"11/"&amp;$C$9,"")</f>
        <v/>
      </c>
      <c r="H15" s="59">
        <f>IF(11&lt;=$C$9,IF($C$5="Repetir todo mês",$C$7,IF($C$8="Total da compra",IF(11&lt;$C$9,ROUND($C$7/$C$9,2),ROUND($C$7-ROUND($C$7/$C$9,2)*($C$9-1),2)),$C$7)),"")</f>
        <v/>
      </c>
      <c r="I15" s="56">
        <f>IF(11&lt;=$C$9,DATE(YEAR($C$10),MONTH($C$10)+10,MIN(DAY($C$10),DAY(EOMONTH(DATE(YEAR($C$10),MONTH($C$10)+10,1),0)))),"")</f>
        <v/>
      </c>
      <c r="J15" s="57">
        <f>IF(11&lt;=$C$9,IF(AND(11=1,$C$17="sim"),IF(IF($C$11&lt;&gt;"",$C$11,IFERROR(INDEX(tbAtalhos[Tipo],MATCH($C$6,tbAtalhos[Descrição],0))&amp;"","Despesa"))="Receita","Recebido","Pago"),"Pendente"),"")</f>
        <v/>
      </c>
      <c r="K15" s="57">
        <f>IF(11&lt;=$C$9,IF($C$11&lt;&gt;"",$C$11,IFERROR(INDEX(tbAtalhos[Tipo],MATCH($C$6,tbAtalhos[Descrição],0))&amp;"","Despesa")),"")</f>
        <v/>
      </c>
      <c r="L15" s="57">
        <f>IF(11&lt;=$C$9,IF($C$12&lt;&gt;"",$C$12,IFERROR(INDEX(tbAtalhos[Categoria],MATCH($C$6,tbAtalhos[Descrição],0))&amp;"","")),"")</f>
        <v/>
      </c>
      <c r="M15" s="57">
        <f>IF(11&lt;=$C$9,IF(IF($C$13&lt;&gt;"",$C$13,IFERROR(INDEX(tbAtalhos[Pote],MATCH($C$6,tbAtalhos[Descrição],0))&amp;"",""))&lt;&gt;"",IF($C$13&lt;&gt;"",$C$13,IFERROR(INDEX(tbAtalhos[Pote],MATCH($C$6,tbAtalhos[Descrição],0))&amp;"","")),IFERROR(INDEX(tbCatDespesa[Fundo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5" s="57">
        <f>IF(11&lt;=$C$9,IF(IF($C$14&lt;&gt;"",$C$14,IFERROR(INDEX(tbAtalhos[Quem],MATCH($C$6,tbAtalhos[Descrição],0))&amp;"",""))&lt;&gt;"",IF($C$14&lt;&gt;"",$C$14,IFERROR(INDEX(tbAtalhos[Quem],MATCH($C$6,tbAtalhos[Descrição],0))&amp;"","")),QuemPadrao),"")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5" s="57">
        <f>""</f>
        <v/>
      </c>
      <c r="P15" s="57">
        <f>IF(11&lt;=$C$9,IF($C$15&lt;&gt;"",$C$15,IFERROR(INDEX(tbAtalhos[Conta],MATCH($C$6,tbAtalhos[Descrição],0))&amp;"","")),"")</f>
        <v/>
      </c>
      <c r="Q15" s="57">
        <f>IF(11&lt;=$C$9,IF($C$16&lt;&gt;"",$C$16,IFERROR(INDEX(tbAtalhos[Forma de pagamento],MATCH($C$6,tbAtalhos[Descrição],0))&amp;"","")),"")</f>
        <v/>
      </c>
      <c r="R15" s="4" t="n"/>
      <c r="S15" s="4" t="n"/>
      <c r="T15" s="4" t="n"/>
    </row>
    <row r="16" ht="20" customHeight="1">
      <c r="A16" s="4" t="n"/>
      <c r="B16" s="54" t="inlineStr">
        <is>
          <t>Forma de pagamento</t>
        </is>
      </c>
      <c r="C16" s="55" t="inlineStr">
        <is>
          <t>Cartão de crédito</t>
        </is>
      </c>
      <c r="D16" s="4" t="n"/>
      <c r="E16" s="56">
        <f>IF(12&lt;=$C$9,DATE(YEAR($C$10),MONTH($C$10)+11,MIN(DAY($C$10),DAY(EOMONTH(DATE(YEAR($C$10),MONTH($C$10)+11,1),0)))),"")</f>
        <v/>
      </c>
      <c r="F16" s="57">
        <f>IF(12&lt;=$C$9,$C$6,"")</f>
        <v/>
      </c>
      <c r="G16" s="58">
        <f>IF(AND(12&lt;=$C$9,$C$5="Parcelado"),"12/"&amp;$C$9,"")</f>
        <v/>
      </c>
      <c r="H16" s="59">
        <f>IF(12&lt;=$C$9,IF($C$5="Repetir todo mês",$C$7,IF($C$8="Total da compra",IF(12&lt;$C$9,ROUND($C$7/$C$9,2),ROUND($C$7-ROUND($C$7/$C$9,2)*($C$9-1),2)),$C$7)),"")</f>
        <v/>
      </c>
      <c r="I16" s="56">
        <f>IF(12&lt;=$C$9,DATE(YEAR($C$10),MONTH($C$10)+11,MIN(DAY($C$10),DAY(EOMONTH(DATE(YEAR($C$10),MONTH($C$10)+11,1),0)))),"")</f>
        <v/>
      </c>
      <c r="J16" s="57">
        <f>IF(12&lt;=$C$9,IF(AND(12=1,$C$17="sim"),IF(IF($C$11&lt;&gt;"",$C$11,IFERROR(INDEX(tbAtalhos[Tipo],MATCH($C$6,tbAtalhos[Descrição],0))&amp;"","Despesa"))="Receita","Recebido","Pago"),"Pendente"),"")</f>
        <v/>
      </c>
      <c r="K16" s="57">
        <f>IF(12&lt;=$C$9,IF($C$11&lt;&gt;"",$C$11,IFERROR(INDEX(tbAtalhos[Tipo],MATCH($C$6,tbAtalhos[Descrição],0))&amp;"","Despesa")),"")</f>
        <v/>
      </c>
      <c r="L16" s="57">
        <f>IF(12&lt;=$C$9,IF($C$12&lt;&gt;"",$C$12,IFERROR(INDEX(tbAtalhos[Categoria],MATCH($C$6,tbAtalhos[Descrição],0))&amp;"","")),"")</f>
        <v/>
      </c>
      <c r="M16" s="57">
        <f>IF(12&lt;=$C$9,IF(IF($C$13&lt;&gt;"",$C$13,IFERROR(INDEX(tbAtalhos[Pote],MATCH($C$6,tbAtalhos[Descrição],0))&amp;"",""))&lt;&gt;"",IF($C$13&lt;&gt;"",$C$13,IFERROR(INDEX(tbAtalhos[Pote],MATCH($C$6,tbAtalhos[Descrição],0))&amp;"","")),IFERROR(INDEX(tbCatDespesa[Fundo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6" s="57">
        <f>IF(12&lt;=$C$9,IF(IF($C$14&lt;&gt;"",$C$14,IFERROR(INDEX(tbAtalhos[Quem],MATCH($C$6,tbAtalhos[Descrição],0))&amp;"",""))&lt;&gt;"",IF($C$14&lt;&gt;"",$C$14,IFERROR(INDEX(tbAtalhos[Quem],MATCH($C$6,tbAtalhos[Descrição],0))&amp;"","")),QuemPadrao),"")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6" s="57">
        <f>""</f>
        <v/>
      </c>
      <c r="P16" s="57">
        <f>IF(12&lt;=$C$9,IF($C$15&lt;&gt;"",$C$15,IFERROR(INDEX(tbAtalhos[Conta],MATCH($C$6,tbAtalhos[Descrição],0))&amp;"","")),"")</f>
        <v/>
      </c>
      <c r="Q16" s="57">
        <f>IF(12&lt;=$C$9,IF($C$16&lt;&gt;"",$C$16,IFERROR(INDEX(tbAtalhos[Forma de pagamento],MATCH($C$6,tbAtalhos[Descrição],0))&amp;"","")),"")</f>
        <v/>
      </c>
      <c r="R16" s="4" t="n"/>
      <c r="S16" s="4" t="n"/>
      <c r="T16" s="4" t="n"/>
    </row>
    <row r="17" ht="20" customHeight="1">
      <c r="A17" s="4" t="n"/>
      <c r="B17" s="54" t="inlineStr">
        <is>
          <t>1ª parcela já foi paga?</t>
        </is>
      </c>
      <c r="C17" s="55" t="inlineStr">
        <is>
          <t>não</t>
        </is>
      </c>
      <c r="D17" s="4" t="n"/>
      <c r="E17" s="56">
        <f>IF(13&lt;=$C$9,DATE(YEAR($C$10),MONTH($C$10)+12,MIN(DAY($C$10),DAY(EOMONTH(DATE(YEAR($C$10),MONTH($C$10)+12,1),0)))),"")</f>
        <v/>
      </c>
      <c r="F17" s="57">
        <f>IF(13&lt;=$C$9,$C$6,"")</f>
        <v/>
      </c>
      <c r="G17" s="58">
        <f>IF(AND(13&lt;=$C$9,$C$5="Parcelado"),"13/"&amp;$C$9,"")</f>
        <v/>
      </c>
      <c r="H17" s="59">
        <f>IF(13&lt;=$C$9,IF($C$5="Repetir todo mês",$C$7,IF($C$8="Total da compra",IF(13&lt;$C$9,ROUND($C$7/$C$9,2),ROUND($C$7-ROUND($C$7/$C$9,2)*($C$9-1),2)),$C$7)),"")</f>
        <v/>
      </c>
      <c r="I17" s="56">
        <f>IF(13&lt;=$C$9,DATE(YEAR($C$10),MONTH($C$10)+12,MIN(DAY($C$10),DAY(EOMONTH(DATE(YEAR($C$10),MONTH($C$10)+12,1),0)))),"")</f>
        <v/>
      </c>
      <c r="J17" s="57">
        <f>IF(13&lt;=$C$9,IF(AND(13=1,$C$17="sim"),IF(IF($C$11&lt;&gt;"",$C$11,IFERROR(INDEX(tbAtalhos[Tipo],MATCH($C$6,tbAtalhos[Descrição],0))&amp;"","Despesa"))="Receita","Recebido","Pago"),"Pendente"),"")</f>
        <v/>
      </c>
      <c r="K17" s="57">
        <f>IF(13&lt;=$C$9,IF($C$11&lt;&gt;"",$C$11,IFERROR(INDEX(tbAtalhos[Tipo],MATCH($C$6,tbAtalhos[Descrição],0))&amp;"","Despesa")),"")</f>
        <v/>
      </c>
      <c r="L17" s="57">
        <f>IF(13&lt;=$C$9,IF($C$12&lt;&gt;"",$C$12,IFERROR(INDEX(tbAtalhos[Categoria],MATCH($C$6,tbAtalhos[Descrição],0))&amp;"","")),"")</f>
        <v/>
      </c>
      <c r="M17" s="57">
        <f>IF(13&lt;=$C$9,IF(IF($C$13&lt;&gt;"",$C$13,IFERROR(INDEX(tbAtalhos[Pote],MATCH($C$6,tbAtalhos[Descrição],0))&amp;"",""))&lt;&gt;"",IF($C$13&lt;&gt;"",$C$13,IFERROR(INDEX(tbAtalhos[Pote],MATCH($C$6,tbAtalhos[Descrição],0))&amp;"","")),IFERROR(INDEX(tbCatDespesa[Fundo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7" s="57">
        <f>IF(13&lt;=$C$9,IF(IF($C$14&lt;&gt;"",$C$14,IFERROR(INDEX(tbAtalhos[Quem],MATCH($C$6,tbAtalhos[Descrição],0))&amp;"",""))&lt;&gt;"",IF($C$14&lt;&gt;"",$C$14,IFERROR(INDEX(tbAtalhos[Quem],MATCH($C$6,tbAtalhos[Descrição],0))&amp;"","")),QuemPadrao),"")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7" s="57">
        <f>""</f>
        <v/>
      </c>
      <c r="P17" s="57">
        <f>IF(13&lt;=$C$9,IF($C$15&lt;&gt;"",$C$15,IFERROR(INDEX(tbAtalhos[Conta],MATCH($C$6,tbAtalhos[Descrição],0))&amp;"","")),"")</f>
        <v/>
      </c>
      <c r="Q17" s="57">
        <f>IF(13&lt;=$C$9,IF($C$16&lt;&gt;"",$C$16,IFERROR(INDEX(tbAtalhos[Forma de pagamento],MATCH($C$6,tbAtalhos[Descrição],0))&amp;"","")),"")</f>
        <v/>
      </c>
      <c r="R17" s="4" t="n"/>
      <c r="S17" s="4" t="n"/>
      <c r="T17" s="4" t="n"/>
    </row>
    <row r="18" ht="20" customHeight="1">
      <c r="A18" s="4" t="n"/>
      <c r="B18" s="4" t="n"/>
      <c r="C18" s="4" t="n"/>
      <c r="D18" s="4" t="n"/>
      <c r="E18" s="56">
        <f>IF(14&lt;=$C$9,DATE(YEAR($C$10),MONTH($C$10)+13,MIN(DAY($C$10),DAY(EOMONTH(DATE(YEAR($C$10),MONTH($C$10)+13,1),0)))),"")</f>
        <v/>
      </c>
      <c r="F18" s="57">
        <f>IF(14&lt;=$C$9,$C$6,"")</f>
        <v/>
      </c>
      <c r="G18" s="58">
        <f>IF(AND(14&lt;=$C$9,$C$5="Parcelado"),"14/"&amp;$C$9,"")</f>
        <v/>
      </c>
      <c r="H18" s="59">
        <f>IF(14&lt;=$C$9,IF($C$5="Repetir todo mês",$C$7,IF($C$8="Total da compra",IF(14&lt;$C$9,ROUND($C$7/$C$9,2),ROUND($C$7-ROUND($C$7/$C$9,2)*($C$9-1),2)),$C$7)),"")</f>
        <v/>
      </c>
      <c r="I18" s="56">
        <f>IF(14&lt;=$C$9,DATE(YEAR($C$10),MONTH($C$10)+13,MIN(DAY($C$10),DAY(EOMONTH(DATE(YEAR($C$10),MONTH($C$10)+13,1),0)))),"")</f>
        <v/>
      </c>
      <c r="J18" s="57">
        <f>IF(14&lt;=$C$9,IF(AND(14=1,$C$17="sim"),IF(IF($C$11&lt;&gt;"",$C$11,IFERROR(INDEX(tbAtalhos[Tipo],MATCH($C$6,tbAtalhos[Descrição],0))&amp;"","Despesa"))="Receita","Recebido","Pago"),"Pendente"),"")</f>
        <v/>
      </c>
      <c r="K18" s="57">
        <f>IF(14&lt;=$C$9,IF($C$11&lt;&gt;"",$C$11,IFERROR(INDEX(tbAtalhos[Tipo],MATCH($C$6,tbAtalhos[Descrição],0))&amp;"","Despesa")),"")</f>
        <v/>
      </c>
      <c r="L18" s="57">
        <f>IF(14&lt;=$C$9,IF($C$12&lt;&gt;"",$C$12,IFERROR(INDEX(tbAtalhos[Categoria],MATCH($C$6,tbAtalhos[Descrição],0))&amp;"","")),"")</f>
        <v/>
      </c>
      <c r="M18" s="57">
        <f>IF(14&lt;=$C$9,IF(IF($C$13&lt;&gt;"",$C$13,IFERROR(INDEX(tbAtalhos[Pote],MATCH($C$6,tbAtalhos[Descrição],0))&amp;"",""))&lt;&gt;"",IF($C$13&lt;&gt;"",$C$13,IFERROR(INDEX(tbAtalhos[Pote],MATCH($C$6,tbAtalhos[Descrição],0))&amp;"","")),IFERROR(INDEX(tbCatDespesa[Fundo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8" s="57">
        <f>IF(14&lt;=$C$9,IF(IF($C$14&lt;&gt;"",$C$14,IFERROR(INDEX(tbAtalhos[Quem],MATCH($C$6,tbAtalhos[Descrição],0))&amp;"",""))&lt;&gt;"",IF($C$14&lt;&gt;"",$C$14,IFERROR(INDEX(tbAtalhos[Quem],MATCH($C$6,tbAtalhos[Descrição],0))&amp;"","")),QuemPadrao),"")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8" s="57">
        <f>""</f>
        <v/>
      </c>
      <c r="P18" s="57">
        <f>IF(14&lt;=$C$9,IF($C$15&lt;&gt;"",$C$15,IFERROR(INDEX(tbAtalhos[Conta],MATCH($C$6,tbAtalhos[Descrição],0))&amp;"","")),"")</f>
        <v/>
      </c>
      <c r="Q18" s="57">
        <f>IF(14&lt;=$C$9,IF($C$16&lt;&gt;"",$C$16,IFERROR(INDEX(tbAtalhos[Forma de pagamento],MATCH($C$6,tbAtalhos[Descrição],0))&amp;"","")),"")</f>
        <v/>
      </c>
      <c r="R18" s="4" t="n"/>
      <c r="S18" s="4" t="n"/>
      <c r="T18" s="4" t="n"/>
    </row>
    <row r="19" ht="20" customHeight="1">
      <c r="A19" s="4" t="n"/>
      <c r="B19" s="53" t="inlineStr">
        <is>
          <t>RESUMO</t>
        </is>
      </c>
      <c r="C19" s="4" t="n"/>
      <c r="D19" s="4" t="n"/>
      <c r="E19" s="56">
        <f>IF(15&lt;=$C$9,DATE(YEAR($C$10),MONTH($C$10)+14,MIN(DAY($C$10),DAY(EOMONTH(DATE(YEAR($C$10),MONTH($C$10)+14,1),0)))),"")</f>
        <v/>
      </c>
      <c r="F19" s="57">
        <f>IF(15&lt;=$C$9,$C$6,"")</f>
        <v/>
      </c>
      <c r="G19" s="58">
        <f>IF(AND(15&lt;=$C$9,$C$5="Parcelado"),"15/"&amp;$C$9,"")</f>
        <v/>
      </c>
      <c r="H19" s="59">
        <f>IF(15&lt;=$C$9,IF($C$5="Repetir todo mês",$C$7,IF($C$8="Total da compra",IF(15&lt;$C$9,ROUND($C$7/$C$9,2),ROUND($C$7-ROUND($C$7/$C$9,2)*($C$9-1),2)),$C$7)),"")</f>
        <v/>
      </c>
      <c r="I19" s="56">
        <f>IF(15&lt;=$C$9,DATE(YEAR($C$10),MONTH($C$10)+14,MIN(DAY($C$10),DAY(EOMONTH(DATE(YEAR($C$10),MONTH($C$10)+14,1),0)))),"")</f>
        <v/>
      </c>
      <c r="J19" s="57">
        <f>IF(15&lt;=$C$9,IF(AND(15=1,$C$17="sim"),IF(IF($C$11&lt;&gt;"",$C$11,IFERROR(INDEX(tbAtalhos[Tipo],MATCH($C$6,tbAtalhos[Descrição],0))&amp;"","Despesa"))="Receita","Recebido","Pago"),"Pendente"),"")</f>
        <v/>
      </c>
      <c r="K19" s="57">
        <f>IF(15&lt;=$C$9,IF($C$11&lt;&gt;"",$C$11,IFERROR(INDEX(tbAtalhos[Tipo],MATCH($C$6,tbAtalhos[Descrição],0))&amp;"","Despesa")),"")</f>
        <v/>
      </c>
      <c r="L19" s="57">
        <f>IF(15&lt;=$C$9,IF($C$12&lt;&gt;"",$C$12,IFERROR(INDEX(tbAtalhos[Categoria],MATCH($C$6,tbAtalhos[Descrição],0))&amp;"","")),"")</f>
        <v/>
      </c>
      <c r="M19" s="57">
        <f>IF(15&lt;=$C$9,IF(IF($C$13&lt;&gt;"",$C$13,IFERROR(INDEX(tbAtalhos[Pote],MATCH($C$6,tbAtalhos[Descrição],0))&amp;"",""))&lt;&gt;"",IF($C$13&lt;&gt;"",$C$13,IFERROR(INDEX(tbAtalhos[Pote],MATCH($C$6,tbAtalhos[Descrição],0))&amp;"","")),IFERROR(INDEX(tbCatDespesa[Fundo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19" s="57">
        <f>IF(15&lt;=$C$9,IF(IF($C$14&lt;&gt;"",$C$14,IFERROR(INDEX(tbAtalhos[Quem],MATCH($C$6,tbAtalhos[Descrição],0))&amp;"",""))&lt;&gt;"",IF($C$14&lt;&gt;"",$C$14,IFERROR(INDEX(tbAtalhos[Quem],MATCH($C$6,tbAtalhos[Descrição],0))&amp;"","")),QuemPadrao),"")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19" s="57">
        <f>""</f>
        <v/>
      </c>
      <c r="P19" s="57">
        <f>IF(15&lt;=$C$9,IF($C$15&lt;&gt;"",$C$15,IFERROR(INDEX(tbAtalhos[Conta],MATCH($C$6,tbAtalhos[Descrição],0))&amp;"","")),"")</f>
        <v/>
      </c>
      <c r="Q19" s="57">
        <f>IF(15&lt;=$C$9,IF($C$16&lt;&gt;"",$C$16,IFERROR(INDEX(tbAtalhos[Forma de pagamento],MATCH($C$6,tbAtalhos[Descrição],0))&amp;"","")),"")</f>
        <v/>
      </c>
      <c r="R19" s="4" t="n"/>
      <c r="S19" s="4" t="n"/>
      <c r="T19" s="4" t="n"/>
    </row>
    <row r="20" ht="20" customHeight="1">
      <c r="A20" s="4" t="n"/>
      <c r="B20" s="54" t="inlineStr">
        <is>
          <t>Valor de cada parcela</t>
        </is>
      </c>
      <c r="C20" s="62">
        <f>IF($C$5="Repetir todo mês",$C$7,IF($C$8="Total da compra",ROUND($C$7/MAX(1,$C$9),2),$C$7))</f>
        <v/>
      </c>
      <c r="D20" s="4" t="n"/>
      <c r="E20" s="56">
        <f>IF(16&lt;=$C$9,DATE(YEAR($C$10),MONTH($C$10)+15,MIN(DAY($C$10),DAY(EOMONTH(DATE(YEAR($C$10),MONTH($C$10)+15,1),0)))),"")</f>
        <v/>
      </c>
      <c r="F20" s="57">
        <f>IF(16&lt;=$C$9,$C$6,"")</f>
        <v/>
      </c>
      <c r="G20" s="58">
        <f>IF(AND(16&lt;=$C$9,$C$5="Parcelado"),"16/"&amp;$C$9,"")</f>
        <v/>
      </c>
      <c r="H20" s="59">
        <f>IF(16&lt;=$C$9,IF($C$5="Repetir todo mês",$C$7,IF($C$8="Total da compra",IF(16&lt;$C$9,ROUND($C$7/$C$9,2),ROUND($C$7-ROUND($C$7/$C$9,2)*($C$9-1),2)),$C$7)),"")</f>
        <v/>
      </c>
      <c r="I20" s="56">
        <f>IF(16&lt;=$C$9,DATE(YEAR($C$10),MONTH($C$10)+15,MIN(DAY($C$10),DAY(EOMONTH(DATE(YEAR($C$10),MONTH($C$10)+15,1),0)))),"")</f>
        <v/>
      </c>
      <c r="J20" s="57">
        <f>IF(16&lt;=$C$9,IF(AND(16=1,$C$17="sim"),IF(IF($C$11&lt;&gt;"",$C$11,IFERROR(INDEX(tbAtalhos[Tipo],MATCH($C$6,tbAtalhos[Descrição],0))&amp;"","Despesa"))="Receita","Recebido","Pago"),"Pendente"),"")</f>
        <v/>
      </c>
      <c r="K20" s="57">
        <f>IF(16&lt;=$C$9,IF($C$11&lt;&gt;"",$C$11,IFERROR(INDEX(tbAtalhos[Tipo],MATCH($C$6,tbAtalhos[Descrição],0))&amp;"","Despesa")),"")</f>
        <v/>
      </c>
      <c r="L20" s="57">
        <f>IF(16&lt;=$C$9,IF($C$12&lt;&gt;"",$C$12,IFERROR(INDEX(tbAtalhos[Categoria],MATCH($C$6,tbAtalhos[Descrição],0))&amp;"","")),"")</f>
        <v/>
      </c>
      <c r="M20" s="57">
        <f>IF(16&lt;=$C$9,IF(IF($C$13&lt;&gt;"",$C$13,IFERROR(INDEX(tbAtalhos[Pote],MATCH($C$6,tbAtalhos[Descrição],0))&amp;"",""))&lt;&gt;"",IF($C$13&lt;&gt;"",$C$13,IFERROR(INDEX(tbAtalhos[Pote],MATCH($C$6,tbAtalhos[Descrição],0))&amp;"","")),IFERROR(INDEX(tbCatDespesa[Fundo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0" s="57">
        <f>IF(16&lt;=$C$9,IF(IF($C$14&lt;&gt;"",$C$14,IFERROR(INDEX(tbAtalhos[Quem],MATCH($C$6,tbAtalhos[Descrição],0))&amp;"",""))&lt;&gt;"",IF($C$14&lt;&gt;"",$C$14,IFERROR(INDEX(tbAtalhos[Quem],MATCH($C$6,tbAtalhos[Descrição],0))&amp;"","")),QuemPadrao),"")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0" s="57">
        <f>""</f>
        <v/>
      </c>
      <c r="P20" s="57">
        <f>IF(16&lt;=$C$9,IF($C$15&lt;&gt;"",$C$15,IFERROR(INDEX(tbAtalhos[Conta],MATCH($C$6,tbAtalhos[Descrição],0))&amp;"","")),"")</f>
        <v/>
      </c>
      <c r="Q20" s="57">
        <f>IF(16&lt;=$C$9,IF($C$16&lt;&gt;"",$C$16,IFERROR(INDEX(tbAtalhos[Forma de pagamento],MATCH($C$6,tbAtalhos[Descrição],0))&amp;"","")),"")</f>
        <v/>
      </c>
      <c r="R20" s="4" t="n"/>
      <c r="S20" s="4" t="n"/>
      <c r="T20" s="4" t="n"/>
    </row>
    <row r="21" ht="20" customHeight="1">
      <c r="A21" s="4" t="n"/>
      <c r="B21" s="54" t="inlineStr">
        <is>
          <t>Total</t>
        </is>
      </c>
      <c r="C21" s="62">
        <f>IF(AND($C$5="Parcelado",$C$8="Total da compra"),$C$7,IF($C$5="Repetir todo mês",$C$7,IF($C$8="Total da compra",ROUND($C$7/MAX(1,$C$9),2),$C$7))*$C$9)</f>
        <v/>
      </c>
      <c r="D21" s="4" t="n"/>
      <c r="E21" s="56">
        <f>IF(17&lt;=$C$9,DATE(YEAR($C$10),MONTH($C$10)+16,MIN(DAY($C$10),DAY(EOMONTH(DATE(YEAR($C$10),MONTH($C$10)+16,1),0)))),"")</f>
        <v/>
      </c>
      <c r="F21" s="57">
        <f>IF(17&lt;=$C$9,$C$6,"")</f>
        <v/>
      </c>
      <c r="G21" s="58">
        <f>IF(AND(17&lt;=$C$9,$C$5="Parcelado"),"17/"&amp;$C$9,"")</f>
        <v/>
      </c>
      <c r="H21" s="59">
        <f>IF(17&lt;=$C$9,IF($C$5="Repetir todo mês",$C$7,IF($C$8="Total da compra",IF(17&lt;$C$9,ROUND($C$7/$C$9,2),ROUND($C$7-ROUND($C$7/$C$9,2)*($C$9-1),2)),$C$7)),"")</f>
        <v/>
      </c>
      <c r="I21" s="56">
        <f>IF(17&lt;=$C$9,DATE(YEAR($C$10),MONTH($C$10)+16,MIN(DAY($C$10),DAY(EOMONTH(DATE(YEAR($C$10),MONTH($C$10)+16,1),0)))),"")</f>
        <v/>
      </c>
      <c r="J21" s="57">
        <f>IF(17&lt;=$C$9,IF(AND(17=1,$C$17="sim"),IF(IF($C$11&lt;&gt;"",$C$11,IFERROR(INDEX(tbAtalhos[Tipo],MATCH($C$6,tbAtalhos[Descrição],0))&amp;"","Despesa"))="Receita","Recebido","Pago"),"Pendente"),"")</f>
        <v/>
      </c>
      <c r="K21" s="57">
        <f>IF(17&lt;=$C$9,IF($C$11&lt;&gt;"",$C$11,IFERROR(INDEX(tbAtalhos[Tipo],MATCH($C$6,tbAtalhos[Descrição],0))&amp;"","Despesa")),"")</f>
        <v/>
      </c>
      <c r="L21" s="57">
        <f>IF(17&lt;=$C$9,IF($C$12&lt;&gt;"",$C$12,IFERROR(INDEX(tbAtalhos[Categoria],MATCH($C$6,tbAtalhos[Descrição],0))&amp;"","")),"")</f>
        <v/>
      </c>
      <c r="M21" s="57">
        <f>IF(17&lt;=$C$9,IF(IF($C$13&lt;&gt;"",$C$13,IFERROR(INDEX(tbAtalhos[Pote],MATCH($C$6,tbAtalhos[Descrição],0))&amp;"",""))&lt;&gt;"",IF($C$13&lt;&gt;"",$C$13,IFERROR(INDEX(tbAtalhos[Pote],MATCH($C$6,tbAtalhos[Descrição],0))&amp;"","")),IFERROR(INDEX(tbCatDespesa[Fundo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1" s="57">
        <f>IF(17&lt;=$C$9,IF(IF($C$14&lt;&gt;"",$C$14,IFERROR(INDEX(tbAtalhos[Quem],MATCH($C$6,tbAtalhos[Descrição],0))&amp;"",""))&lt;&gt;"",IF($C$14&lt;&gt;"",$C$14,IFERROR(INDEX(tbAtalhos[Quem],MATCH($C$6,tbAtalhos[Descrição],0))&amp;"","")),QuemPadrao),"")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1" s="57">
        <f>""</f>
        <v/>
      </c>
      <c r="P21" s="57">
        <f>IF(17&lt;=$C$9,IF($C$15&lt;&gt;"",$C$15,IFERROR(INDEX(tbAtalhos[Conta],MATCH($C$6,tbAtalhos[Descrição],0))&amp;"","")),"")</f>
        <v/>
      </c>
      <c r="Q21" s="57">
        <f>IF(17&lt;=$C$9,IF($C$16&lt;&gt;"",$C$16,IFERROR(INDEX(tbAtalhos[Forma de pagamento],MATCH($C$6,tbAtalhos[Descrição],0))&amp;"","")),"")</f>
        <v/>
      </c>
      <c r="R21" s="4" t="n"/>
      <c r="S21" s="4" t="n"/>
      <c r="T21" s="4" t="n"/>
    </row>
    <row r="22" ht="20" customHeight="1">
      <c r="A22" s="4" t="n"/>
      <c r="B22" s="54" t="inlineStr">
        <is>
          <t>Última parcela em</t>
        </is>
      </c>
      <c r="C22" s="63">
        <f>IFERROR(DATE(YEAR($C$10),MONTH($C$10)+$C$9-1,1),"")</f>
        <v/>
      </c>
      <c r="D22" s="4" t="n"/>
      <c r="E22" s="56">
        <f>IF(18&lt;=$C$9,DATE(YEAR($C$10),MONTH($C$10)+17,MIN(DAY($C$10),DAY(EOMONTH(DATE(YEAR($C$10),MONTH($C$10)+17,1),0)))),"")</f>
        <v/>
      </c>
      <c r="F22" s="57">
        <f>IF(18&lt;=$C$9,$C$6,"")</f>
        <v/>
      </c>
      <c r="G22" s="58">
        <f>IF(AND(18&lt;=$C$9,$C$5="Parcelado"),"18/"&amp;$C$9,"")</f>
        <v/>
      </c>
      <c r="H22" s="59">
        <f>IF(18&lt;=$C$9,IF($C$5="Repetir todo mês",$C$7,IF($C$8="Total da compra",IF(18&lt;$C$9,ROUND($C$7/$C$9,2),ROUND($C$7-ROUND($C$7/$C$9,2)*($C$9-1),2)),$C$7)),"")</f>
        <v/>
      </c>
      <c r="I22" s="56">
        <f>IF(18&lt;=$C$9,DATE(YEAR($C$10),MONTH($C$10)+17,MIN(DAY($C$10),DAY(EOMONTH(DATE(YEAR($C$10),MONTH($C$10)+17,1),0)))),"")</f>
        <v/>
      </c>
      <c r="J22" s="57">
        <f>IF(18&lt;=$C$9,IF(AND(18=1,$C$17="sim"),IF(IF($C$11&lt;&gt;"",$C$11,IFERROR(INDEX(tbAtalhos[Tipo],MATCH($C$6,tbAtalhos[Descrição],0))&amp;"","Despesa"))="Receita","Recebido","Pago"),"Pendente"),"")</f>
        <v/>
      </c>
      <c r="K22" s="57">
        <f>IF(18&lt;=$C$9,IF($C$11&lt;&gt;"",$C$11,IFERROR(INDEX(tbAtalhos[Tipo],MATCH($C$6,tbAtalhos[Descrição],0))&amp;"","Despesa")),"")</f>
        <v/>
      </c>
      <c r="L22" s="57">
        <f>IF(18&lt;=$C$9,IF($C$12&lt;&gt;"",$C$12,IFERROR(INDEX(tbAtalhos[Categoria],MATCH($C$6,tbAtalhos[Descrição],0))&amp;"","")),"")</f>
        <v/>
      </c>
      <c r="M22" s="57">
        <f>IF(18&lt;=$C$9,IF(IF($C$13&lt;&gt;"",$C$13,IFERROR(INDEX(tbAtalhos[Pote],MATCH($C$6,tbAtalhos[Descrição],0))&amp;"",""))&lt;&gt;"",IF($C$13&lt;&gt;"",$C$13,IFERROR(INDEX(tbAtalhos[Pote],MATCH($C$6,tbAtalhos[Descrição],0))&amp;"","")),IFERROR(INDEX(tbCatDespesa[Fundo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2" s="57">
        <f>IF(18&lt;=$C$9,IF(IF($C$14&lt;&gt;"",$C$14,IFERROR(INDEX(tbAtalhos[Quem],MATCH($C$6,tbAtalhos[Descrição],0))&amp;"",""))&lt;&gt;"",IF($C$14&lt;&gt;"",$C$14,IFERROR(INDEX(tbAtalhos[Quem],MATCH($C$6,tbAtalhos[Descrição],0))&amp;"","")),QuemPadrao),"")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2" s="57">
        <f>""</f>
        <v/>
      </c>
      <c r="P22" s="57">
        <f>IF(18&lt;=$C$9,IF($C$15&lt;&gt;"",$C$15,IFERROR(INDEX(tbAtalhos[Conta],MATCH($C$6,tbAtalhos[Descrição],0))&amp;"","")),"")</f>
        <v/>
      </c>
      <c r="Q22" s="57">
        <f>IF(18&lt;=$C$9,IF($C$16&lt;&gt;"",$C$16,IFERROR(INDEX(tbAtalhos[Forma de pagamento],MATCH($C$6,tbAtalhos[Descrição],0))&amp;"","")),"")</f>
        <v/>
      </c>
      <c r="R22" s="4" t="n"/>
      <c r="S22" s="4" t="n"/>
      <c r="T22" s="4" t="n"/>
    </row>
    <row r="23" ht="20" customHeight="1">
      <c r="A23" s="4" t="n"/>
      <c r="B23" s="4" t="n"/>
      <c r="C23" s="4" t="n"/>
      <c r="D23" s="4" t="n"/>
      <c r="E23" s="56">
        <f>IF(19&lt;=$C$9,DATE(YEAR($C$10),MONTH($C$10)+18,MIN(DAY($C$10),DAY(EOMONTH(DATE(YEAR($C$10),MONTH($C$10)+18,1),0)))),"")</f>
        <v/>
      </c>
      <c r="F23" s="57">
        <f>IF(19&lt;=$C$9,$C$6,"")</f>
        <v/>
      </c>
      <c r="G23" s="58">
        <f>IF(AND(19&lt;=$C$9,$C$5="Parcelado"),"19/"&amp;$C$9,"")</f>
        <v/>
      </c>
      <c r="H23" s="59">
        <f>IF(19&lt;=$C$9,IF($C$5="Repetir todo mês",$C$7,IF($C$8="Total da compra",IF(19&lt;$C$9,ROUND($C$7/$C$9,2),ROUND($C$7-ROUND($C$7/$C$9,2)*($C$9-1),2)),$C$7)),"")</f>
        <v/>
      </c>
      <c r="I23" s="56">
        <f>IF(19&lt;=$C$9,DATE(YEAR($C$10),MONTH($C$10)+18,MIN(DAY($C$10),DAY(EOMONTH(DATE(YEAR($C$10),MONTH($C$10)+18,1),0)))),"")</f>
        <v/>
      </c>
      <c r="J23" s="57">
        <f>IF(19&lt;=$C$9,IF(AND(19=1,$C$17="sim"),IF(IF($C$11&lt;&gt;"",$C$11,IFERROR(INDEX(tbAtalhos[Tipo],MATCH($C$6,tbAtalhos[Descrição],0))&amp;"","Despesa"))="Receita","Recebido","Pago"),"Pendente"),"")</f>
        <v/>
      </c>
      <c r="K23" s="57">
        <f>IF(19&lt;=$C$9,IF($C$11&lt;&gt;"",$C$11,IFERROR(INDEX(tbAtalhos[Tipo],MATCH($C$6,tbAtalhos[Descrição],0))&amp;"","Despesa")),"")</f>
        <v/>
      </c>
      <c r="L23" s="57">
        <f>IF(19&lt;=$C$9,IF($C$12&lt;&gt;"",$C$12,IFERROR(INDEX(tbAtalhos[Categoria],MATCH($C$6,tbAtalhos[Descrição],0))&amp;"","")),"")</f>
        <v/>
      </c>
      <c r="M23" s="57">
        <f>IF(19&lt;=$C$9,IF(IF($C$13&lt;&gt;"",$C$13,IFERROR(INDEX(tbAtalhos[Pote],MATCH($C$6,tbAtalhos[Descrição],0))&amp;"",""))&lt;&gt;"",IF($C$13&lt;&gt;"",$C$13,IFERROR(INDEX(tbAtalhos[Pote],MATCH($C$6,tbAtalhos[Descrição],0))&amp;"","")),IFERROR(INDEX(tbCatDespesa[Fundo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3" s="57">
        <f>IF(19&lt;=$C$9,IF(IF($C$14&lt;&gt;"",$C$14,IFERROR(INDEX(tbAtalhos[Quem],MATCH($C$6,tbAtalhos[Descrição],0))&amp;"",""))&lt;&gt;"",IF($C$14&lt;&gt;"",$C$14,IFERROR(INDEX(tbAtalhos[Quem],MATCH($C$6,tbAtalhos[Descrição],0))&amp;"","")),QuemPadrao),"")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3" s="57">
        <f>""</f>
        <v/>
      </c>
      <c r="P23" s="57">
        <f>IF(19&lt;=$C$9,IF($C$15&lt;&gt;"",$C$15,IFERROR(INDEX(tbAtalhos[Conta],MATCH($C$6,tbAtalhos[Descrição],0))&amp;"","")),"")</f>
        <v/>
      </c>
      <c r="Q23" s="57">
        <f>IF(19&lt;=$C$9,IF($C$16&lt;&gt;"",$C$16,IFERROR(INDEX(tbAtalhos[Forma de pagamento],MATCH($C$6,tbAtalhos[Descrição],0))&amp;"","")),"")</f>
        <v/>
      </c>
      <c r="R23" s="4" t="n"/>
      <c r="S23" s="4" t="n"/>
      <c r="T23" s="4" t="n"/>
    </row>
    <row r="24" ht="20" customHeight="1">
      <c r="A24" s="4" t="n"/>
      <c r="B24" s="45">
        <f>HYPERLINK("#'Mês'!A1","⌂  Mês")</f>
        <v/>
      </c>
      <c r="C24" s="4" t="n"/>
      <c r="D24" s="4" t="n"/>
      <c r="E24" s="56">
        <f>IF(20&lt;=$C$9,DATE(YEAR($C$10),MONTH($C$10)+19,MIN(DAY($C$10),DAY(EOMONTH(DATE(YEAR($C$10),MONTH($C$10)+19,1),0)))),"")</f>
        <v/>
      </c>
      <c r="F24" s="57">
        <f>IF(20&lt;=$C$9,$C$6,"")</f>
        <v/>
      </c>
      <c r="G24" s="58">
        <f>IF(AND(20&lt;=$C$9,$C$5="Parcelado"),"20/"&amp;$C$9,"")</f>
        <v/>
      </c>
      <c r="H24" s="59">
        <f>IF(20&lt;=$C$9,IF($C$5="Repetir todo mês",$C$7,IF($C$8="Total da compra",IF(20&lt;$C$9,ROUND($C$7/$C$9,2),ROUND($C$7-ROUND($C$7/$C$9,2)*($C$9-1),2)),$C$7)),"")</f>
        <v/>
      </c>
      <c r="I24" s="56">
        <f>IF(20&lt;=$C$9,DATE(YEAR($C$10),MONTH($C$10)+19,MIN(DAY($C$10),DAY(EOMONTH(DATE(YEAR($C$10),MONTH($C$10)+19,1),0)))),"")</f>
        <v/>
      </c>
      <c r="J24" s="57">
        <f>IF(20&lt;=$C$9,IF(AND(20=1,$C$17="sim"),IF(IF($C$11&lt;&gt;"",$C$11,IFERROR(INDEX(tbAtalhos[Tipo],MATCH($C$6,tbAtalhos[Descrição],0))&amp;"","Despesa"))="Receita","Recebido","Pago"),"Pendente"),"")</f>
        <v/>
      </c>
      <c r="K24" s="57">
        <f>IF(20&lt;=$C$9,IF($C$11&lt;&gt;"",$C$11,IFERROR(INDEX(tbAtalhos[Tipo],MATCH($C$6,tbAtalhos[Descrição],0))&amp;"","Despesa")),"")</f>
        <v/>
      </c>
      <c r="L24" s="57">
        <f>IF(20&lt;=$C$9,IF($C$12&lt;&gt;"",$C$12,IFERROR(INDEX(tbAtalhos[Categoria],MATCH($C$6,tbAtalhos[Descrição],0))&amp;"","")),"")</f>
        <v/>
      </c>
      <c r="M24" s="57">
        <f>IF(20&lt;=$C$9,IF(IF($C$13&lt;&gt;"",$C$13,IFERROR(INDEX(tbAtalhos[Pote],MATCH($C$6,tbAtalhos[Descrição],0))&amp;"",""))&lt;&gt;"",IF($C$13&lt;&gt;"",$C$13,IFERROR(INDEX(tbAtalhos[Pote],MATCH($C$6,tbAtalhos[Descrição],0))&amp;"","")),IFERROR(INDEX(tbCatDespesa[Fundo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4" s="57">
        <f>IF(20&lt;=$C$9,IF(IF($C$14&lt;&gt;"",$C$14,IFERROR(INDEX(tbAtalhos[Quem],MATCH($C$6,tbAtalhos[Descrição],0))&amp;"",""))&lt;&gt;"",IF($C$14&lt;&gt;"",$C$14,IFERROR(INDEX(tbAtalhos[Quem],MATCH($C$6,tbAtalhos[Descrição],0))&amp;"","")),QuemPadrao),"")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4" s="57">
        <f>""</f>
        <v/>
      </c>
      <c r="P24" s="57">
        <f>IF(20&lt;=$C$9,IF($C$15&lt;&gt;"",$C$15,IFERROR(INDEX(tbAtalhos[Conta],MATCH($C$6,tbAtalhos[Descrição],0))&amp;"","")),"")</f>
        <v/>
      </c>
      <c r="Q24" s="57">
        <f>IF(20&lt;=$C$9,IF($C$16&lt;&gt;"",$C$16,IFERROR(INDEX(tbAtalhos[Forma de pagamento],MATCH($C$6,tbAtalhos[Descrição],0))&amp;"","")),"")</f>
        <v/>
      </c>
      <c r="R24" s="4" t="n"/>
      <c r="S24" s="4" t="n"/>
      <c r="T24" s="4" t="n"/>
    </row>
    <row r="25" ht="20" customHeight="1">
      <c r="A25" s="4" t="n"/>
      <c r="B25" s="4" t="n"/>
      <c r="C25" s="4" t="n"/>
      <c r="D25" s="4" t="n"/>
      <c r="E25" s="56">
        <f>IF(21&lt;=$C$9,DATE(YEAR($C$10),MONTH($C$10)+20,MIN(DAY($C$10),DAY(EOMONTH(DATE(YEAR($C$10),MONTH($C$10)+20,1),0)))),"")</f>
        <v/>
      </c>
      <c r="F25" s="57">
        <f>IF(21&lt;=$C$9,$C$6,"")</f>
        <v/>
      </c>
      <c r="G25" s="58">
        <f>IF(AND(21&lt;=$C$9,$C$5="Parcelado"),"21/"&amp;$C$9,"")</f>
        <v/>
      </c>
      <c r="H25" s="59">
        <f>IF(21&lt;=$C$9,IF($C$5="Repetir todo mês",$C$7,IF($C$8="Total da compra",IF(21&lt;$C$9,ROUND($C$7/$C$9,2),ROUND($C$7-ROUND($C$7/$C$9,2)*($C$9-1),2)),$C$7)),"")</f>
        <v/>
      </c>
      <c r="I25" s="56">
        <f>IF(21&lt;=$C$9,DATE(YEAR($C$10),MONTH($C$10)+20,MIN(DAY($C$10),DAY(EOMONTH(DATE(YEAR($C$10),MONTH($C$10)+20,1),0)))),"")</f>
        <v/>
      </c>
      <c r="J25" s="57">
        <f>IF(21&lt;=$C$9,IF(AND(21=1,$C$17="sim"),IF(IF($C$11&lt;&gt;"",$C$11,IFERROR(INDEX(tbAtalhos[Tipo],MATCH($C$6,tbAtalhos[Descrição],0))&amp;"","Despesa"))="Receita","Recebido","Pago"),"Pendente"),"")</f>
        <v/>
      </c>
      <c r="K25" s="57">
        <f>IF(21&lt;=$C$9,IF($C$11&lt;&gt;"",$C$11,IFERROR(INDEX(tbAtalhos[Tipo],MATCH($C$6,tbAtalhos[Descrição],0))&amp;"","Despesa")),"")</f>
        <v/>
      </c>
      <c r="L25" s="57">
        <f>IF(21&lt;=$C$9,IF($C$12&lt;&gt;"",$C$12,IFERROR(INDEX(tbAtalhos[Categoria],MATCH($C$6,tbAtalhos[Descrição],0))&amp;"","")),"")</f>
        <v/>
      </c>
      <c r="M25" s="57">
        <f>IF(21&lt;=$C$9,IF(IF($C$13&lt;&gt;"",$C$13,IFERROR(INDEX(tbAtalhos[Pote],MATCH($C$6,tbAtalhos[Descrição],0))&amp;"",""))&lt;&gt;"",IF($C$13&lt;&gt;"",$C$13,IFERROR(INDEX(tbAtalhos[Pote],MATCH($C$6,tbAtalhos[Descrição],0))&amp;"","")),IFERROR(INDEX(tbCatDespesa[Fundo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5" s="57">
        <f>IF(21&lt;=$C$9,IF(IF($C$14&lt;&gt;"",$C$14,IFERROR(INDEX(tbAtalhos[Quem],MATCH($C$6,tbAtalhos[Descrição],0))&amp;"",""))&lt;&gt;"",IF($C$14&lt;&gt;"",$C$14,IFERROR(INDEX(tbAtalhos[Quem],MATCH($C$6,tbAtalhos[Descrição],0))&amp;"","")),QuemPadrao),"")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5" s="57">
        <f>""</f>
        <v/>
      </c>
      <c r="P25" s="57">
        <f>IF(21&lt;=$C$9,IF($C$15&lt;&gt;"",$C$15,IFERROR(INDEX(tbAtalhos[Conta],MATCH($C$6,tbAtalhos[Descrição],0))&amp;"","")),"")</f>
        <v/>
      </c>
      <c r="Q25" s="57">
        <f>IF(21&lt;=$C$9,IF($C$16&lt;&gt;"",$C$16,IFERROR(INDEX(tbAtalhos[Forma de pagamento],MATCH($C$6,tbAtalhos[Descrição],0))&amp;"","")),"")</f>
        <v/>
      </c>
      <c r="R25" s="4" t="n"/>
      <c r="S25" s="4" t="n"/>
      <c r="T25" s="4" t="n"/>
    </row>
    <row r="26" ht="20" customHeight="1">
      <c r="A26" s="4" t="n"/>
      <c r="B26" s="4" t="n"/>
      <c r="C26" s="4" t="n"/>
      <c r="D26" s="4" t="n"/>
      <c r="E26" s="56">
        <f>IF(22&lt;=$C$9,DATE(YEAR($C$10),MONTH($C$10)+21,MIN(DAY($C$10),DAY(EOMONTH(DATE(YEAR($C$10),MONTH($C$10)+21,1),0)))),"")</f>
        <v/>
      </c>
      <c r="F26" s="57">
        <f>IF(22&lt;=$C$9,$C$6,"")</f>
        <v/>
      </c>
      <c r="G26" s="58">
        <f>IF(AND(22&lt;=$C$9,$C$5="Parcelado"),"22/"&amp;$C$9,"")</f>
        <v/>
      </c>
      <c r="H26" s="59">
        <f>IF(22&lt;=$C$9,IF($C$5="Repetir todo mês",$C$7,IF($C$8="Total da compra",IF(22&lt;$C$9,ROUND($C$7/$C$9,2),ROUND($C$7-ROUND($C$7/$C$9,2)*($C$9-1),2)),$C$7)),"")</f>
        <v/>
      </c>
      <c r="I26" s="56">
        <f>IF(22&lt;=$C$9,DATE(YEAR($C$10),MONTH($C$10)+21,MIN(DAY($C$10),DAY(EOMONTH(DATE(YEAR($C$10),MONTH($C$10)+21,1),0)))),"")</f>
        <v/>
      </c>
      <c r="J26" s="57">
        <f>IF(22&lt;=$C$9,IF(AND(22=1,$C$17="sim"),IF(IF($C$11&lt;&gt;"",$C$11,IFERROR(INDEX(tbAtalhos[Tipo],MATCH($C$6,tbAtalhos[Descrição],0))&amp;"","Despesa"))="Receita","Recebido","Pago"),"Pendente"),"")</f>
        <v/>
      </c>
      <c r="K26" s="57">
        <f>IF(22&lt;=$C$9,IF($C$11&lt;&gt;"",$C$11,IFERROR(INDEX(tbAtalhos[Tipo],MATCH($C$6,tbAtalhos[Descrição],0))&amp;"","Despesa")),"")</f>
        <v/>
      </c>
      <c r="L26" s="57">
        <f>IF(22&lt;=$C$9,IF($C$12&lt;&gt;"",$C$12,IFERROR(INDEX(tbAtalhos[Categoria],MATCH($C$6,tbAtalhos[Descrição],0))&amp;"","")),"")</f>
        <v/>
      </c>
      <c r="M26" s="57">
        <f>IF(22&lt;=$C$9,IF(IF($C$13&lt;&gt;"",$C$13,IFERROR(INDEX(tbAtalhos[Pote],MATCH($C$6,tbAtalhos[Descrição],0))&amp;"",""))&lt;&gt;"",IF($C$13&lt;&gt;"",$C$13,IFERROR(INDEX(tbAtalhos[Pote],MATCH($C$6,tbAtalhos[Descrição],0))&amp;"","")),IFERROR(INDEX(tbCatDespesa[Fundo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6" s="57">
        <f>IF(22&lt;=$C$9,IF(IF($C$14&lt;&gt;"",$C$14,IFERROR(INDEX(tbAtalhos[Quem],MATCH($C$6,tbAtalhos[Descrição],0))&amp;"",""))&lt;&gt;"",IF($C$14&lt;&gt;"",$C$14,IFERROR(INDEX(tbAtalhos[Quem],MATCH($C$6,tbAtalhos[Descrição],0))&amp;"","")),QuemPadrao),"")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6" s="57">
        <f>""</f>
        <v/>
      </c>
      <c r="P26" s="57">
        <f>IF(22&lt;=$C$9,IF($C$15&lt;&gt;"",$C$15,IFERROR(INDEX(tbAtalhos[Conta],MATCH($C$6,tbAtalhos[Descrição],0))&amp;"","")),"")</f>
        <v/>
      </c>
      <c r="Q26" s="57">
        <f>IF(22&lt;=$C$9,IF($C$16&lt;&gt;"",$C$16,IFERROR(INDEX(tbAtalhos[Forma de pagamento],MATCH($C$6,tbAtalhos[Descrição],0))&amp;"","")),"")</f>
        <v/>
      </c>
      <c r="R26" s="4" t="n"/>
      <c r="S26" s="4" t="n"/>
      <c r="T26" s="4" t="n"/>
    </row>
    <row r="27" ht="20" customHeight="1">
      <c r="A27" s="4" t="n"/>
      <c r="B27" s="4" t="n"/>
      <c r="C27" s="4" t="n"/>
      <c r="D27" s="4" t="n"/>
      <c r="E27" s="56">
        <f>IF(23&lt;=$C$9,DATE(YEAR($C$10),MONTH($C$10)+22,MIN(DAY($C$10),DAY(EOMONTH(DATE(YEAR($C$10),MONTH($C$10)+22,1),0)))),"")</f>
        <v/>
      </c>
      <c r="F27" s="57">
        <f>IF(23&lt;=$C$9,$C$6,"")</f>
        <v/>
      </c>
      <c r="G27" s="58">
        <f>IF(AND(23&lt;=$C$9,$C$5="Parcelado"),"23/"&amp;$C$9,"")</f>
        <v/>
      </c>
      <c r="H27" s="59">
        <f>IF(23&lt;=$C$9,IF($C$5="Repetir todo mês",$C$7,IF($C$8="Total da compra",IF(23&lt;$C$9,ROUND($C$7/$C$9,2),ROUND($C$7-ROUND($C$7/$C$9,2)*($C$9-1),2)),$C$7)),"")</f>
        <v/>
      </c>
      <c r="I27" s="56">
        <f>IF(23&lt;=$C$9,DATE(YEAR($C$10),MONTH($C$10)+22,MIN(DAY($C$10),DAY(EOMONTH(DATE(YEAR($C$10),MONTH($C$10)+22,1),0)))),"")</f>
        <v/>
      </c>
      <c r="J27" s="57">
        <f>IF(23&lt;=$C$9,IF(AND(23=1,$C$17="sim"),IF(IF($C$11&lt;&gt;"",$C$11,IFERROR(INDEX(tbAtalhos[Tipo],MATCH($C$6,tbAtalhos[Descrição],0))&amp;"","Despesa"))="Receita","Recebido","Pago"),"Pendente"),"")</f>
        <v/>
      </c>
      <c r="K27" s="57">
        <f>IF(23&lt;=$C$9,IF($C$11&lt;&gt;"",$C$11,IFERROR(INDEX(tbAtalhos[Tipo],MATCH($C$6,tbAtalhos[Descrição],0))&amp;"","Despesa")),"")</f>
        <v/>
      </c>
      <c r="L27" s="57">
        <f>IF(23&lt;=$C$9,IF($C$12&lt;&gt;"",$C$12,IFERROR(INDEX(tbAtalhos[Categoria],MATCH($C$6,tbAtalhos[Descrição],0))&amp;"","")),"")</f>
        <v/>
      </c>
      <c r="M27" s="57">
        <f>IF(23&lt;=$C$9,IF(IF($C$13&lt;&gt;"",$C$13,IFERROR(INDEX(tbAtalhos[Pote],MATCH($C$6,tbAtalhos[Descrição],0))&amp;"",""))&lt;&gt;"",IF($C$13&lt;&gt;"",$C$13,IFERROR(INDEX(tbAtalhos[Pote],MATCH($C$6,tbAtalhos[Descrição],0))&amp;"","")),IFERROR(INDEX(tbCatDespesa[Fundo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7" s="57">
        <f>IF(23&lt;=$C$9,IF(IF($C$14&lt;&gt;"",$C$14,IFERROR(INDEX(tbAtalhos[Quem],MATCH($C$6,tbAtalhos[Descrição],0))&amp;"",""))&lt;&gt;"",IF($C$14&lt;&gt;"",$C$14,IFERROR(INDEX(tbAtalhos[Quem],MATCH($C$6,tbAtalhos[Descrição],0))&amp;"","")),QuemPadrao),"")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7" s="57">
        <f>""</f>
        <v/>
      </c>
      <c r="P27" s="57">
        <f>IF(23&lt;=$C$9,IF($C$15&lt;&gt;"",$C$15,IFERROR(INDEX(tbAtalhos[Conta],MATCH($C$6,tbAtalhos[Descrição],0))&amp;"","")),"")</f>
        <v/>
      </c>
      <c r="Q27" s="57">
        <f>IF(23&lt;=$C$9,IF($C$16&lt;&gt;"",$C$16,IFERROR(INDEX(tbAtalhos[Forma de pagamento],MATCH($C$6,tbAtalhos[Descrição],0))&amp;"","")),"")</f>
        <v/>
      </c>
      <c r="R27" s="4" t="n"/>
      <c r="S27" s="4" t="n"/>
      <c r="T27" s="4" t="n"/>
    </row>
    <row r="28" ht="20" customHeight="1">
      <c r="A28" s="4" t="n"/>
      <c r="B28" s="4" t="n"/>
      <c r="C28" s="4" t="n"/>
      <c r="D28" s="4" t="n"/>
      <c r="E28" s="56">
        <f>IF(24&lt;=$C$9,DATE(YEAR($C$10),MONTH($C$10)+23,MIN(DAY($C$10),DAY(EOMONTH(DATE(YEAR($C$10),MONTH($C$10)+23,1),0)))),"")</f>
        <v/>
      </c>
      <c r="F28" s="57">
        <f>IF(24&lt;=$C$9,$C$6,"")</f>
        <v/>
      </c>
      <c r="G28" s="58">
        <f>IF(AND(24&lt;=$C$9,$C$5="Parcelado"),"24/"&amp;$C$9,"")</f>
        <v/>
      </c>
      <c r="H28" s="59">
        <f>IF(24&lt;=$C$9,IF($C$5="Repetir todo mês",$C$7,IF($C$8="Total da compra",IF(24&lt;$C$9,ROUND($C$7/$C$9,2),ROUND($C$7-ROUND($C$7/$C$9,2)*($C$9-1),2)),$C$7)),"")</f>
        <v/>
      </c>
      <c r="I28" s="56">
        <f>IF(24&lt;=$C$9,DATE(YEAR($C$10),MONTH($C$10)+23,MIN(DAY($C$10),DAY(EOMONTH(DATE(YEAR($C$10),MONTH($C$10)+23,1),0)))),"")</f>
        <v/>
      </c>
      <c r="J28" s="57">
        <f>IF(24&lt;=$C$9,IF(AND(24=1,$C$17="sim"),IF(IF($C$11&lt;&gt;"",$C$11,IFERROR(INDEX(tbAtalhos[Tipo],MATCH($C$6,tbAtalhos[Descrição],0))&amp;"","Despesa"))="Receita","Recebido","Pago"),"Pendente"),"")</f>
        <v/>
      </c>
      <c r="K28" s="57">
        <f>IF(24&lt;=$C$9,IF($C$11&lt;&gt;"",$C$11,IFERROR(INDEX(tbAtalhos[Tipo],MATCH($C$6,tbAtalhos[Descrição],0))&amp;"","Despesa")),"")</f>
        <v/>
      </c>
      <c r="L28" s="57">
        <f>IF(24&lt;=$C$9,IF($C$12&lt;&gt;"",$C$12,IFERROR(INDEX(tbAtalhos[Categoria],MATCH($C$6,tbAtalhos[Descrição],0))&amp;"","")),"")</f>
        <v/>
      </c>
      <c r="M28" s="57">
        <f>IF(24&lt;=$C$9,IF(IF($C$13&lt;&gt;"",$C$13,IFERROR(INDEX(tbAtalhos[Pote],MATCH($C$6,tbAtalhos[Descrição],0))&amp;"",""))&lt;&gt;"",IF($C$13&lt;&gt;"",$C$13,IFERROR(INDEX(tbAtalhos[Pote],MATCH($C$6,tbAtalhos[Descrição],0))&amp;"","")),IFERROR(INDEX(tbCatDespesa[Fundo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8" s="57">
        <f>IF(24&lt;=$C$9,IF(IF($C$14&lt;&gt;"",$C$14,IFERROR(INDEX(tbAtalhos[Quem],MATCH($C$6,tbAtalhos[Descrição],0))&amp;"",""))&lt;&gt;"",IF($C$14&lt;&gt;"",$C$14,IFERROR(INDEX(tbAtalhos[Quem],MATCH($C$6,tbAtalhos[Descrição],0))&amp;"","")),QuemPadrao),"")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8" s="57">
        <f>""</f>
        <v/>
      </c>
      <c r="P28" s="57">
        <f>IF(24&lt;=$C$9,IF($C$15&lt;&gt;"",$C$15,IFERROR(INDEX(tbAtalhos[Conta],MATCH($C$6,tbAtalhos[Descrição],0))&amp;"","")),"")</f>
        <v/>
      </c>
      <c r="Q28" s="57">
        <f>IF(24&lt;=$C$9,IF($C$16&lt;&gt;"",$C$16,IFERROR(INDEX(tbAtalhos[Forma de pagamento],MATCH($C$6,tbAtalhos[Descrição],0))&amp;"","")),"")</f>
        <v/>
      </c>
      <c r="R28" s="4" t="n"/>
      <c r="S28" s="4" t="n"/>
      <c r="T28" s="4" t="n"/>
    </row>
    <row r="29" ht="20" customHeight="1">
      <c r="A29" s="4" t="n"/>
      <c r="B29" s="4" t="n"/>
      <c r="C29" s="4" t="n"/>
      <c r="D29" s="4" t="n"/>
      <c r="E29" s="56">
        <f>IF(25&lt;=$C$9,DATE(YEAR($C$10),MONTH($C$10)+24,MIN(DAY($C$10),DAY(EOMONTH(DATE(YEAR($C$10),MONTH($C$10)+24,1),0)))),"")</f>
        <v/>
      </c>
      <c r="F29" s="57">
        <f>IF(25&lt;=$C$9,$C$6,"")</f>
        <v/>
      </c>
      <c r="G29" s="58">
        <f>IF(AND(25&lt;=$C$9,$C$5="Parcelado"),"25/"&amp;$C$9,"")</f>
        <v/>
      </c>
      <c r="H29" s="59">
        <f>IF(25&lt;=$C$9,IF($C$5="Repetir todo mês",$C$7,IF($C$8="Total da compra",IF(25&lt;$C$9,ROUND($C$7/$C$9,2),ROUND($C$7-ROUND($C$7/$C$9,2)*($C$9-1),2)),$C$7)),"")</f>
        <v/>
      </c>
      <c r="I29" s="56">
        <f>IF(25&lt;=$C$9,DATE(YEAR($C$10),MONTH($C$10)+24,MIN(DAY($C$10),DAY(EOMONTH(DATE(YEAR($C$10),MONTH($C$10)+24,1),0)))),"")</f>
        <v/>
      </c>
      <c r="J29" s="57">
        <f>IF(25&lt;=$C$9,IF(AND(25=1,$C$17="sim"),IF(IF($C$11&lt;&gt;"",$C$11,IFERROR(INDEX(tbAtalhos[Tipo],MATCH($C$6,tbAtalhos[Descrição],0))&amp;"","Despesa"))="Receita","Recebido","Pago"),"Pendente"),"")</f>
        <v/>
      </c>
      <c r="K29" s="57">
        <f>IF(25&lt;=$C$9,IF($C$11&lt;&gt;"",$C$11,IFERROR(INDEX(tbAtalhos[Tipo],MATCH($C$6,tbAtalhos[Descrição],0))&amp;"","Despesa")),"")</f>
        <v/>
      </c>
      <c r="L29" s="57">
        <f>IF(25&lt;=$C$9,IF($C$12&lt;&gt;"",$C$12,IFERROR(INDEX(tbAtalhos[Categoria],MATCH($C$6,tbAtalhos[Descrição],0))&amp;"","")),"")</f>
        <v/>
      </c>
      <c r="M29" s="57">
        <f>IF(25&lt;=$C$9,IF(IF($C$13&lt;&gt;"",$C$13,IFERROR(INDEX(tbAtalhos[Pote],MATCH($C$6,tbAtalhos[Descrição],0))&amp;"",""))&lt;&gt;"",IF($C$13&lt;&gt;"",$C$13,IFERROR(INDEX(tbAtalhos[Pote],MATCH($C$6,tbAtalhos[Descrição],0))&amp;"","")),IFERROR(INDEX(tbCatDespesa[Fundo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29" s="57">
        <f>IF(25&lt;=$C$9,IF(IF($C$14&lt;&gt;"",$C$14,IFERROR(INDEX(tbAtalhos[Quem],MATCH($C$6,tbAtalhos[Descrição],0))&amp;"",""))&lt;&gt;"",IF($C$14&lt;&gt;"",$C$14,IFERROR(INDEX(tbAtalhos[Quem],MATCH($C$6,tbAtalhos[Descrição],0))&amp;"","")),QuemPadrao),"")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29" s="57">
        <f>""</f>
        <v/>
      </c>
      <c r="P29" s="57">
        <f>IF(25&lt;=$C$9,IF($C$15&lt;&gt;"",$C$15,IFERROR(INDEX(tbAtalhos[Conta],MATCH($C$6,tbAtalhos[Descrição],0))&amp;"","")),"")</f>
        <v/>
      </c>
      <c r="Q29" s="57">
        <f>IF(25&lt;=$C$9,IF($C$16&lt;&gt;"",$C$16,IFERROR(INDEX(tbAtalhos[Forma de pagamento],MATCH($C$6,tbAtalhos[Descrição],0))&amp;"","")),"")</f>
        <v/>
      </c>
      <c r="R29" s="4" t="n"/>
      <c r="S29" s="4" t="n"/>
      <c r="T29" s="4" t="n"/>
    </row>
    <row r="30" ht="20" customHeight="1">
      <c r="A30" s="4" t="n"/>
      <c r="B30" s="4" t="n"/>
      <c r="C30" s="4" t="n"/>
      <c r="D30" s="4" t="n"/>
      <c r="E30" s="56">
        <f>IF(26&lt;=$C$9,DATE(YEAR($C$10),MONTH($C$10)+25,MIN(DAY($C$10),DAY(EOMONTH(DATE(YEAR($C$10),MONTH($C$10)+25,1),0)))),"")</f>
        <v/>
      </c>
      <c r="F30" s="57">
        <f>IF(26&lt;=$C$9,$C$6,"")</f>
        <v/>
      </c>
      <c r="G30" s="58">
        <f>IF(AND(26&lt;=$C$9,$C$5="Parcelado"),"26/"&amp;$C$9,"")</f>
        <v/>
      </c>
      <c r="H30" s="59">
        <f>IF(26&lt;=$C$9,IF($C$5="Repetir todo mês",$C$7,IF($C$8="Total da compra",IF(26&lt;$C$9,ROUND($C$7/$C$9,2),ROUND($C$7-ROUND($C$7/$C$9,2)*($C$9-1),2)),$C$7)),"")</f>
        <v/>
      </c>
      <c r="I30" s="56">
        <f>IF(26&lt;=$C$9,DATE(YEAR($C$10),MONTH($C$10)+25,MIN(DAY($C$10),DAY(EOMONTH(DATE(YEAR($C$10),MONTH($C$10)+25,1),0)))),"")</f>
        <v/>
      </c>
      <c r="J30" s="57">
        <f>IF(26&lt;=$C$9,IF(AND(26=1,$C$17="sim"),IF(IF($C$11&lt;&gt;"",$C$11,IFERROR(INDEX(tbAtalhos[Tipo],MATCH($C$6,tbAtalhos[Descrição],0))&amp;"","Despesa"))="Receita","Recebido","Pago"),"Pendente"),"")</f>
        <v/>
      </c>
      <c r="K30" s="57">
        <f>IF(26&lt;=$C$9,IF($C$11&lt;&gt;"",$C$11,IFERROR(INDEX(tbAtalhos[Tipo],MATCH($C$6,tbAtalhos[Descrição],0))&amp;"","Despesa")),"")</f>
        <v/>
      </c>
      <c r="L30" s="57">
        <f>IF(26&lt;=$C$9,IF($C$12&lt;&gt;"",$C$12,IFERROR(INDEX(tbAtalhos[Categoria],MATCH($C$6,tbAtalhos[Descrição],0))&amp;"","")),"")</f>
        <v/>
      </c>
      <c r="M30" s="57">
        <f>IF(26&lt;=$C$9,IF(IF($C$13&lt;&gt;"",$C$13,IFERROR(INDEX(tbAtalhos[Pote],MATCH($C$6,tbAtalhos[Descrição],0))&amp;"",""))&lt;&gt;"",IF($C$13&lt;&gt;"",$C$13,IFERROR(INDEX(tbAtalhos[Pote],MATCH($C$6,tbAtalhos[Descrição],0))&amp;"","")),IFERROR(INDEX(tbCatDespesa[Fundo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0" s="57">
        <f>IF(26&lt;=$C$9,IF(IF($C$14&lt;&gt;"",$C$14,IFERROR(INDEX(tbAtalhos[Quem],MATCH($C$6,tbAtalhos[Descrição],0))&amp;"",""))&lt;&gt;"",IF($C$14&lt;&gt;"",$C$14,IFERROR(INDEX(tbAtalhos[Quem],MATCH($C$6,tbAtalhos[Descrição],0))&amp;"","")),QuemPadrao),"")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0" s="57">
        <f>""</f>
        <v/>
      </c>
      <c r="P30" s="57">
        <f>IF(26&lt;=$C$9,IF($C$15&lt;&gt;"",$C$15,IFERROR(INDEX(tbAtalhos[Conta],MATCH($C$6,tbAtalhos[Descrição],0))&amp;"","")),"")</f>
        <v/>
      </c>
      <c r="Q30" s="57">
        <f>IF(26&lt;=$C$9,IF($C$16&lt;&gt;"",$C$16,IFERROR(INDEX(tbAtalhos[Forma de pagamento],MATCH($C$6,tbAtalhos[Descrição],0))&amp;"","")),"")</f>
        <v/>
      </c>
      <c r="R30" s="4" t="n"/>
      <c r="S30" s="4" t="n"/>
      <c r="T30" s="4" t="n"/>
    </row>
    <row r="31" ht="20" customHeight="1">
      <c r="A31" s="4" t="n"/>
      <c r="B31" s="4" t="n"/>
      <c r="C31" s="4" t="n"/>
      <c r="D31" s="4" t="n"/>
      <c r="E31" s="56">
        <f>IF(27&lt;=$C$9,DATE(YEAR($C$10),MONTH($C$10)+26,MIN(DAY($C$10),DAY(EOMONTH(DATE(YEAR($C$10),MONTH($C$10)+26,1),0)))),"")</f>
        <v/>
      </c>
      <c r="F31" s="57">
        <f>IF(27&lt;=$C$9,$C$6,"")</f>
        <v/>
      </c>
      <c r="G31" s="58">
        <f>IF(AND(27&lt;=$C$9,$C$5="Parcelado"),"27/"&amp;$C$9,"")</f>
        <v/>
      </c>
      <c r="H31" s="59">
        <f>IF(27&lt;=$C$9,IF($C$5="Repetir todo mês",$C$7,IF($C$8="Total da compra",IF(27&lt;$C$9,ROUND($C$7/$C$9,2),ROUND($C$7-ROUND($C$7/$C$9,2)*($C$9-1),2)),$C$7)),"")</f>
        <v/>
      </c>
      <c r="I31" s="56">
        <f>IF(27&lt;=$C$9,DATE(YEAR($C$10),MONTH($C$10)+26,MIN(DAY($C$10),DAY(EOMONTH(DATE(YEAR($C$10),MONTH($C$10)+26,1),0)))),"")</f>
        <v/>
      </c>
      <c r="J31" s="57">
        <f>IF(27&lt;=$C$9,IF(AND(27=1,$C$17="sim"),IF(IF($C$11&lt;&gt;"",$C$11,IFERROR(INDEX(tbAtalhos[Tipo],MATCH($C$6,tbAtalhos[Descrição],0))&amp;"","Despesa"))="Receita","Recebido","Pago"),"Pendente"),"")</f>
        <v/>
      </c>
      <c r="K31" s="57">
        <f>IF(27&lt;=$C$9,IF($C$11&lt;&gt;"",$C$11,IFERROR(INDEX(tbAtalhos[Tipo],MATCH($C$6,tbAtalhos[Descrição],0))&amp;"","Despesa")),"")</f>
        <v/>
      </c>
      <c r="L31" s="57">
        <f>IF(27&lt;=$C$9,IF($C$12&lt;&gt;"",$C$12,IFERROR(INDEX(tbAtalhos[Categoria],MATCH($C$6,tbAtalhos[Descrição],0))&amp;"","")),"")</f>
        <v/>
      </c>
      <c r="M31" s="57">
        <f>IF(27&lt;=$C$9,IF(IF($C$13&lt;&gt;"",$C$13,IFERROR(INDEX(tbAtalhos[Pote],MATCH($C$6,tbAtalhos[Descrição],0))&amp;"",""))&lt;&gt;"",IF($C$13&lt;&gt;"",$C$13,IFERROR(INDEX(tbAtalhos[Pote],MATCH($C$6,tbAtalhos[Descrição],0))&amp;"","")),IFERROR(INDEX(tbCatDespesa[Fundo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1" s="57">
        <f>IF(27&lt;=$C$9,IF(IF($C$14&lt;&gt;"",$C$14,IFERROR(INDEX(tbAtalhos[Quem],MATCH($C$6,tbAtalhos[Descrição],0))&amp;"",""))&lt;&gt;"",IF($C$14&lt;&gt;"",$C$14,IFERROR(INDEX(tbAtalhos[Quem],MATCH($C$6,tbAtalhos[Descrição],0))&amp;"","")),QuemPadrao),"")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1" s="57">
        <f>""</f>
        <v/>
      </c>
      <c r="P31" s="57">
        <f>IF(27&lt;=$C$9,IF($C$15&lt;&gt;"",$C$15,IFERROR(INDEX(tbAtalhos[Conta],MATCH($C$6,tbAtalhos[Descrição],0))&amp;"","")),"")</f>
        <v/>
      </c>
      <c r="Q31" s="57">
        <f>IF(27&lt;=$C$9,IF($C$16&lt;&gt;"",$C$16,IFERROR(INDEX(tbAtalhos[Forma de pagamento],MATCH($C$6,tbAtalhos[Descrição],0))&amp;"","")),"")</f>
        <v/>
      </c>
      <c r="R31" s="4" t="n"/>
      <c r="S31" s="4" t="n"/>
      <c r="T31" s="4" t="n"/>
    </row>
    <row r="32" ht="20" customHeight="1">
      <c r="A32" s="4" t="n"/>
      <c r="B32" s="4" t="n"/>
      <c r="C32" s="4" t="n"/>
      <c r="D32" s="4" t="n"/>
      <c r="E32" s="56">
        <f>IF(28&lt;=$C$9,DATE(YEAR($C$10),MONTH($C$10)+27,MIN(DAY($C$10),DAY(EOMONTH(DATE(YEAR($C$10),MONTH($C$10)+27,1),0)))),"")</f>
        <v/>
      </c>
      <c r="F32" s="57">
        <f>IF(28&lt;=$C$9,$C$6,"")</f>
        <v/>
      </c>
      <c r="G32" s="58">
        <f>IF(AND(28&lt;=$C$9,$C$5="Parcelado"),"28/"&amp;$C$9,"")</f>
        <v/>
      </c>
      <c r="H32" s="59">
        <f>IF(28&lt;=$C$9,IF($C$5="Repetir todo mês",$C$7,IF($C$8="Total da compra",IF(28&lt;$C$9,ROUND($C$7/$C$9,2),ROUND($C$7-ROUND($C$7/$C$9,2)*($C$9-1),2)),$C$7)),"")</f>
        <v/>
      </c>
      <c r="I32" s="56">
        <f>IF(28&lt;=$C$9,DATE(YEAR($C$10),MONTH($C$10)+27,MIN(DAY($C$10),DAY(EOMONTH(DATE(YEAR($C$10),MONTH($C$10)+27,1),0)))),"")</f>
        <v/>
      </c>
      <c r="J32" s="57">
        <f>IF(28&lt;=$C$9,IF(AND(28=1,$C$17="sim"),IF(IF($C$11&lt;&gt;"",$C$11,IFERROR(INDEX(tbAtalhos[Tipo],MATCH($C$6,tbAtalhos[Descrição],0))&amp;"","Despesa"))="Receita","Recebido","Pago"),"Pendente"),"")</f>
        <v/>
      </c>
      <c r="K32" s="57">
        <f>IF(28&lt;=$C$9,IF($C$11&lt;&gt;"",$C$11,IFERROR(INDEX(tbAtalhos[Tipo],MATCH($C$6,tbAtalhos[Descrição],0))&amp;"","Despesa")),"")</f>
        <v/>
      </c>
      <c r="L32" s="57">
        <f>IF(28&lt;=$C$9,IF($C$12&lt;&gt;"",$C$12,IFERROR(INDEX(tbAtalhos[Categoria],MATCH($C$6,tbAtalhos[Descrição],0))&amp;"","")),"")</f>
        <v/>
      </c>
      <c r="M32" s="57">
        <f>IF(28&lt;=$C$9,IF(IF($C$13&lt;&gt;"",$C$13,IFERROR(INDEX(tbAtalhos[Pote],MATCH($C$6,tbAtalhos[Descrição],0))&amp;"",""))&lt;&gt;"",IF($C$13&lt;&gt;"",$C$13,IFERROR(INDEX(tbAtalhos[Pote],MATCH($C$6,tbAtalhos[Descrição],0))&amp;"","")),IFERROR(INDEX(tbCatDespesa[Fundo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2" s="57">
        <f>IF(28&lt;=$C$9,IF(IF($C$14&lt;&gt;"",$C$14,IFERROR(INDEX(tbAtalhos[Quem],MATCH($C$6,tbAtalhos[Descrição],0))&amp;"",""))&lt;&gt;"",IF($C$14&lt;&gt;"",$C$14,IFERROR(INDEX(tbAtalhos[Quem],MATCH($C$6,tbAtalhos[Descrição],0))&amp;"","")),QuemPadrao),"")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2" s="57">
        <f>""</f>
        <v/>
      </c>
      <c r="P32" s="57">
        <f>IF(28&lt;=$C$9,IF($C$15&lt;&gt;"",$C$15,IFERROR(INDEX(tbAtalhos[Conta],MATCH($C$6,tbAtalhos[Descrição],0))&amp;"","")),"")</f>
        <v/>
      </c>
      <c r="Q32" s="57">
        <f>IF(28&lt;=$C$9,IF($C$16&lt;&gt;"",$C$16,IFERROR(INDEX(tbAtalhos[Forma de pagamento],MATCH($C$6,tbAtalhos[Descrição],0))&amp;"","")),"")</f>
        <v/>
      </c>
      <c r="R32" s="4" t="n"/>
      <c r="S32" s="4" t="n"/>
      <c r="T32" s="4" t="n"/>
    </row>
    <row r="33" ht="20" customHeight="1">
      <c r="A33" s="4" t="n"/>
      <c r="B33" s="4" t="n"/>
      <c r="C33" s="4" t="n"/>
      <c r="D33" s="4" t="n"/>
      <c r="E33" s="56">
        <f>IF(29&lt;=$C$9,DATE(YEAR($C$10),MONTH($C$10)+28,MIN(DAY($C$10),DAY(EOMONTH(DATE(YEAR($C$10),MONTH($C$10)+28,1),0)))),"")</f>
        <v/>
      </c>
      <c r="F33" s="57">
        <f>IF(29&lt;=$C$9,$C$6,"")</f>
        <v/>
      </c>
      <c r="G33" s="58">
        <f>IF(AND(29&lt;=$C$9,$C$5="Parcelado"),"29/"&amp;$C$9,"")</f>
        <v/>
      </c>
      <c r="H33" s="59">
        <f>IF(29&lt;=$C$9,IF($C$5="Repetir todo mês",$C$7,IF($C$8="Total da compra",IF(29&lt;$C$9,ROUND($C$7/$C$9,2),ROUND($C$7-ROUND($C$7/$C$9,2)*($C$9-1),2)),$C$7)),"")</f>
        <v/>
      </c>
      <c r="I33" s="56">
        <f>IF(29&lt;=$C$9,DATE(YEAR($C$10),MONTH($C$10)+28,MIN(DAY($C$10),DAY(EOMONTH(DATE(YEAR($C$10),MONTH($C$10)+28,1),0)))),"")</f>
        <v/>
      </c>
      <c r="J33" s="57">
        <f>IF(29&lt;=$C$9,IF(AND(29=1,$C$17="sim"),IF(IF($C$11&lt;&gt;"",$C$11,IFERROR(INDEX(tbAtalhos[Tipo],MATCH($C$6,tbAtalhos[Descrição],0))&amp;"","Despesa"))="Receita","Recebido","Pago"),"Pendente"),"")</f>
        <v/>
      </c>
      <c r="K33" s="57">
        <f>IF(29&lt;=$C$9,IF($C$11&lt;&gt;"",$C$11,IFERROR(INDEX(tbAtalhos[Tipo],MATCH($C$6,tbAtalhos[Descrição],0))&amp;"","Despesa")),"")</f>
        <v/>
      </c>
      <c r="L33" s="57">
        <f>IF(29&lt;=$C$9,IF($C$12&lt;&gt;"",$C$12,IFERROR(INDEX(tbAtalhos[Categoria],MATCH($C$6,tbAtalhos[Descrição],0))&amp;"","")),"")</f>
        <v/>
      </c>
      <c r="M33" s="57">
        <f>IF(29&lt;=$C$9,IF(IF($C$13&lt;&gt;"",$C$13,IFERROR(INDEX(tbAtalhos[Pote],MATCH($C$6,tbAtalhos[Descrição],0))&amp;"",""))&lt;&gt;"",IF($C$13&lt;&gt;"",$C$13,IFERROR(INDEX(tbAtalhos[Pote],MATCH($C$6,tbAtalhos[Descrição],0))&amp;"","")),IFERROR(INDEX(tbCatDespesa[Fundo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3" s="57">
        <f>IF(29&lt;=$C$9,IF(IF($C$14&lt;&gt;"",$C$14,IFERROR(INDEX(tbAtalhos[Quem],MATCH($C$6,tbAtalhos[Descrição],0))&amp;"",""))&lt;&gt;"",IF($C$14&lt;&gt;"",$C$14,IFERROR(INDEX(tbAtalhos[Quem],MATCH($C$6,tbAtalhos[Descrição],0))&amp;"","")),QuemPadrao),"")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3" s="57">
        <f>""</f>
        <v/>
      </c>
      <c r="P33" s="57">
        <f>IF(29&lt;=$C$9,IF($C$15&lt;&gt;"",$C$15,IFERROR(INDEX(tbAtalhos[Conta],MATCH($C$6,tbAtalhos[Descrição],0))&amp;"","")),"")</f>
        <v/>
      </c>
      <c r="Q33" s="57">
        <f>IF(29&lt;=$C$9,IF($C$16&lt;&gt;"",$C$16,IFERROR(INDEX(tbAtalhos[Forma de pagamento],MATCH($C$6,tbAtalhos[Descrição],0))&amp;"","")),"")</f>
        <v/>
      </c>
      <c r="R33" s="4" t="n"/>
      <c r="S33" s="4" t="n"/>
      <c r="T33" s="4" t="n"/>
    </row>
    <row r="34" ht="20" customHeight="1">
      <c r="A34" s="4" t="n"/>
      <c r="B34" s="4" t="n"/>
      <c r="C34" s="4" t="n"/>
      <c r="D34" s="4" t="n"/>
      <c r="E34" s="56">
        <f>IF(30&lt;=$C$9,DATE(YEAR($C$10),MONTH($C$10)+29,MIN(DAY($C$10),DAY(EOMONTH(DATE(YEAR($C$10),MONTH($C$10)+29,1),0)))),"")</f>
        <v/>
      </c>
      <c r="F34" s="57">
        <f>IF(30&lt;=$C$9,$C$6,"")</f>
        <v/>
      </c>
      <c r="G34" s="58">
        <f>IF(AND(30&lt;=$C$9,$C$5="Parcelado"),"30/"&amp;$C$9,"")</f>
        <v/>
      </c>
      <c r="H34" s="59">
        <f>IF(30&lt;=$C$9,IF($C$5="Repetir todo mês",$C$7,IF($C$8="Total da compra",IF(30&lt;$C$9,ROUND($C$7/$C$9,2),ROUND($C$7-ROUND($C$7/$C$9,2)*($C$9-1),2)),$C$7)),"")</f>
        <v/>
      </c>
      <c r="I34" s="56">
        <f>IF(30&lt;=$C$9,DATE(YEAR($C$10),MONTH($C$10)+29,MIN(DAY($C$10),DAY(EOMONTH(DATE(YEAR($C$10),MONTH($C$10)+29,1),0)))),"")</f>
        <v/>
      </c>
      <c r="J34" s="57">
        <f>IF(30&lt;=$C$9,IF(AND(30=1,$C$17="sim"),IF(IF($C$11&lt;&gt;"",$C$11,IFERROR(INDEX(tbAtalhos[Tipo],MATCH($C$6,tbAtalhos[Descrição],0))&amp;"","Despesa"))="Receita","Recebido","Pago"),"Pendente"),"")</f>
        <v/>
      </c>
      <c r="K34" s="57">
        <f>IF(30&lt;=$C$9,IF($C$11&lt;&gt;"",$C$11,IFERROR(INDEX(tbAtalhos[Tipo],MATCH($C$6,tbAtalhos[Descrição],0))&amp;"","Despesa")),"")</f>
        <v/>
      </c>
      <c r="L34" s="57">
        <f>IF(30&lt;=$C$9,IF($C$12&lt;&gt;"",$C$12,IFERROR(INDEX(tbAtalhos[Categoria],MATCH($C$6,tbAtalhos[Descrição],0))&amp;"","")),"")</f>
        <v/>
      </c>
      <c r="M34" s="57">
        <f>IF(30&lt;=$C$9,IF(IF($C$13&lt;&gt;"",$C$13,IFERROR(INDEX(tbAtalhos[Pote],MATCH($C$6,tbAtalhos[Descrição],0))&amp;"",""))&lt;&gt;"",IF($C$13&lt;&gt;"",$C$13,IFERROR(INDEX(tbAtalhos[Pote],MATCH($C$6,tbAtalhos[Descrição],0))&amp;"","")),IFERROR(INDEX(tbCatDespesa[Fundo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4" s="57">
        <f>IF(30&lt;=$C$9,IF(IF($C$14&lt;&gt;"",$C$14,IFERROR(INDEX(tbAtalhos[Quem],MATCH($C$6,tbAtalhos[Descrição],0))&amp;"",""))&lt;&gt;"",IF($C$14&lt;&gt;"",$C$14,IFERROR(INDEX(tbAtalhos[Quem],MATCH($C$6,tbAtalhos[Descrição],0))&amp;"","")),QuemPadrao),"")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4" s="57">
        <f>""</f>
        <v/>
      </c>
      <c r="P34" s="57">
        <f>IF(30&lt;=$C$9,IF($C$15&lt;&gt;"",$C$15,IFERROR(INDEX(tbAtalhos[Conta],MATCH($C$6,tbAtalhos[Descrição],0))&amp;"","")),"")</f>
        <v/>
      </c>
      <c r="Q34" s="57">
        <f>IF(30&lt;=$C$9,IF($C$16&lt;&gt;"",$C$16,IFERROR(INDEX(tbAtalhos[Forma de pagamento],MATCH($C$6,tbAtalhos[Descrição],0))&amp;"","")),"")</f>
        <v/>
      </c>
      <c r="R34" s="4" t="n"/>
      <c r="S34" s="4" t="n"/>
      <c r="T34" s="4" t="n"/>
    </row>
    <row r="35" ht="20" customHeight="1">
      <c r="A35" s="4" t="n"/>
      <c r="B35" s="4" t="n"/>
      <c r="C35" s="4" t="n"/>
      <c r="D35" s="4" t="n"/>
      <c r="E35" s="56">
        <f>IF(31&lt;=$C$9,DATE(YEAR($C$10),MONTH($C$10)+30,MIN(DAY($C$10),DAY(EOMONTH(DATE(YEAR($C$10),MONTH($C$10)+30,1),0)))),"")</f>
        <v/>
      </c>
      <c r="F35" s="57">
        <f>IF(31&lt;=$C$9,$C$6,"")</f>
        <v/>
      </c>
      <c r="G35" s="58">
        <f>IF(AND(31&lt;=$C$9,$C$5="Parcelado"),"31/"&amp;$C$9,"")</f>
        <v/>
      </c>
      <c r="H35" s="59">
        <f>IF(31&lt;=$C$9,IF($C$5="Repetir todo mês",$C$7,IF($C$8="Total da compra",IF(31&lt;$C$9,ROUND($C$7/$C$9,2),ROUND($C$7-ROUND($C$7/$C$9,2)*($C$9-1),2)),$C$7)),"")</f>
        <v/>
      </c>
      <c r="I35" s="56">
        <f>IF(31&lt;=$C$9,DATE(YEAR($C$10),MONTH($C$10)+30,MIN(DAY($C$10),DAY(EOMONTH(DATE(YEAR($C$10),MONTH($C$10)+30,1),0)))),"")</f>
        <v/>
      </c>
      <c r="J35" s="57">
        <f>IF(31&lt;=$C$9,IF(AND(31=1,$C$17="sim"),IF(IF($C$11&lt;&gt;"",$C$11,IFERROR(INDEX(tbAtalhos[Tipo],MATCH($C$6,tbAtalhos[Descrição],0))&amp;"","Despesa"))="Receita","Recebido","Pago"),"Pendente"),"")</f>
        <v/>
      </c>
      <c r="K35" s="57">
        <f>IF(31&lt;=$C$9,IF($C$11&lt;&gt;"",$C$11,IFERROR(INDEX(tbAtalhos[Tipo],MATCH($C$6,tbAtalhos[Descrição],0))&amp;"","Despesa")),"")</f>
        <v/>
      </c>
      <c r="L35" s="57">
        <f>IF(31&lt;=$C$9,IF($C$12&lt;&gt;"",$C$12,IFERROR(INDEX(tbAtalhos[Categoria],MATCH($C$6,tbAtalhos[Descrição],0))&amp;"","")),"")</f>
        <v/>
      </c>
      <c r="M35" s="57">
        <f>IF(31&lt;=$C$9,IF(IF($C$13&lt;&gt;"",$C$13,IFERROR(INDEX(tbAtalhos[Pote],MATCH($C$6,tbAtalhos[Descrição],0))&amp;"",""))&lt;&gt;"",IF($C$13&lt;&gt;"",$C$13,IFERROR(INDEX(tbAtalhos[Pote],MATCH($C$6,tbAtalhos[Descrição],0))&amp;"","")),IFERROR(INDEX(tbCatDespesa[Fundo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5" s="57">
        <f>IF(31&lt;=$C$9,IF(IF($C$14&lt;&gt;"",$C$14,IFERROR(INDEX(tbAtalhos[Quem],MATCH($C$6,tbAtalhos[Descrição],0))&amp;"",""))&lt;&gt;"",IF($C$14&lt;&gt;"",$C$14,IFERROR(INDEX(tbAtalhos[Quem],MATCH($C$6,tbAtalhos[Descrição],0))&amp;"","")),QuemPadrao),"")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5" s="57">
        <f>""</f>
        <v/>
      </c>
      <c r="P35" s="57">
        <f>IF(31&lt;=$C$9,IF($C$15&lt;&gt;"",$C$15,IFERROR(INDEX(tbAtalhos[Conta],MATCH($C$6,tbAtalhos[Descrição],0))&amp;"","")),"")</f>
        <v/>
      </c>
      <c r="Q35" s="57">
        <f>IF(31&lt;=$C$9,IF($C$16&lt;&gt;"",$C$16,IFERROR(INDEX(tbAtalhos[Forma de pagamento],MATCH($C$6,tbAtalhos[Descrição],0))&amp;"","")),"")</f>
        <v/>
      </c>
      <c r="R35" s="4" t="n"/>
      <c r="S35" s="4" t="n"/>
      <c r="T35" s="4" t="n"/>
    </row>
    <row r="36" ht="20" customHeight="1">
      <c r="A36" s="4" t="n"/>
      <c r="B36" s="4" t="n"/>
      <c r="C36" s="4" t="n"/>
      <c r="D36" s="4" t="n"/>
      <c r="E36" s="56">
        <f>IF(32&lt;=$C$9,DATE(YEAR($C$10),MONTH($C$10)+31,MIN(DAY($C$10),DAY(EOMONTH(DATE(YEAR($C$10),MONTH($C$10)+31,1),0)))),"")</f>
        <v/>
      </c>
      <c r="F36" s="57">
        <f>IF(32&lt;=$C$9,$C$6,"")</f>
        <v/>
      </c>
      <c r="G36" s="58">
        <f>IF(AND(32&lt;=$C$9,$C$5="Parcelado"),"32/"&amp;$C$9,"")</f>
        <v/>
      </c>
      <c r="H36" s="59">
        <f>IF(32&lt;=$C$9,IF($C$5="Repetir todo mês",$C$7,IF($C$8="Total da compra",IF(32&lt;$C$9,ROUND($C$7/$C$9,2),ROUND($C$7-ROUND($C$7/$C$9,2)*($C$9-1),2)),$C$7)),"")</f>
        <v/>
      </c>
      <c r="I36" s="56">
        <f>IF(32&lt;=$C$9,DATE(YEAR($C$10),MONTH($C$10)+31,MIN(DAY($C$10),DAY(EOMONTH(DATE(YEAR($C$10),MONTH($C$10)+31,1),0)))),"")</f>
        <v/>
      </c>
      <c r="J36" s="57">
        <f>IF(32&lt;=$C$9,IF(AND(32=1,$C$17="sim"),IF(IF($C$11&lt;&gt;"",$C$11,IFERROR(INDEX(tbAtalhos[Tipo],MATCH($C$6,tbAtalhos[Descrição],0))&amp;"","Despesa"))="Receita","Recebido","Pago"),"Pendente"),"")</f>
        <v/>
      </c>
      <c r="K36" s="57">
        <f>IF(32&lt;=$C$9,IF($C$11&lt;&gt;"",$C$11,IFERROR(INDEX(tbAtalhos[Tipo],MATCH($C$6,tbAtalhos[Descrição],0))&amp;"","Despesa")),"")</f>
        <v/>
      </c>
      <c r="L36" s="57">
        <f>IF(32&lt;=$C$9,IF($C$12&lt;&gt;"",$C$12,IFERROR(INDEX(tbAtalhos[Categoria],MATCH($C$6,tbAtalhos[Descrição],0))&amp;"","")),"")</f>
        <v/>
      </c>
      <c r="M36" s="57">
        <f>IF(32&lt;=$C$9,IF(IF($C$13&lt;&gt;"",$C$13,IFERROR(INDEX(tbAtalhos[Pote],MATCH($C$6,tbAtalhos[Descrição],0))&amp;"",""))&lt;&gt;"",IF($C$13&lt;&gt;"",$C$13,IFERROR(INDEX(tbAtalhos[Pote],MATCH($C$6,tbAtalhos[Descrição],0))&amp;"","")),IFERROR(INDEX(tbCatDespesa[Fundo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6" s="57">
        <f>IF(32&lt;=$C$9,IF(IF($C$14&lt;&gt;"",$C$14,IFERROR(INDEX(tbAtalhos[Quem],MATCH($C$6,tbAtalhos[Descrição],0))&amp;"",""))&lt;&gt;"",IF($C$14&lt;&gt;"",$C$14,IFERROR(INDEX(tbAtalhos[Quem],MATCH($C$6,tbAtalhos[Descrição],0))&amp;"","")),QuemPadrao),"")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6" s="57">
        <f>""</f>
        <v/>
      </c>
      <c r="P36" s="57">
        <f>IF(32&lt;=$C$9,IF($C$15&lt;&gt;"",$C$15,IFERROR(INDEX(tbAtalhos[Conta],MATCH($C$6,tbAtalhos[Descrição],0))&amp;"","")),"")</f>
        <v/>
      </c>
      <c r="Q36" s="57">
        <f>IF(32&lt;=$C$9,IF($C$16&lt;&gt;"",$C$16,IFERROR(INDEX(tbAtalhos[Forma de pagamento],MATCH($C$6,tbAtalhos[Descrição],0))&amp;"","")),"")</f>
        <v/>
      </c>
      <c r="R36" s="4" t="n"/>
      <c r="S36" s="4" t="n"/>
      <c r="T36" s="4" t="n"/>
    </row>
    <row r="37" ht="20" customHeight="1">
      <c r="A37" s="4" t="n"/>
      <c r="B37" s="4" t="n"/>
      <c r="C37" s="4" t="n"/>
      <c r="D37" s="4" t="n"/>
      <c r="E37" s="56">
        <f>IF(33&lt;=$C$9,DATE(YEAR($C$10),MONTH($C$10)+32,MIN(DAY($C$10),DAY(EOMONTH(DATE(YEAR($C$10),MONTH($C$10)+32,1),0)))),"")</f>
        <v/>
      </c>
      <c r="F37" s="57">
        <f>IF(33&lt;=$C$9,$C$6,"")</f>
        <v/>
      </c>
      <c r="G37" s="58">
        <f>IF(AND(33&lt;=$C$9,$C$5="Parcelado"),"33/"&amp;$C$9,"")</f>
        <v/>
      </c>
      <c r="H37" s="59">
        <f>IF(33&lt;=$C$9,IF($C$5="Repetir todo mês",$C$7,IF($C$8="Total da compra",IF(33&lt;$C$9,ROUND($C$7/$C$9,2),ROUND($C$7-ROUND($C$7/$C$9,2)*($C$9-1),2)),$C$7)),"")</f>
        <v/>
      </c>
      <c r="I37" s="56">
        <f>IF(33&lt;=$C$9,DATE(YEAR($C$10),MONTH($C$10)+32,MIN(DAY($C$10),DAY(EOMONTH(DATE(YEAR($C$10),MONTH($C$10)+32,1),0)))),"")</f>
        <v/>
      </c>
      <c r="J37" s="57">
        <f>IF(33&lt;=$C$9,IF(AND(33=1,$C$17="sim"),IF(IF($C$11&lt;&gt;"",$C$11,IFERROR(INDEX(tbAtalhos[Tipo],MATCH($C$6,tbAtalhos[Descrição],0))&amp;"","Despesa"))="Receita","Recebido","Pago"),"Pendente"),"")</f>
        <v/>
      </c>
      <c r="K37" s="57">
        <f>IF(33&lt;=$C$9,IF($C$11&lt;&gt;"",$C$11,IFERROR(INDEX(tbAtalhos[Tipo],MATCH($C$6,tbAtalhos[Descrição],0))&amp;"","Despesa")),"")</f>
        <v/>
      </c>
      <c r="L37" s="57">
        <f>IF(33&lt;=$C$9,IF($C$12&lt;&gt;"",$C$12,IFERROR(INDEX(tbAtalhos[Categoria],MATCH($C$6,tbAtalhos[Descrição],0))&amp;"","")),"")</f>
        <v/>
      </c>
      <c r="M37" s="57">
        <f>IF(33&lt;=$C$9,IF(IF($C$13&lt;&gt;"",$C$13,IFERROR(INDEX(tbAtalhos[Pote],MATCH($C$6,tbAtalhos[Descrição],0))&amp;"",""))&lt;&gt;"",IF($C$13&lt;&gt;"",$C$13,IFERROR(INDEX(tbAtalhos[Pote],MATCH($C$6,tbAtalhos[Descrição],0))&amp;"","")),IFERROR(INDEX(tbCatDespesa[Fundo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7" s="57">
        <f>IF(33&lt;=$C$9,IF(IF($C$14&lt;&gt;"",$C$14,IFERROR(INDEX(tbAtalhos[Quem],MATCH($C$6,tbAtalhos[Descrição],0))&amp;"",""))&lt;&gt;"",IF($C$14&lt;&gt;"",$C$14,IFERROR(INDEX(tbAtalhos[Quem],MATCH($C$6,tbAtalhos[Descrição],0))&amp;"","")),QuemPadrao),"")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7" s="57">
        <f>""</f>
        <v/>
      </c>
      <c r="P37" s="57">
        <f>IF(33&lt;=$C$9,IF($C$15&lt;&gt;"",$C$15,IFERROR(INDEX(tbAtalhos[Conta],MATCH($C$6,tbAtalhos[Descrição],0))&amp;"","")),"")</f>
        <v/>
      </c>
      <c r="Q37" s="57">
        <f>IF(33&lt;=$C$9,IF($C$16&lt;&gt;"",$C$16,IFERROR(INDEX(tbAtalhos[Forma de pagamento],MATCH($C$6,tbAtalhos[Descrição],0))&amp;"","")),"")</f>
        <v/>
      </c>
      <c r="R37" s="4" t="n"/>
      <c r="S37" s="4" t="n"/>
      <c r="T37" s="4" t="n"/>
    </row>
    <row r="38" ht="20" customHeight="1">
      <c r="A38" s="4" t="n"/>
      <c r="B38" s="4" t="n"/>
      <c r="C38" s="4" t="n"/>
      <c r="D38" s="4" t="n"/>
      <c r="E38" s="56">
        <f>IF(34&lt;=$C$9,DATE(YEAR($C$10),MONTH($C$10)+33,MIN(DAY($C$10),DAY(EOMONTH(DATE(YEAR($C$10),MONTH($C$10)+33,1),0)))),"")</f>
        <v/>
      </c>
      <c r="F38" s="57">
        <f>IF(34&lt;=$C$9,$C$6,"")</f>
        <v/>
      </c>
      <c r="G38" s="58">
        <f>IF(AND(34&lt;=$C$9,$C$5="Parcelado"),"34/"&amp;$C$9,"")</f>
        <v/>
      </c>
      <c r="H38" s="59">
        <f>IF(34&lt;=$C$9,IF($C$5="Repetir todo mês",$C$7,IF($C$8="Total da compra",IF(34&lt;$C$9,ROUND($C$7/$C$9,2),ROUND($C$7-ROUND($C$7/$C$9,2)*($C$9-1),2)),$C$7)),"")</f>
        <v/>
      </c>
      <c r="I38" s="56">
        <f>IF(34&lt;=$C$9,DATE(YEAR($C$10),MONTH($C$10)+33,MIN(DAY($C$10),DAY(EOMONTH(DATE(YEAR($C$10),MONTH($C$10)+33,1),0)))),"")</f>
        <v/>
      </c>
      <c r="J38" s="57">
        <f>IF(34&lt;=$C$9,IF(AND(34=1,$C$17="sim"),IF(IF($C$11&lt;&gt;"",$C$11,IFERROR(INDEX(tbAtalhos[Tipo],MATCH($C$6,tbAtalhos[Descrição],0))&amp;"","Despesa"))="Receita","Recebido","Pago"),"Pendente"),"")</f>
        <v/>
      </c>
      <c r="K38" s="57">
        <f>IF(34&lt;=$C$9,IF($C$11&lt;&gt;"",$C$11,IFERROR(INDEX(tbAtalhos[Tipo],MATCH($C$6,tbAtalhos[Descrição],0))&amp;"","Despesa")),"")</f>
        <v/>
      </c>
      <c r="L38" s="57">
        <f>IF(34&lt;=$C$9,IF($C$12&lt;&gt;"",$C$12,IFERROR(INDEX(tbAtalhos[Categoria],MATCH($C$6,tbAtalhos[Descrição],0))&amp;"","")),"")</f>
        <v/>
      </c>
      <c r="M38" s="57">
        <f>IF(34&lt;=$C$9,IF(IF($C$13&lt;&gt;"",$C$13,IFERROR(INDEX(tbAtalhos[Pote],MATCH($C$6,tbAtalhos[Descrição],0))&amp;"",""))&lt;&gt;"",IF($C$13&lt;&gt;"",$C$13,IFERROR(INDEX(tbAtalhos[Pote],MATCH($C$6,tbAtalhos[Descrição],0))&amp;"","")),IFERROR(INDEX(tbCatDespesa[Fundo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8" s="57">
        <f>IF(34&lt;=$C$9,IF(IF($C$14&lt;&gt;"",$C$14,IFERROR(INDEX(tbAtalhos[Quem],MATCH($C$6,tbAtalhos[Descrição],0))&amp;"",""))&lt;&gt;"",IF($C$14&lt;&gt;"",$C$14,IFERROR(INDEX(tbAtalhos[Quem],MATCH($C$6,tbAtalhos[Descrição],0))&amp;"","")),QuemPadrao),"")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8" s="57">
        <f>""</f>
        <v/>
      </c>
      <c r="P38" s="57">
        <f>IF(34&lt;=$C$9,IF($C$15&lt;&gt;"",$C$15,IFERROR(INDEX(tbAtalhos[Conta],MATCH($C$6,tbAtalhos[Descrição],0))&amp;"","")),"")</f>
        <v/>
      </c>
      <c r="Q38" s="57">
        <f>IF(34&lt;=$C$9,IF($C$16&lt;&gt;"",$C$16,IFERROR(INDEX(tbAtalhos[Forma de pagamento],MATCH($C$6,tbAtalhos[Descrição],0))&amp;"","")),"")</f>
        <v/>
      </c>
      <c r="R38" s="4" t="n"/>
      <c r="S38" s="4" t="n"/>
      <c r="T38" s="4" t="n"/>
    </row>
    <row r="39" ht="20" customHeight="1">
      <c r="A39" s="4" t="n"/>
      <c r="B39" s="4" t="n"/>
      <c r="C39" s="4" t="n"/>
      <c r="D39" s="4" t="n"/>
      <c r="E39" s="56">
        <f>IF(35&lt;=$C$9,DATE(YEAR($C$10),MONTH($C$10)+34,MIN(DAY($C$10),DAY(EOMONTH(DATE(YEAR($C$10),MONTH($C$10)+34,1),0)))),"")</f>
        <v/>
      </c>
      <c r="F39" s="57">
        <f>IF(35&lt;=$C$9,$C$6,"")</f>
        <v/>
      </c>
      <c r="G39" s="58">
        <f>IF(AND(35&lt;=$C$9,$C$5="Parcelado"),"35/"&amp;$C$9,"")</f>
        <v/>
      </c>
      <c r="H39" s="59">
        <f>IF(35&lt;=$C$9,IF($C$5="Repetir todo mês",$C$7,IF($C$8="Total da compra",IF(35&lt;$C$9,ROUND($C$7/$C$9,2),ROUND($C$7-ROUND($C$7/$C$9,2)*($C$9-1),2)),$C$7)),"")</f>
        <v/>
      </c>
      <c r="I39" s="56">
        <f>IF(35&lt;=$C$9,DATE(YEAR($C$10),MONTH($C$10)+34,MIN(DAY($C$10),DAY(EOMONTH(DATE(YEAR($C$10),MONTH($C$10)+34,1),0)))),"")</f>
        <v/>
      </c>
      <c r="J39" s="57">
        <f>IF(35&lt;=$C$9,IF(AND(35=1,$C$17="sim"),IF(IF($C$11&lt;&gt;"",$C$11,IFERROR(INDEX(tbAtalhos[Tipo],MATCH($C$6,tbAtalhos[Descrição],0))&amp;"","Despesa"))="Receita","Recebido","Pago"),"Pendente"),"")</f>
        <v/>
      </c>
      <c r="K39" s="57">
        <f>IF(35&lt;=$C$9,IF($C$11&lt;&gt;"",$C$11,IFERROR(INDEX(tbAtalhos[Tipo],MATCH($C$6,tbAtalhos[Descrição],0))&amp;"","Despesa")),"")</f>
        <v/>
      </c>
      <c r="L39" s="57">
        <f>IF(35&lt;=$C$9,IF($C$12&lt;&gt;"",$C$12,IFERROR(INDEX(tbAtalhos[Categoria],MATCH($C$6,tbAtalhos[Descrição],0))&amp;"","")),"")</f>
        <v/>
      </c>
      <c r="M39" s="57">
        <f>IF(35&lt;=$C$9,IF(IF($C$13&lt;&gt;"",$C$13,IFERROR(INDEX(tbAtalhos[Pote],MATCH($C$6,tbAtalhos[Descrição],0))&amp;"",""))&lt;&gt;"",IF($C$13&lt;&gt;"",$C$13,IFERROR(INDEX(tbAtalhos[Pote],MATCH($C$6,tbAtalhos[Descrição],0))&amp;"","")),IFERROR(INDEX(tbCatDespesa[Fundo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39" s="57">
        <f>IF(35&lt;=$C$9,IF(IF($C$14&lt;&gt;"",$C$14,IFERROR(INDEX(tbAtalhos[Quem],MATCH($C$6,tbAtalhos[Descrição],0))&amp;"",""))&lt;&gt;"",IF($C$14&lt;&gt;"",$C$14,IFERROR(INDEX(tbAtalhos[Quem],MATCH($C$6,tbAtalhos[Descrição],0))&amp;"","")),QuemPadrao),"")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39" s="57">
        <f>""</f>
        <v/>
      </c>
      <c r="P39" s="57">
        <f>IF(35&lt;=$C$9,IF($C$15&lt;&gt;"",$C$15,IFERROR(INDEX(tbAtalhos[Conta],MATCH($C$6,tbAtalhos[Descrição],0))&amp;"","")),"")</f>
        <v/>
      </c>
      <c r="Q39" s="57">
        <f>IF(35&lt;=$C$9,IF($C$16&lt;&gt;"",$C$16,IFERROR(INDEX(tbAtalhos[Forma de pagamento],MATCH($C$6,tbAtalhos[Descrição],0))&amp;"","")),"")</f>
        <v/>
      </c>
      <c r="R39" s="4" t="n"/>
      <c r="S39" s="4" t="n"/>
      <c r="T39" s="4" t="n"/>
    </row>
    <row r="40" ht="20" customHeight="1">
      <c r="A40" s="4" t="n"/>
      <c r="B40" s="4" t="n"/>
      <c r="C40" s="4" t="n"/>
      <c r="D40" s="4" t="n"/>
      <c r="E40" s="56">
        <f>IF(36&lt;=$C$9,DATE(YEAR($C$10),MONTH($C$10)+35,MIN(DAY($C$10),DAY(EOMONTH(DATE(YEAR($C$10),MONTH($C$10)+35,1),0)))),"")</f>
        <v/>
      </c>
      <c r="F40" s="57">
        <f>IF(36&lt;=$C$9,$C$6,"")</f>
        <v/>
      </c>
      <c r="G40" s="58">
        <f>IF(AND(36&lt;=$C$9,$C$5="Parcelado"),"36/"&amp;$C$9,"")</f>
        <v/>
      </c>
      <c r="H40" s="59">
        <f>IF(36&lt;=$C$9,IF($C$5="Repetir todo mês",$C$7,IF($C$8="Total da compra",IF(36&lt;$C$9,ROUND($C$7/$C$9,2),ROUND($C$7-ROUND($C$7/$C$9,2)*($C$9-1),2)),$C$7)),"")</f>
        <v/>
      </c>
      <c r="I40" s="56">
        <f>IF(36&lt;=$C$9,DATE(YEAR($C$10),MONTH($C$10)+35,MIN(DAY($C$10),DAY(EOMONTH(DATE(YEAR($C$10),MONTH($C$10)+35,1),0)))),"")</f>
        <v/>
      </c>
      <c r="J40" s="57">
        <f>IF(36&lt;=$C$9,IF(AND(36=1,$C$17="sim"),IF(IF($C$11&lt;&gt;"",$C$11,IFERROR(INDEX(tbAtalhos[Tipo],MATCH($C$6,tbAtalhos[Descrição],0))&amp;"","Despesa"))="Receita","Recebido","Pago"),"Pendente"),"")</f>
        <v/>
      </c>
      <c r="K40" s="57">
        <f>IF(36&lt;=$C$9,IF($C$11&lt;&gt;"",$C$11,IFERROR(INDEX(tbAtalhos[Tipo],MATCH($C$6,tbAtalhos[Descrição],0))&amp;"","Despesa")),"")</f>
        <v/>
      </c>
      <c r="L40" s="57">
        <f>IF(36&lt;=$C$9,IF($C$12&lt;&gt;"",$C$12,IFERROR(INDEX(tbAtalhos[Categoria],MATCH($C$6,tbAtalhos[Descrição],0))&amp;"","")),"")</f>
        <v/>
      </c>
      <c r="M40" s="57">
        <f>IF(36&lt;=$C$9,IF(IF($C$13&lt;&gt;"",$C$13,IFERROR(INDEX(tbAtalhos[Pote],MATCH($C$6,tbAtalhos[Descrição],0))&amp;"",""))&lt;&gt;"",IF($C$13&lt;&gt;"",$C$13,IFERROR(INDEX(tbAtalhos[Pote],MATCH($C$6,tbAtalhos[Descrição],0))&amp;"","")),IFERROR(INDEX(tbCatDespesa[Fundo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0" s="57">
        <f>IF(36&lt;=$C$9,IF(IF($C$14&lt;&gt;"",$C$14,IFERROR(INDEX(tbAtalhos[Quem],MATCH($C$6,tbAtalhos[Descrição],0))&amp;"",""))&lt;&gt;"",IF($C$14&lt;&gt;"",$C$14,IFERROR(INDEX(tbAtalhos[Quem],MATCH($C$6,tbAtalhos[Descrição],0))&amp;"","")),QuemPadrao),"")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0" s="57">
        <f>""</f>
        <v/>
      </c>
      <c r="P40" s="57">
        <f>IF(36&lt;=$C$9,IF($C$15&lt;&gt;"",$C$15,IFERROR(INDEX(tbAtalhos[Conta],MATCH($C$6,tbAtalhos[Descrição],0))&amp;"","")),"")</f>
        <v/>
      </c>
      <c r="Q40" s="57">
        <f>IF(36&lt;=$C$9,IF($C$16&lt;&gt;"",$C$16,IFERROR(INDEX(tbAtalhos[Forma de pagamento],MATCH($C$6,tbAtalhos[Descrição],0))&amp;"","")),"")</f>
        <v/>
      </c>
      <c r="R40" s="4" t="n"/>
      <c r="S40" s="4" t="n"/>
      <c r="T40" s="4" t="n"/>
    </row>
    <row r="41" ht="20" customHeight="1">
      <c r="A41" s="4" t="n"/>
      <c r="B41" s="4" t="n"/>
      <c r="C41" s="4" t="n"/>
      <c r="D41" s="4" t="n"/>
      <c r="E41" s="56">
        <f>IF(37&lt;=$C$9,DATE(YEAR($C$10),MONTH($C$10)+36,MIN(DAY($C$10),DAY(EOMONTH(DATE(YEAR($C$10),MONTH($C$10)+36,1),0)))),"")</f>
        <v/>
      </c>
      <c r="F41" s="57">
        <f>IF(37&lt;=$C$9,$C$6,"")</f>
        <v/>
      </c>
      <c r="G41" s="58">
        <f>IF(AND(37&lt;=$C$9,$C$5="Parcelado"),"37/"&amp;$C$9,"")</f>
        <v/>
      </c>
      <c r="H41" s="59">
        <f>IF(37&lt;=$C$9,IF($C$5="Repetir todo mês",$C$7,IF($C$8="Total da compra",IF(37&lt;$C$9,ROUND($C$7/$C$9,2),ROUND($C$7-ROUND($C$7/$C$9,2)*($C$9-1),2)),$C$7)),"")</f>
        <v/>
      </c>
      <c r="I41" s="56">
        <f>IF(37&lt;=$C$9,DATE(YEAR($C$10),MONTH($C$10)+36,MIN(DAY($C$10),DAY(EOMONTH(DATE(YEAR($C$10),MONTH($C$10)+36,1),0)))),"")</f>
        <v/>
      </c>
      <c r="J41" s="57">
        <f>IF(37&lt;=$C$9,IF(AND(37=1,$C$17="sim"),IF(IF($C$11&lt;&gt;"",$C$11,IFERROR(INDEX(tbAtalhos[Tipo],MATCH($C$6,tbAtalhos[Descrição],0))&amp;"","Despesa"))="Receita","Recebido","Pago"),"Pendente"),"")</f>
        <v/>
      </c>
      <c r="K41" s="57">
        <f>IF(37&lt;=$C$9,IF($C$11&lt;&gt;"",$C$11,IFERROR(INDEX(tbAtalhos[Tipo],MATCH($C$6,tbAtalhos[Descrição],0))&amp;"","Despesa")),"")</f>
        <v/>
      </c>
      <c r="L41" s="57">
        <f>IF(37&lt;=$C$9,IF($C$12&lt;&gt;"",$C$12,IFERROR(INDEX(tbAtalhos[Categoria],MATCH($C$6,tbAtalhos[Descrição],0))&amp;"","")),"")</f>
        <v/>
      </c>
      <c r="M41" s="57">
        <f>IF(37&lt;=$C$9,IF(IF($C$13&lt;&gt;"",$C$13,IFERROR(INDEX(tbAtalhos[Pote],MATCH($C$6,tbAtalhos[Descrição],0))&amp;"",""))&lt;&gt;"",IF($C$13&lt;&gt;"",$C$13,IFERROR(INDEX(tbAtalhos[Pote],MATCH($C$6,tbAtalhos[Descrição],0))&amp;"","")),IFERROR(INDEX(tbCatDespesa[Fundo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1" s="57">
        <f>IF(37&lt;=$C$9,IF(IF($C$14&lt;&gt;"",$C$14,IFERROR(INDEX(tbAtalhos[Quem],MATCH($C$6,tbAtalhos[Descrição],0))&amp;"",""))&lt;&gt;"",IF($C$14&lt;&gt;"",$C$14,IFERROR(INDEX(tbAtalhos[Quem],MATCH($C$6,tbAtalhos[Descrição],0))&amp;"","")),QuemPadrao),"")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1" s="57">
        <f>""</f>
        <v/>
      </c>
      <c r="P41" s="57">
        <f>IF(37&lt;=$C$9,IF($C$15&lt;&gt;"",$C$15,IFERROR(INDEX(tbAtalhos[Conta],MATCH($C$6,tbAtalhos[Descrição],0))&amp;"","")),"")</f>
        <v/>
      </c>
      <c r="Q41" s="57">
        <f>IF(37&lt;=$C$9,IF($C$16&lt;&gt;"",$C$16,IFERROR(INDEX(tbAtalhos[Forma de pagamento],MATCH($C$6,tbAtalhos[Descrição],0))&amp;"","")),"")</f>
        <v/>
      </c>
      <c r="R41" s="4" t="n"/>
      <c r="S41" s="4" t="n"/>
      <c r="T41" s="4" t="n"/>
    </row>
    <row r="42" ht="20" customHeight="1">
      <c r="A42" s="4" t="n"/>
      <c r="B42" s="4" t="n"/>
      <c r="C42" s="4" t="n"/>
      <c r="D42" s="4" t="n"/>
      <c r="E42" s="56">
        <f>IF(38&lt;=$C$9,DATE(YEAR($C$10),MONTH($C$10)+37,MIN(DAY($C$10),DAY(EOMONTH(DATE(YEAR($C$10),MONTH($C$10)+37,1),0)))),"")</f>
        <v/>
      </c>
      <c r="F42" s="57">
        <f>IF(38&lt;=$C$9,$C$6,"")</f>
        <v/>
      </c>
      <c r="G42" s="58">
        <f>IF(AND(38&lt;=$C$9,$C$5="Parcelado"),"38/"&amp;$C$9,"")</f>
        <v/>
      </c>
      <c r="H42" s="59">
        <f>IF(38&lt;=$C$9,IF($C$5="Repetir todo mês",$C$7,IF($C$8="Total da compra",IF(38&lt;$C$9,ROUND($C$7/$C$9,2),ROUND($C$7-ROUND($C$7/$C$9,2)*($C$9-1),2)),$C$7)),"")</f>
        <v/>
      </c>
      <c r="I42" s="56">
        <f>IF(38&lt;=$C$9,DATE(YEAR($C$10),MONTH($C$10)+37,MIN(DAY($C$10),DAY(EOMONTH(DATE(YEAR($C$10),MONTH($C$10)+37,1),0)))),"")</f>
        <v/>
      </c>
      <c r="J42" s="57">
        <f>IF(38&lt;=$C$9,IF(AND(38=1,$C$17="sim"),IF(IF($C$11&lt;&gt;"",$C$11,IFERROR(INDEX(tbAtalhos[Tipo],MATCH($C$6,tbAtalhos[Descrição],0))&amp;"","Despesa"))="Receita","Recebido","Pago"),"Pendente"),"")</f>
        <v/>
      </c>
      <c r="K42" s="57">
        <f>IF(38&lt;=$C$9,IF($C$11&lt;&gt;"",$C$11,IFERROR(INDEX(tbAtalhos[Tipo],MATCH($C$6,tbAtalhos[Descrição],0))&amp;"","Despesa")),"")</f>
        <v/>
      </c>
      <c r="L42" s="57">
        <f>IF(38&lt;=$C$9,IF($C$12&lt;&gt;"",$C$12,IFERROR(INDEX(tbAtalhos[Categoria],MATCH($C$6,tbAtalhos[Descrição],0))&amp;"","")),"")</f>
        <v/>
      </c>
      <c r="M42" s="57">
        <f>IF(38&lt;=$C$9,IF(IF($C$13&lt;&gt;"",$C$13,IFERROR(INDEX(tbAtalhos[Pote],MATCH($C$6,tbAtalhos[Descrição],0))&amp;"",""))&lt;&gt;"",IF($C$13&lt;&gt;"",$C$13,IFERROR(INDEX(tbAtalhos[Pote],MATCH($C$6,tbAtalhos[Descrição],0))&amp;"","")),IFERROR(INDEX(tbCatDespesa[Fundo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2" s="57">
        <f>IF(38&lt;=$C$9,IF(IF($C$14&lt;&gt;"",$C$14,IFERROR(INDEX(tbAtalhos[Quem],MATCH($C$6,tbAtalhos[Descrição],0))&amp;"",""))&lt;&gt;"",IF($C$14&lt;&gt;"",$C$14,IFERROR(INDEX(tbAtalhos[Quem],MATCH($C$6,tbAtalhos[Descrição],0))&amp;"","")),QuemPadrao),"")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2" s="57">
        <f>""</f>
        <v/>
      </c>
      <c r="P42" s="57">
        <f>IF(38&lt;=$C$9,IF($C$15&lt;&gt;"",$C$15,IFERROR(INDEX(tbAtalhos[Conta],MATCH($C$6,tbAtalhos[Descrição],0))&amp;"","")),"")</f>
        <v/>
      </c>
      <c r="Q42" s="57">
        <f>IF(38&lt;=$C$9,IF($C$16&lt;&gt;"",$C$16,IFERROR(INDEX(tbAtalhos[Forma de pagamento],MATCH($C$6,tbAtalhos[Descrição],0))&amp;"","")),"")</f>
        <v/>
      </c>
      <c r="R42" s="4" t="n"/>
      <c r="S42" s="4" t="n"/>
      <c r="T42" s="4" t="n"/>
    </row>
    <row r="43" ht="20" customHeight="1">
      <c r="A43" s="4" t="n"/>
      <c r="B43" s="4" t="n"/>
      <c r="C43" s="4" t="n"/>
      <c r="D43" s="4" t="n"/>
      <c r="E43" s="56">
        <f>IF(39&lt;=$C$9,DATE(YEAR($C$10),MONTH($C$10)+38,MIN(DAY($C$10),DAY(EOMONTH(DATE(YEAR($C$10),MONTH($C$10)+38,1),0)))),"")</f>
        <v/>
      </c>
      <c r="F43" s="57">
        <f>IF(39&lt;=$C$9,$C$6,"")</f>
        <v/>
      </c>
      <c r="G43" s="58">
        <f>IF(AND(39&lt;=$C$9,$C$5="Parcelado"),"39/"&amp;$C$9,"")</f>
        <v/>
      </c>
      <c r="H43" s="59">
        <f>IF(39&lt;=$C$9,IF($C$5="Repetir todo mês",$C$7,IF($C$8="Total da compra",IF(39&lt;$C$9,ROUND($C$7/$C$9,2),ROUND($C$7-ROUND($C$7/$C$9,2)*($C$9-1),2)),$C$7)),"")</f>
        <v/>
      </c>
      <c r="I43" s="56">
        <f>IF(39&lt;=$C$9,DATE(YEAR($C$10),MONTH($C$10)+38,MIN(DAY($C$10),DAY(EOMONTH(DATE(YEAR($C$10),MONTH($C$10)+38,1),0)))),"")</f>
        <v/>
      </c>
      <c r="J43" s="57">
        <f>IF(39&lt;=$C$9,IF(AND(39=1,$C$17="sim"),IF(IF($C$11&lt;&gt;"",$C$11,IFERROR(INDEX(tbAtalhos[Tipo],MATCH($C$6,tbAtalhos[Descrição],0))&amp;"","Despesa"))="Receita","Recebido","Pago"),"Pendente"),"")</f>
        <v/>
      </c>
      <c r="K43" s="57">
        <f>IF(39&lt;=$C$9,IF($C$11&lt;&gt;"",$C$11,IFERROR(INDEX(tbAtalhos[Tipo],MATCH($C$6,tbAtalhos[Descrição],0))&amp;"","Despesa")),"")</f>
        <v/>
      </c>
      <c r="L43" s="57">
        <f>IF(39&lt;=$C$9,IF($C$12&lt;&gt;"",$C$12,IFERROR(INDEX(tbAtalhos[Categoria],MATCH($C$6,tbAtalhos[Descrição],0))&amp;"","")),"")</f>
        <v/>
      </c>
      <c r="M43" s="57">
        <f>IF(39&lt;=$C$9,IF(IF($C$13&lt;&gt;"",$C$13,IFERROR(INDEX(tbAtalhos[Pote],MATCH($C$6,tbAtalhos[Descrição],0))&amp;"",""))&lt;&gt;"",IF($C$13&lt;&gt;"",$C$13,IFERROR(INDEX(tbAtalhos[Pote],MATCH($C$6,tbAtalhos[Descrição],0))&amp;"","")),IFERROR(INDEX(tbCatDespesa[Fundo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3" s="57">
        <f>IF(39&lt;=$C$9,IF(IF($C$14&lt;&gt;"",$C$14,IFERROR(INDEX(tbAtalhos[Quem],MATCH($C$6,tbAtalhos[Descrição],0))&amp;"",""))&lt;&gt;"",IF($C$14&lt;&gt;"",$C$14,IFERROR(INDEX(tbAtalhos[Quem],MATCH($C$6,tbAtalhos[Descrição],0))&amp;"","")),QuemPadrao),"")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3" s="57">
        <f>""</f>
        <v/>
      </c>
      <c r="P43" s="57">
        <f>IF(39&lt;=$C$9,IF($C$15&lt;&gt;"",$C$15,IFERROR(INDEX(tbAtalhos[Conta],MATCH($C$6,tbAtalhos[Descrição],0))&amp;"","")),"")</f>
        <v/>
      </c>
      <c r="Q43" s="57">
        <f>IF(39&lt;=$C$9,IF($C$16&lt;&gt;"",$C$16,IFERROR(INDEX(tbAtalhos[Forma de pagamento],MATCH($C$6,tbAtalhos[Descrição],0))&amp;"","")),"")</f>
        <v/>
      </c>
      <c r="R43" s="4" t="n"/>
      <c r="S43" s="4" t="n"/>
      <c r="T43" s="4" t="n"/>
    </row>
    <row r="44" ht="20" customHeight="1">
      <c r="A44" s="4" t="n"/>
      <c r="B44" s="4" t="n"/>
      <c r="C44" s="4" t="n"/>
      <c r="D44" s="4" t="n"/>
      <c r="E44" s="56">
        <f>IF(40&lt;=$C$9,DATE(YEAR($C$10),MONTH($C$10)+39,MIN(DAY($C$10),DAY(EOMONTH(DATE(YEAR($C$10),MONTH($C$10)+39,1),0)))),"")</f>
        <v/>
      </c>
      <c r="F44" s="57">
        <f>IF(40&lt;=$C$9,$C$6,"")</f>
        <v/>
      </c>
      <c r="G44" s="58">
        <f>IF(AND(40&lt;=$C$9,$C$5="Parcelado"),"40/"&amp;$C$9,"")</f>
        <v/>
      </c>
      <c r="H44" s="59">
        <f>IF(40&lt;=$C$9,IF($C$5="Repetir todo mês",$C$7,IF($C$8="Total da compra",IF(40&lt;$C$9,ROUND($C$7/$C$9,2),ROUND($C$7-ROUND($C$7/$C$9,2)*($C$9-1),2)),$C$7)),"")</f>
        <v/>
      </c>
      <c r="I44" s="56">
        <f>IF(40&lt;=$C$9,DATE(YEAR($C$10),MONTH($C$10)+39,MIN(DAY($C$10),DAY(EOMONTH(DATE(YEAR($C$10),MONTH($C$10)+39,1),0)))),"")</f>
        <v/>
      </c>
      <c r="J44" s="57">
        <f>IF(40&lt;=$C$9,IF(AND(40=1,$C$17="sim"),IF(IF($C$11&lt;&gt;"",$C$11,IFERROR(INDEX(tbAtalhos[Tipo],MATCH($C$6,tbAtalhos[Descrição],0))&amp;"","Despesa"))="Receita","Recebido","Pago"),"Pendente"),"")</f>
        <v/>
      </c>
      <c r="K44" s="57">
        <f>IF(40&lt;=$C$9,IF($C$11&lt;&gt;"",$C$11,IFERROR(INDEX(tbAtalhos[Tipo],MATCH($C$6,tbAtalhos[Descrição],0))&amp;"","Despesa")),"")</f>
        <v/>
      </c>
      <c r="L44" s="57">
        <f>IF(40&lt;=$C$9,IF($C$12&lt;&gt;"",$C$12,IFERROR(INDEX(tbAtalhos[Categoria],MATCH($C$6,tbAtalhos[Descrição],0))&amp;"","")),"")</f>
        <v/>
      </c>
      <c r="M44" s="57">
        <f>IF(40&lt;=$C$9,IF(IF($C$13&lt;&gt;"",$C$13,IFERROR(INDEX(tbAtalhos[Pote],MATCH($C$6,tbAtalhos[Descrição],0))&amp;"",""))&lt;&gt;"",IF($C$13&lt;&gt;"",$C$13,IFERROR(INDEX(tbAtalhos[Pote],MATCH($C$6,tbAtalhos[Descrição],0))&amp;"","")),IFERROR(INDEX(tbCatDespesa[Fundo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4" s="57">
        <f>IF(40&lt;=$C$9,IF(IF($C$14&lt;&gt;"",$C$14,IFERROR(INDEX(tbAtalhos[Quem],MATCH($C$6,tbAtalhos[Descrição],0))&amp;"",""))&lt;&gt;"",IF($C$14&lt;&gt;"",$C$14,IFERROR(INDEX(tbAtalhos[Quem],MATCH($C$6,tbAtalhos[Descrição],0))&amp;"","")),QuemPadrao),"")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4" s="57">
        <f>""</f>
        <v/>
      </c>
      <c r="P44" s="57">
        <f>IF(40&lt;=$C$9,IF($C$15&lt;&gt;"",$C$15,IFERROR(INDEX(tbAtalhos[Conta],MATCH($C$6,tbAtalhos[Descrição],0))&amp;"","")),"")</f>
        <v/>
      </c>
      <c r="Q44" s="57">
        <f>IF(40&lt;=$C$9,IF($C$16&lt;&gt;"",$C$16,IFERROR(INDEX(tbAtalhos[Forma de pagamento],MATCH($C$6,tbAtalhos[Descrição],0))&amp;"","")),"")</f>
        <v/>
      </c>
      <c r="R44" s="4" t="n"/>
      <c r="S44" s="4" t="n"/>
      <c r="T44" s="4" t="n"/>
    </row>
    <row r="45" ht="20" customHeight="1">
      <c r="A45" s="4" t="n"/>
      <c r="B45" s="4" t="n"/>
      <c r="C45" s="4" t="n"/>
      <c r="D45" s="4" t="n"/>
      <c r="E45" s="56">
        <f>IF(41&lt;=$C$9,DATE(YEAR($C$10),MONTH($C$10)+40,MIN(DAY($C$10),DAY(EOMONTH(DATE(YEAR($C$10),MONTH($C$10)+40,1),0)))),"")</f>
        <v/>
      </c>
      <c r="F45" s="57">
        <f>IF(41&lt;=$C$9,$C$6,"")</f>
        <v/>
      </c>
      <c r="G45" s="58">
        <f>IF(AND(41&lt;=$C$9,$C$5="Parcelado"),"41/"&amp;$C$9,"")</f>
        <v/>
      </c>
      <c r="H45" s="59">
        <f>IF(41&lt;=$C$9,IF($C$5="Repetir todo mês",$C$7,IF($C$8="Total da compra",IF(41&lt;$C$9,ROUND($C$7/$C$9,2),ROUND($C$7-ROUND($C$7/$C$9,2)*($C$9-1),2)),$C$7)),"")</f>
        <v/>
      </c>
      <c r="I45" s="56">
        <f>IF(41&lt;=$C$9,DATE(YEAR($C$10),MONTH($C$10)+40,MIN(DAY($C$10),DAY(EOMONTH(DATE(YEAR($C$10),MONTH($C$10)+40,1),0)))),"")</f>
        <v/>
      </c>
      <c r="J45" s="57">
        <f>IF(41&lt;=$C$9,IF(AND(41=1,$C$17="sim"),IF(IF($C$11&lt;&gt;"",$C$11,IFERROR(INDEX(tbAtalhos[Tipo],MATCH($C$6,tbAtalhos[Descrição],0))&amp;"","Despesa"))="Receita","Recebido","Pago"),"Pendente"),"")</f>
        <v/>
      </c>
      <c r="K45" s="57">
        <f>IF(41&lt;=$C$9,IF($C$11&lt;&gt;"",$C$11,IFERROR(INDEX(tbAtalhos[Tipo],MATCH($C$6,tbAtalhos[Descrição],0))&amp;"","Despesa")),"")</f>
        <v/>
      </c>
      <c r="L45" s="57">
        <f>IF(41&lt;=$C$9,IF($C$12&lt;&gt;"",$C$12,IFERROR(INDEX(tbAtalhos[Categoria],MATCH($C$6,tbAtalhos[Descrição],0))&amp;"","")),"")</f>
        <v/>
      </c>
      <c r="M45" s="57">
        <f>IF(41&lt;=$C$9,IF(IF($C$13&lt;&gt;"",$C$13,IFERROR(INDEX(tbAtalhos[Pote],MATCH($C$6,tbAtalhos[Descrição],0))&amp;"",""))&lt;&gt;"",IF($C$13&lt;&gt;"",$C$13,IFERROR(INDEX(tbAtalhos[Pote],MATCH($C$6,tbAtalhos[Descrição],0))&amp;"","")),IFERROR(INDEX(tbCatDespesa[Fundo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5" s="57">
        <f>IF(41&lt;=$C$9,IF(IF($C$14&lt;&gt;"",$C$14,IFERROR(INDEX(tbAtalhos[Quem],MATCH($C$6,tbAtalhos[Descrição],0))&amp;"",""))&lt;&gt;"",IF($C$14&lt;&gt;"",$C$14,IFERROR(INDEX(tbAtalhos[Quem],MATCH($C$6,tbAtalhos[Descrição],0))&amp;"","")),QuemPadrao),"")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5" s="57">
        <f>""</f>
        <v/>
      </c>
      <c r="P45" s="57">
        <f>IF(41&lt;=$C$9,IF($C$15&lt;&gt;"",$C$15,IFERROR(INDEX(tbAtalhos[Conta],MATCH($C$6,tbAtalhos[Descrição],0))&amp;"","")),"")</f>
        <v/>
      </c>
      <c r="Q45" s="57">
        <f>IF(41&lt;=$C$9,IF($C$16&lt;&gt;"",$C$16,IFERROR(INDEX(tbAtalhos[Forma de pagamento],MATCH($C$6,tbAtalhos[Descrição],0))&amp;"","")),"")</f>
        <v/>
      </c>
      <c r="R45" s="4" t="n"/>
      <c r="S45" s="4" t="n"/>
      <c r="T45" s="4" t="n"/>
    </row>
    <row r="46" ht="20" customHeight="1">
      <c r="A46" s="4" t="n"/>
      <c r="B46" s="4" t="n"/>
      <c r="C46" s="4" t="n"/>
      <c r="D46" s="4" t="n"/>
      <c r="E46" s="56">
        <f>IF(42&lt;=$C$9,DATE(YEAR($C$10),MONTH($C$10)+41,MIN(DAY($C$10),DAY(EOMONTH(DATE(YEAR($C$10),MONTH($C$10)+41,1),0)))),"")</f>
        <v/>
      </c>
      <c r="F46" s="57">
        <f>IF(42&lt;=$C$9,$C$6,"")</f>
        <v/>
      </c>
      <c r="G46" s="58">
        <f>IF(AND(42&lt;=$C$9,$C$5="Parcelado"),"42/"&amp;$C$9,"")</f>
        <v/>
      </c>
      <c r="H46" s="59">
        <f>IF(42&lt;=$C$9,IF($C$5="Repetir todo mês",$C$7,IF($C$8="Total da compra",IF(42&lt;$C$9,ROUND($C$7/$C$9,2),ROUND($C$7-ROUND($C$7/$C$9,2)*($C$9-1),2)),$C$7)),"")</f>
        <v/>
      </c>
      <c r="I46" s="56">
        <f>IF(42&lt;=$C$9,DATE(YEAR($C$10),MONTH($C$10)+41,MIN(DAY($C$10),DAY(EOMONTH(DATE(YEAR($C$10),MONTH($C$10)+41,1),0)))),"")</f>
        <v/>
      </c>
      <c r="J46" s="57">
        <f>IF(42&lt;=$C$9,IF(AND(42=1,$C$17="sim"),IF(IF($C$11&lt;&gt;"",$C$11,IFERROR(INDEX(tbAtalhos[Tipo],MATCH($C$6,tbAtalhos[Descrição],0))&amp;"","Despesa"))="Receita","Recebido","Pago"),"Pendente"),"")</f>
        <v/>
      </c>
      <c r="K46" s="57">
        <f>IF(42&lt;=$C$9,IF($C$11&lt;&gt;"",$C$11,IFERROR(INDEX(tbAtalhos[Tipo],MATCH($C$6,tbAtalhos[Descrição],0))&amp;"","Despesa")),"")</f>
        <v/>
      </c>
      <c r="L46" s="57">
        <f>IF(42&lt;=$C$9,IF($C$12&lt;&gt;"",$C$12,IFERROR(INDEX(tbAtalhos[Categoria],MATCH($C$6,tbAtalhos[Descrição],0))&amp;"","")),"")</f>
        <v/>
      </c>
      <c r="M46" s="57">
        <f>IF(42&lt;=$C$9,IF(IF($C$13&lt;&gt;"",$C$13,IFERROR(INDEX(tbAtalhos[Pote],MATCH($C$6,tbAtalhos[Descrição],0))&amp;"",""))&lt;&gt;"",IF($C$13&lt;&gt;"",$C$13,IFERROR(INDEX(tbAtalhos[Pote],MATCH($C$6,tbAtalhos[Descrição],0))&amp;"","")),IFERROR(INDEX(tbCatDespesa[Fundo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6" s="57">
        <f>IF(42&lt;=$C$9,IF(IF($C$14&lt;&gt;"",$C$14,IFERROR(INDEX(tbAtalhos[Quem],MATCH($C$6,tbAtalhos[Descrição],0))&amp;"",""))&lt;&gt;"",IF($C$14&lt;&gt;"",$C$14,IFERROR(INDEX(tbAtalhos[Quem],MATCH($C$6,tbAtalhos[Descrição],0))&amp;"","")),QuemPadrao),"")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6" s="57">
        <f>""</f>
        <v/>
      </c>
      <c r="P46" s="57">
        <f>IF(42&lt;=$C$9,IF($C$15&lt;&gt;"",$C$15,IFERROR(INDEX(tbAtalhos[Conta],MATCH($C$6,tbAtalhos[Descrição],0))&amp;"","")),"")</f>
        <v/>
      </c>
      <c r="Q46" s="57">
        <f>IF(42&lt;=$C$9,IF($C$16&lt;&gt;"",$C$16,IFERROR(INDEX(tbAtalhos[Forma de pagamento],MATCH($C$6,tbAtalhos[Descrição],0))&amp;"","")),"")</f>
        <v/>
      </c>
      <c r="R46" s="4" t="n"/>
      <c r="S46" s="4" t="n"/>
      <c r="T46" s="4" t="n"/>
    </row>
    <row r="47" ht="20" customHeight="1">
      <c r="A47" s="4" t="n"/>
      <c r="B47" s="4" t="n"/>
      <c r="C47" s="4" t="n"/>
      <c r="D47" s="4" t="n"/>
      <c r="E47" s="56">
        <f>IF(43&lt;=$C$9,DATE(YEAR($C$10),MONTH($C$10)+42,MIN(DAY($C$10),DAY(EOMONTH(DATE(YEAR($C$10),MONTH($C$10)+42,1),0)))),"")</f>
        <v/>
      </c>
      <c r="F47" s="57">
        <f>IF(43&lt;=$C$9,$C$6,"")</f>
        <v/>
      </c>
      <c r="G47" s="58">
        <f>IF(AND(43&lt;=$C$9,$C$5="Parcelado"),"43/"&amp;$C$9,"")</f>
        <v/>
      </c>
      <c r="H47" s="59">
        <f>IF(43&lt;=$C$9,IF($C$5="Repetir todo mês",$C$7,IF($C$8="Total da compra",IF(43&lt;$C$9,ROUND($C$7/$C$9,2),ROUND($C$7-ROUND($C$7/$C$9,2)*($C$9-1),2)),$C$7)),"")</f>
        <v/>
      </c>
      <c r="I47" s="56">
        <f>IF(43&lt;=$C$9,DATE(YEAR($C$10),MONTH($C$10)+42,MIN(DAY($C$10),DAY(EOMONTH(DATE(YEAR($C$10),MONTH($C$10)+42,1),0)))),"")</f>
        <v/>
      </c>
      <c r="J47" s="57">
        <f>IF(43&lt;=$C$9,IF(AND(43=1,$C$17="sim"),IF(IF($C$11&lt;&gt;"",$C$11,IFERROR(INDEX(tbAtalhos[Tipo],MATCH($C$6,tbAtalhos[Descrição],0))&amp;"","Despesa"))="Receita","Recebido","Pago"),"Pendente"),"")</f>
        <v/>
      </c>
      <c r="K47" s="57">
        <f>IF(43&lt;=$C$9,IF($C$11&lt;&gt;"",$C$11,IFERROR(INDEX(tbAtalhos[Tipo],MATCH($C$6,tbAtalhos[Descrição],0))&amp;"","Despesa")),"")</f>
        <v/>
      </c>
      <c r="L47" s="57">
        <f>IF(43&lt;=$C$9,IF($C$12&lt;&gt;"",$C$12,IFERROR(INDEX(tbAtalhos[Categoria],MATCH($C$6,tbAtalhos[Descrição],0))&amp;"","")),"")</f>
        <v/>
      </c>
      <c r="M47" s="57">
        <f>IF(43&lt;=$C$9,IF(IF($C$13&lt;&gt;"",$C$13,IFERROR(INDEX(tbAtalhos[Pote],MATCH($C$6,tbAtalhos[Descrição],0))&amp;"",""))&lt;&gt;"",IF($C$13&lt;&gt;"",$C$13,IFERROR(INDEX(tbAtalhos[Pote],MATCH($C$6,tbAtalhos[Descrição],0))&amp;"","")),IFERROR(INDEX(tbCatDespesa[Fundo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7" s="57">
        <f>IF(43&lt;=$C$9,IF(IF($C$14&lt;&gt;"",$C$14,IFERROR(INDEX(tbAtalhos[Quem],MATCH($C$6,tbAtalhos[Descrição],0))&amp;"",""))&lt;&gt;"",IF($C$14&lt;&gt;"",$C$14,IFERROR(INDEX(tbAtalhos[Quem],MATCH($C$6,tbAtalhos[Descrição],0))&amp;"","")),QuemPadrao),"")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7" s="57">
        <f>""</f>
        <v/>
      </c>
      <c r="P47" s="57">
        <f>IF(43&lt;=$C$9,IF($C$15&lt;&gt;"",$C$15,IFERROR(INDEX(tbAtalhos[Conta],MATCH($C$6,tbAtalhos[Descrição],0))&amp;"","")),"")</f>
        <v/>
      </c>
      <c r="Q47" s="57">
        <f>IF(43&lt;=$C$9,IF($C$16&lt;&gt;"",$C$16,IFERROR(INDEX(tbAtalhos[Forma de pagamento],MATCH($C$6,tbAtalhos[Descrição],0))&amp;"","")),"")</f>
        <v/>
      </c>
      <c r="R47" s="4" t="n"/>
      <c r="S47" s="4" t="n"/>
      <c r="T47" s="4" t="n"/>
    </row>
    <row r="48" ht="20" customHeight="1">
      <c r="A48" s="4" t="n"/>
      <c r="B48" s="4" t="n"/>
      <c r="C48" s="4" t="n"/>
      <c r="D48" s="4" t="n"/>
      <c r="E48" s="56">
        <f>IF(44&lt;=$C$9,DATE(YEAR($C$10),MONTH($C$10)+43,MIN(DAY($C$10),DAY(EOMONTH(DATE(YEAR($C$10),MONTH($C$10)+43,1),0)))),"")</f>
        <v/>
      </c>
      <c r="F48" s="57">
        <f>IF(44&lt;=$C$9,$C$6,"")</f>
        <v/>
      </c>
      <c r="G48" s="58">
        <f>IF(AND(44&lt;=$C$9,$C$5="Parcelado"),"44/"&amp;$C$9,"")</f>
        <v/>
      </c>
      <c r="H48" s="59">
        <f>IF(44&lt;=$C$9,IF($C$5="Repetir todo mês",$C$7,IF($C$8="Total da compra",IF(44&lt;$C$9,ROUND($C$7/$C$9,2),ROUND($C$7-ROUND($C$7/$C$9,2)*($C$9-1),2)),$C$7)),"")</f>
        <v/>
      </c>
      <c r="I48" s="56">
        <f>IF(44&lt;=$C$9,DATE(YEAR($C$10),MONTH($C$10)+43,MIN(DAY($C$10),DAY(EOMONTH(DATE(YEAR($C$10),MONTH($C$10)+43,1),0)))),"")</f>
        <v/>
      </c>
      <c r="J48" s="57">
        <f>IF(44&lt;=$C$9,IF(AND(44=1,$C$17="sim"),IF(IF($C$11&lt;&gt;"",$C$11,IFERROR(INDEX(tbAtalhos[Tipo],MATCH($C$6,tbAtalhos[Descrição],0))&amp;"","Despesa"))="Receita","Recebido","Pago"),"Pendente"),"")</f>
        <v/>
      </c>
      <c r="K48" s="57">
        <f>IF(44&lt;=$C$9,IF($C$11&lt;&gt;"",$C$11,IFERROR(INDEX(tbAtalhos[Tipo],MATCH($C$6,tbAtalhos[Descrição],0))&amp;"","Despesa")),"")</f>
        <v/>
      </c>
      <c r="L48" s="57">
        <f>IF(44&lt;=$C$9,IF($C$12&lt;&gt;"",$C$12,IFERROR(INDEX(tbAtalhos[Categoria],MATCH($C$6,tbAtalhos[Descrição],0))&amp;"","")),"")</f>
        <v/>
      </c>
      <c r="M48" s="57">
        <f>IF(44&lt;=$C$9,IF(IF($C$13&lt;&gt;"",$C$13,IFERROR(INDEX(tbAtalhos[Pote],MATCH($C$6,tbAtalhos[Descrição],0))&amp;"",""))&lt;&gt;"",IF($C$13&lt;&gt;"",$C$13,IFERROR(INDEX(tbAtalhos[Pote],MATCH($C$6,tbAtalhos[Descrição],0))&amp;"","")),IFERROR(INDEX(tbCatDespesa[Fundo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8" s="57">
        <f>IF(44&lt;=$C$9,IF(IF($C$14&lt;&gt;"",$C$14,IFERROR(INDEX(tbAtalhos[Quem],MATCH($C$6,tbAtalhos[Descrição],0))&amp;"",""))&lt;&gt;"",IF($C$14&lt;&gt;"",$C$14,IFERROR(INDEX(tbAtalhos[Quem],MATCH($C$6,tbAtalhos[Descrição],0))&amp;"","")),QuemPadrao),"")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8" s="57">
        <f>""</f>
        <v/>
      </c>
      <c r="P48" s="57">
        <f>IF(44&lt;=$C$9,IF($C$15&lt;&gt;"",$C$15,IFERROR(INDEX(tbAtalhos[Conta],MATCH($C$6,tbAtalhos[Descrição],0))&amp;"","")),"")</f>
        <v/>
      </c>
      <c r="Q48" s="57">
        <f>IF(44&lt;=$C$9,IF($C$16&lt;&gt;"",$C$16,IFERROR(INDEX(tbAtalhos[Forma de pagamento],MATCH($C$6,tbAtalhos[Descrição],0))&amp;"","")),"")</f>
        <v/>
      </c>
      <c r="R48" s="4" t="n"/>
      <c r="S48" s="4" t="n"/>
      <c r="T48" s="4" t="n"/>
    </row>
    <row r="49" ht="20" customHeight="1">
      <c r="A49" s="4" t="n"/>
      <c r="B49" s="4" t="n"/>
      <c r="C49" s="4" t="n"/>
      <c r="D49" s="4" t="n"/>
      <c r="E49" s="56">
        <f>IF(45&lt;=$C$9,DATE(YEAR($C$10),MONTH($C$10)+44,MIN(DAY($C$10),DAY(EOMONTH(DATE(YEAR($C$10),MONTH($C$10)+44,1),0)))),"")</f>
        <v/>
      </c>
      <c r="F49" s="57">
        <f>IF(45&lt;=$C$9,$C$6,"")</f>
        <v/>
      </c>
      <c r="G49" s="58">
        <f>IF(AND(45&lt;=$C$9,$C$5="Parcelado"),"45/"&amp;$C$9,"")</f>
        <v/>
      </c>
      <c r="H49" s="59">
        <f>IF(45&lt;=$C$9,IF($C$5="Repetir todo mês",$C$7,IF($C$8="Total da compra",IF(45&lt;$C$9,ROUND($C$7/$C$9,2),ROUND($C$7-ROUND($C$7/$C$9,2)*($C$9-1),2)),$C$7)),"")</f>
        <v/>
      </c>
      <c r="I49" s="56">
        <f>IF(45&lt;=$C$9,DATE(YEAR($C$10),MONTH($C$10)+44,MIN(DAY($C$10),DAY(EOMONTH(DATE(YEAR($C$10),MONTH($C$10)+44,1),0)))),"")</f>
        <v/>
      </c>
      <c r="J49" s="57">
        <f>IF(45&lt;=$C$9,IF(AND(45=1,$C$17="sim"),IF(IF($C$11&lt;&gt;"",$C$11,IFERROR(INDEX(tbAtalhos[Tipo],MATCH($C$6,tbAtalhos[Descrição],0))&amp;"","Despesa"))="Receita","Recebido","Pago"),"Pendente"),"")</f>
        <v/>
      </c>
      <c r="K49" s="57">
        <f>IF(45&lt;=$C$9,IF($C$11&lt;&gt;"",$C$11,IFERROR(INDEX(tbAtalhos[Tipo],MATCH($C$6,tbAtalhos[Descrição],0))&amp;"","Despesa")),"")</f>
        <v/>
      </c>
      <c r="L49" s="57">
        <f>IF(45&lt;=$C$9,IF($C$12&lt;&gt;"",$C$12,IFERROR(INDEX(tbAtalhos[Categoria],MATCH($C$6,tbAtalhos[Descrição],0))&amp;"","")),"")</f>
        <v/>
      </c>
      <c r="M49" s="57">
        <f>IF(45&lt;=$C$9,IF(IF($C$13&lt;&gt;"",$C$13,IFERROR(INDEX(tbAtalhos[Pote],MATCH($C$6,tbAtalhos[Descrição],0))&amp;"",""))&lt;&gt;"",IF($C$13&lt;&gt;"",$C$13,IFERROR(INDEX(tbAtalhos[Pote],MATCH($C$6,tbAtalhos[Descrição],0))&amp;"","")),IFERROR(INDEX(tbCatDespesa[Fundo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49" s="57">
        <f>IF(45&lt;=$C$9,IF(IF($C$14&lt;&gt;"",$C$14,IFERROR(INDEX(tbAtalhos[Quem],MATCH($C$6,tbAtalhos[Descrição],0))&amp;"",""))&lt;&gt;"",IF($C$14&lt;&gt;"",$C$14,IFERROR(INDEX(tbAtalhos[Quem],MATCH($C$6,tbAtalhos[Descrição],0))&amp;"","")),QuemPadrao),"")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49" s="57">
        <f>""</f>
        <v/>
      </c>
      <c r="P49" s="57">
        <f>IF(45&lt;=$C$9,IF($C$15&lt;&gt;"",$C$15,IFERROR(INDEX(tbAtalhos[Conta],MATCH($C$6,tbAtalhos[Descrição],0))&amp;"","")),"")</f>
        <v/>
      </c>
      <c r="Q49" s="57">
        <f>IF(45&lt;=$C$9,IF($C$16&lt;&gt;"",$C$16,IFERROR(INDEX(tbAtalhos[Forma de pagamento],MATCH($C$6,tbAtalhos[Descrição],0))&amp;"","")),"")</f>
        <v/>
      </c>
      <c r="R49" s="4" t="n"/>
      <c r="S49" s="4" t="n"/>
      <c r="T49" s="4" t="n"/>
    </row>
    <row r="50" ht="20" customHeight="1">
      <c r="A50" s="4" t="n"/>
      <c r="B50" s="4" t="n"/>
      <c r="C50" s="4" t="n"/>
      <c r="D50" s="4" t="n"/>
      <c r="E50" s="56">
        <f>IF(46&lt;=$C$9,DATE(YEAR($C$10),MONTH($C$10)+45,MIN(DAY($C$10),DAY(EOMONTH(DATE(YEAR($C$10),MONTH($C$10)+45,1),0)))),"")</f>
        <v/>
      </c>
      <c r="F50" s="57">
        <f>IF(46&lt;=$C$9,$C$6,"")</f>
        <v/>
      </c>
      <c r="G50" s="58">
        <f>IF(AND(46&lt;=$C$9,$C$5="Parcelado"),"46/"&amp;$C$9,"")</f>
        <v/>
      </c>
      <c r="H50" s="59">
        <f>IF(46&lt;=$C$9,IF($C$5="Repetir todo mês",$C$7,IF($C$8="Total da compra",IF(46&lt;$C$9,ROUND($C$7/$C$9,2),ROUND($C$7-ROUND($C$7/$C$9,2)*($C$9-1),2)),$C$7)),"")</f>
        <v/>
      </c>
      <c r="I50" s="56">
        <f>IF(46&lt;=$C$9,DATE(YEAR($C$10),MONTH($C$10)+45,MIN(DAY($C$10),DAY(EOMONTH(DATE(YEAR($C$10),MONTH($C$10)+45,1),0)))),"")</f>
        <v/>
      </c>
      <c r="J50" s="57">
        <f>IF(46&lt;=$C$9,IF(AND(46=1,$C$17="sim"),IF(IF($C$11&lt;&gt;"",$C$11,IFERROR(INDEX(tbAtalhos[Tipo],MATCH($C$6,tbAtalhos[Descrição],0))&amp;"","Despesa"))="Receita","Recebido","Pago"),"Pendente"),"")</f>
        <v/>
      </c>
      <c r="K50" s="57">
        <f>IF(46&lt;=$C$9,IF($C$11&lt;&gt;"",$C$11,IFERROR(INDEX(tbAtalhos[Tipo],MATCH($C$6,tbAtalhos[Descrição],0))&amp;"","Despesa")),"")</f>
        <v/>
      </c>
      <c r="L50" s="57">
        <f>IF(46&lt;=$C$9,IF($C$12&lt;&gt;"",$C$12,IFERROR(INDEX(tbAtalhos[Categoria],MATCH($C$6,tbAtalhos[Descrição],0))&amp;"","")),"")</f>
        <v/>
      </c>
      <c r="M50" s="57">
        <f>IF(46&lt;=$C$9,IF(IF($C$13&lt;&gt;"",$C$13,IFERROR(INDEX(tbAtalhos[Pote],MATCH($C$6,tbAtalhos[Descrição],0))&amp;"",""))&lt;&gt;"",IF($C$13&lt;&gt;"",$C$13,IFERROR(INDEX(tbAtalhos[Pote],MATCH($C$6,tbAtalhos[Descrição],0))&amp;"","")),IFERROR(INDEX(tbCatDespesa[Fundo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0" s="57">
        <f>IF(46&lt;=$C$9,IF(IF($C$14&lt;&gt;"",$C$14,IFERROR(INDEX(tbAtalhos[Quem],MATCH($C$6,tbAtalhos[Descrição],0))&amp;"",""))&lt;&gt;"",IF($C$14&lt;&gt;"",$C$14,IFERROR(INDEX(tbAtalhos[Quem],MATCH($C$6,tbAtalhos[Descrição],0))&amp;"","")),QuemPadrao),"")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0" s="57">
        <f>""</f>
        <v/>
      </c>
      <c r="P50" s="57">
        <f>IF(46&lt;=$C$9,IF($C$15&lt;&gt;"",$C$15,IFERROR(INDEX(tbAtalhos[Conta],MATCH($C$6,tbAtalhos[Descrição],0))&amp;"","")),"")</f>
        <v/>
      </c>
      <c r="Q50" s="57">
        <f>IF(46&lt;=$C$9,IF($C$16&lt;&gt;"",$C$16,IFERROR(INDEX(tbAtalhos[Forma de pagamento],MATCH($C$6,tbAtalhos[Descrição],0))&amp;"","")),"")</f>
        <v/>
      </c>
      <c r="R50" s="4" t="n"/>
      <c r="S50" s="4" t="n"/>
      <c r="T50" s="4" t="n"/>
    </row>
    <row r="51" ht="20" customHeight="1">
      <c r="A51" s="4" t="n"/>
      <c r="B51" s="4" t="n"/>
      <c r="C51" s="4" t="n"/>
      <c r="D51" s="4" t="n"/>
      <c r="E51" s="56">
        <f>IF(47&lt;=$C$9,DATE(YEAR($C$10),MONTH($C$10)+46,MIN(DAY($C$10),DAY(EOMONTH(DATE(YEAR($C$10),MONTH($C$10)+46,1),0)))),"")</f>
        <v/>
      </c>
      <c r="F51" s="57">
        <f>IF(47&lt;=$C$9,$C$6,"")</f>
        <v/>
      </c>
      <c r="G51" s="58">
        <f>IF(AND(47&lt;=$C$9,$C$5="Parcelado"),"47/"&amp;$C$9,"")</f>
        <v/>
      </c>
      <c r="H51" s="59">
        <f>IF(47&lt;=$C$9,IF($C$5="Repetir todo mês",$C$7,IF($C$8="Total da compra",IF(47&lt;$C$9,ROUND($C$7/$C$9,2),ROUND($C$7-ROUND($C$7/$C$9,2)*($C$9-1),2)),$C$7)),"")</f>
        <v/>
      </c>
      <c r="I51" s="56">
        <f>IF(47&lt;=$C$9,DATE(YEAR($C$10),MONTH($C$10)+46,MIN(DAY($C$10),DAY(EOMONTH(DATE(YEAR($C$10),MONTH($C$10)+46,1),0)))),"")</f>
        <v/>
      </c>
      <c r="J51" s="57">
        <f>IF(47&lt;=$C$9,IF(AND(47=1,$C$17="sim"),IF(IF($C$11&lt;&gt;"",$C$11,IFERROR(INDEX(tbAtalhos[Tipo],MATCH($C$6,tbAtalhos[Descrição],0))&amp;"","Despesa"))="Receita","Recebido","Pago"),"Pendente"),"")</f>
        <v/>
      </c>
      <c r="K51" s="57">
        <f>IF(47&lt;=$C$9,IF($C$11&lt;&gt;"",$C$11,IFERROR(INDEX(tbAtalhos[Tipo],MATCH($C$6,tbAtalhos[Descrição],0))&amp;"","Despesa")),"")</f>
        <v/>
      </c>
      <c r="L51" s="57">
        <f>IF(47&lt;=$C$9,IF($C$12&lt;&gt;"",$C$12,IFERROR(INDEX(tbAtalhos[Categoria],MATCH($C$6,tbAtalhos[Descrição],0))&amp;"","")),"")</f>
        <v/>
      </c>
      <c r="M51" s="57">
        <f>IF(47&lt;=$C$9,IF(IF($C$13&lt;&gt;"",$C$13,IFERROR(INDEX(tbAtalhos[Pote],MATCH($C$6,tbAtalhos[Descrição],0))&amp;"",""))&lt;&gt;"",IF($C$13&lt;&gt;"",$C$13,IFERROR(INDEX(tbAtalhos[Pote],MATCH($C$6,tbAtalhos[Descrição],0))&amp;"","")),IFERROR(INDEX(tbCatDespesa[Fundo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1" s="57">
        <f>IF(47&lt;=$C$9,IF(IF($C$14&lt;&gt;"",$C$14,IFERROR(INDEX(tbAtalhos[Quem],MATCH($C$6,tbAtalhos[Descrição],0))&amp;"",""))&lt;&gt;"",IF($C$14&lt;&gt;"",$C$14,IFERROR(INDEX(tbAtalhos[Quem],MATCH($C$6,tbAtalhos[Descrição],0))&amp;"","")),QuemPadrao),"")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1" s="57">
        <f>""</f>
        <v/>
      </c>
      <c r="P51" s="57">
        <f>IF(47&lt;=$C$9,IF($C$15&lt;&gt;"",$C$15,IFERROR(INDEX(tbAtalhos[Conta],MATCH($C$6,tbAtalhos[Descrição],0))&amp;"","")),"")</f>
        <v/>
      </c>
      <c r="Q51" s="57">
        <f>IF(47&lt;=$C$9,IF($C$16&lt;&gt;"",$C$16,IFERROR(INDEX(tbAtalhos[Forma de pagamento],MATCH($C$6,tbAtalhos[Descrição],0))&amp;"","")),"")</f>
        <v/>
      </c>
      <c r="R51" s="4" t="n"/>
      <c r="S51" s="4" t="n"/>
      <c r="T51" s="4" t="n"/>
    </row>
    <row r="52" ht="20" customHeight="1">
      <c r="A52" s="4" t="n"/>
      <c r="B52" s="4" t="n"/>
      <c r="C52" s="4" t="n"/>
      <c r="D52" s="4" t="n"/>
      <c r="E52" s="56">
        <f>IF(48&lt;=$C$9,DATE(YEAR($C$10),MONTH($C$10)+47,MIN(DAY($C$10),DAY(EOMONTH(DATE(YEAR($C$10),MONTH($C$10)+47,1),0)))),"")</f>
        <v/>
      </c>
      <c r="F52" s="57">
        <f>IF(48&lt;=$C$9,$C$6,"")</f>
        <v/>
      </c>
      <c r="G52" s="58">
        <f>IF(AND(48&lt;=$C$9,$C$5="Parcelado"),"48/"&amp;$C$9,"")</f>
        <v/>
      </c>
      <c r="H52" s="59">
        <f>IF(48&lt;=$C$9,IF($C$5="Repetir todo mês",$C$7,IF($C$8="Total da compra",IF(48&lt;$C$9,ROUND($C$7/$C$9,2),ROUND($C$7-ROUND($C$7/$C$9,2)*($C$9-1),2)),$C$7)),"")</f>
        <v/>
      </c>
      <c r="I52" s="56">
        <f>IF(48&lt;=$C$9,DATE(YEAR($C$10),MONTH($C$10)+47,MIN(DAY($C$10),DAY(EOMONTH(DATE(YEAR($C$10),MONTH($C$10)+47,1),0)))),"")</f>
        <v/>
      </c>
      <c r="J52" s="57">
        <f>IF(48&lt;=$C$9,IF(AND(48=1,$C$17="sim"),IF(IF($C$11&lt;&gt;"",$C$11,IFERROR(INDEX(tbAtalhos[Tipo],MATCH($C$6,tbAtalhos[Descrição],0))&amp;"","Despesa"))="Receita","Recebido","Pago"),"Pendente"),"")</f>
        <v/>
      </c>
      <c r="K52" s="57">
        <f>IF(48&lt;=$C$9,IF($C$11&lt;&gt;"",$C$11,IFERROR(INDEX(tbAtalhos[Tipo],MATCH($C$6,tbAtalhos[Descrição],0))&amp;"","Despesa")),"")</f>
        <v/>
      </c>
      <c r="L52" s="57">
        <f>IF(48&lt;=$C$9,IF($C$12&lt;&gt;"",$C$12,IFERROR(INDEX(tbAtalhos[Categoria],MATCH($C$6,tbAtalhos[Descrição],0))&amp;"","")),"")</f>
        <v/>
      </c>
      <c r="M52" s="57">
        <f>IF(48&lt;=$C$9,IF(IF($C$13&lt;&gt;"",$C$13,IFERROR(INDEX(tbAtalhos[Pote],MATCH($C$6,tbAtalhos[Descrição],0))&amp;"",""))&lt;&gt;"",IF($C$13&lt;&gt;"",$C$13,IFERROR(INDEX(tbAtalhos[Pote],MATCH($C$6,tbAtalhos[Descrição],0))&amp;"","")),IFERROR(INDEX(tbCatDespesa[Fundo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2" s="57">
        <f>IF(48&lt;=$C$9,IF(IF($C$14&lt;&gt;"",$C$14,IFERROR(INDEX(tbAtalhos[Quem],MATCH($C$6,tbAtalhos[Descrição],0))&amp;"",""))&lt;&gt;"",IF($C$14&lt;&gt;"",$C$14,IFERROR(INDEX(tbAtalhos[Quem],MATCH($C$6,tbAtalhos[Descrição],0))&amp;"","")),QuemPadrao),"")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2" s="57">
        <f>""</f>
        <v/>
      </c>
      <c r="P52" s="57">
        <f>IF(48&lt;=$C$9,IF($C$15&lt;&gt;"",$C$15,IFERROR(INDEX(tbAtalhos[Conta],MATCH($C$6,tbAtalhos[Descrição],0))&amp;"","")),"")</f>
        <v/>
      </c>
      <c r="Q52" s="57">
        <f>IF(48&lt;=$C$9,IF($C$16&lt;&gt;"",$C$16,IFERROR(INDEX(tbAtalhos[Forma de pagamento],MATCH($C$6,tbAtalhos[Descrição],0))&amp;"","")),"")</f>
        <v/>
      </c>
      <c r="R52" s="4" t="n"/>
      <c r="S52" s="4" t="n"/>
      <c r="T52" s="4" t="n"/>
    </row>
    <row r="53" ht="20" customHeight="1">
      <c r="A53" s="4" t="n"/>
      <c r="B53" s="4" t="n"/>
      <c r="C53" s="4" t="n"/>
      <c r="D53" s="4" t="n"/>
      <c r="E53" s="56">
        <f>IF(49&lt;=$C$9,DATE(YEAR($C$10),MONTH($C$10)+48,MIN(DAY($C$10),DAY(EOMONTH(DATE(YEAR($C$10),MONTH($C$10)+48,1),0)))),"")</f>
        <v/>
      </c>
      <c r="F53" s="57">
        <f>IF(49&lt;=$C$9,$C$6,"")</f>
        <v/>
      </c>
      <c r="G53" s="58">
        <f>IF(AND(49&lt;=$C$9,$C$5="Parcelado"),"49/"&amp;$C$9,"")</f>
        <v/>
      </c>
      <c r="H53" s="59">
        <f>IF(49&lt;=$C$9,IF($C$5="Repetir todo mês",$C$7,IF($C$8="Total da compra",IF(49&lt;$C$9,ROUND($C$7/$C$9,2),ROUND($C$7-ROUND($C$7/$C$9,2)*($C$9-1),2)),$C$7)),"")</f>
        <v/>
      </c>
      <c r="I53" s="56">
        <f>IF(49&lt;=$C$9,DATE(YEAR($C$10),MONTH($C$10)+48,MIN(DAY($C$10),DAY(EOMONTH(DATE(YEAR($C$10),MONTH($C$10)+48,1),0)))),"")</f>
        <v/>
      </c>
      <c r="J53" s="57">
        <f>IF(49&lt;=$C$9,IF(AND(49=1,$C$17="sim"),IF(IF($C$11&lt;&gt;"",$C$11,IFERROR(INDEX(tbAtalhos[Tipo],MATCH($C$6,tbAtalhos[Descrição],0))&amp;"","Despesa"))="Receita","Recebido","Pago"),"Pendente"),"")</f>
        <v/>
      </c>
      <c r="K53" s="57">
        <f>IF(49&lt;=$C$9,IF($C$11&lt;&gt;"",$C$11,IFERROR(INDEX(tbAtalhos[Tipo],MATCH($C$6,tbAtalhos[Descrição],0))&amp;"","Despesa")),"")</f>
        <v/>
      </c>
      <c r="L53" s="57">
        <f>IF(49&lt;=$C$9,IF($C$12&lt;&gt;"",$C$12,IFERROR(INDEX(tbAtalhos[Categoria],MATCH($C$6,tbAtalhos[Descrição],0))&amp;"","")),"")</f>
        <v/>
      </c>
      <c r="M53" s="57">
        <f>IF(49&lt;=$C$9,IF(IF($C$13&lt;&gt;"",$C$13,IFERROR(INDEX(tbAtalhos[Pote],MATCH($C$6,tbAtalhos[Descrição],0))&amp;"",""))&lt;&gt;"",IF($C$13&lt;&gt;"",$C$13,IFERROR(INDEX(tbAtalhos[Pote],MATCH($C$6,tbAtalhos[Descrição],0))&amp;"","")),IFERROR(INDEX(tbCatDespesa[Fundo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3" s="57">
        <f>IF(49&lt;=$C$9,IF(IF($C$14&lt;&gt;"",$C$14,IFERROR(INDEX(tbAtalhos[Quem],MATCH($C$6,tbAtalhos[Descrição],0))&amp;"",""))&lt;&gt;"",IF($C$14&lt;&gt;"",$C$14,IFERROR(INDEX(tbAtalhos[Quem],MATCH($C$6,tbAtalhos[Descrição],0))&amp;"","")),QuemPadrao),"")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3" s="57">
        <f>""</f>
        <v/>
      </c>
      <c r="P53" s="57">
        <f>IF(49&lt;=$C$9,IF($C$15&lt;&gt;"",$C$15,IFERROR(INDEX(tbAtalhos[Conta],MATCH($C$6,tbAtalhos[Descrição],0))&amp;"","")),"")</f>
        <v/>
      </c>
      <c r="Q53" s="57">
        <f>IF(49&lt;=$C$9,IF($C$16&lt;&gt;"",$C$16,IFERROR(INDEX(tbAtalhos[Forma de pagamento],MATCH($C$6,tbAtalhos[Descrição],0))&amp;"","")),"")</f>
        <v/>
      </c>
      <c r="R53" s="4" t="n"/>
      <c r="S53" s="4" t="n"/>
      <c r="T53" s="4" t="n"/>
    </row>
    <row r="54" ht="20" customHeight="1">
      <c r="A54" s="4" t="n"/>
      <c r="B54" s="4" t="n"/>
      <c r="C54" s="4" t="n"/>
      <c r="D54" s="4" t="n"/>
      <c r="E54" s="56">
        <f>IF(50&lt;=$C$9,DATE(YEAR($C$10),MONTH($C$10)+49,MIN(DAY($C$10),DAY(EOMONTH(DATE(YEAR($C$10),MONTH($C$10)+49,1),0)))),"")</f>
        <v/>
      </c>
      <c r="F54" s="57">
        <f>IF(50&lt;=$C$9,$C$6,"")</f>
        <v/>
      </c>
      <c r="G54" s="58">
        <f>IF(AND(50&lt;=$C$9,$C$5="Parcelado"),"50/"&amp;$C$9,"")</f>
        <v/>
      </c>
      <c r="H54" s="59">
        <f>IF(50&lt;=$C$9,IF($C$5="Repetir todo mês",$C$7,IF($C$8="Total da compra",IF(50&lt;$C$9,ROUND($C$7/$C$9,2),ROUND($C$7-ROUND($C$7/$C$9,2)*($C$9-1),2)),$C$7)),"")</f>
        <v/>
      </c>
      <c r="I54" s="56">
        <f>IF(50&lt;=$C$9,DATE(YEAR($C$10),MONTH($C$10)+49,MIN(DAY($C$10),DAY(EOMONTH(DATE(YEAR($C$10),MONTH($C$10)+49,1),0)))),"")</f>
        <v/>
      </c>
      <c r="J54" s="57">
        <f>IF(50&lt;=$C$9,IF(AND(50=1,$C$17="sim"),IF(IF($C$11&lt;&gt;"",$C$11,IFERROR(INDEX(tbAtalhos[Tipo],MATCH($C$6,tbAtalhos[Descrição],0))&amp;"","Despesa"))="Receita","Recebido","Pago"),"Pendente"),"")</f>
        <v/>
      </c>
      <c r="K54" s="57">
        <f>IF(50&lt;=$C$9,IF($C$11&lt;&gt;"",$C$11,IFERROR(INDEX(tbAtalhos[Tipo],MATCH($C$6,tbAtalhos[Descrição],0))&amp;"","Despesa")),"")</f>
        <v/>
      </c>
      <c r="L54" s="57">
        <f>IF(50&lt;=$C$9,IF($C$12&lt;&gt;"",$C$12,IFERROR(INDEX(tbAtalhos[Categoria],MATCH($C$6,tbAtalhos[Descrição],0))&amp;"","")),"")</f>
        <v/>
      </c>
      <c r="M54" s="57">
        <f>IF(50&lt;=$C$9,IF(IF($C$13&lt;&gt;"",$C$13,IFERROR(INDEX(tbAtalhos[Pote],MATCH($C$6,tbAtalhos[Descrição],0))&amp;"",""))&lt;&gt;"",IF($C$13&lt;&gt;"",$C$13,IFERROR(INDEX(tbAtalhos[Pote],MATCH($C$6,tbAtalhos[Descrição],0))&amp;"","")),IFERROR(INDEX(tbCatDespesa[Fundo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4" s="57">
        <f>IF(50&lt;=$C$9,IF(IF($C$14&lt;&gt;"",$C$14,IFERROR(INDEX(tbAtalhos[Quem],MATCH($C$6,tbAtalhos[Descrição],0))&amp;"",""))&lt;&gt;"",IF($C$14&lt;&gt;"",$C$14,IFERROR(INDEX(tbAtalhos[Quem],MATCH($C$6,tbAtalhos[Descrição],0))&amp;"","")),QuemPadrao),"")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4" s="57">
        <f>""</f>
        <v/>
      </c>
      <c r="P54" s="57">
        <f>IF(50&lt;=$C$9,IF($C$15&lt;&gt;"",$C$15,IFERROR(INDEX(tbAtalhos[Conta],MATCH($C$6,tbAtalhos[Descrição],0))&amp;"","")),"")</f>
        <v/>
      </c>
      <c r="Q54" s="57">
        <f>IF(50&lt;=$C$9,IF($C$16&lt;&gt;"",$C$16,IFERROR(INDEX(tbAtalhos[Forma de pagamento],MATCH($C$6,tbAtalhos[Descrição],0))&amp;"","")),"")</f>
        <v/>
      </c>
      <c r="R54" s="4" t="n"/>
      <c r="S54" s="4" t="n"/>
      <c r="T54" s="4" t="n"/>
    </row>
    <row r="55" ht="20" customHeight="1">
      <c r="A55" s="4" t="n"/>
      <c r="B55" s="4" t="n"/>
      <c r="C55" s="4" t="n"/>
      <c r="D55" s="4" t="n"/>
      <c r="E55" s="56">
        <f>IF(51&lt;=$C$9,DATE(YEAR($C$10),MONTH($C$10)+50,MIN(DAY($C$10),DAY(EOMONTH(DATE(YEAR($C$10),MONTH($C$10)+50,1),0)))),"")</f>
        <v/>
      </c>
      <c r="F55" s="57">
        <f>IF(51&lt;=$C$9,$C$6,"")</f>
        <v/>
      </c>
      <c r="G55" s="58">
        <f>IF(AND(51&lt;=$C$9,$C$5="Parcelado"),"51/"&amp;$C$9,"")</f>
        <v/>
      </c>
      <c r="H55" s="59">
        <f>IF(51&lt;=$C$9,IF($C$5="Repetir todo mês",$C$7,IF($C$8="Total da compra",IF(51&lt;$C$9,ROUND($C$7/$C$9,2),ROUND($C$7-ROUND($C$7/$C$9,2)*($C$9-1),2)),$C$7)),"")</f>
        <v/>
      </c>
      <c r="I55" s="56">
        <f>IF(51&lt;=$C$9,DATE(YEAR($C$10),MONTH($C$10)+50,MIN(DAY($C$10),DAY(EOMONTH(DATE(YEAR($C$10),MONTH($C$10)+50,1),0)))),"")</f>
        <v/>
      </c>
      <c r="J55" s="57">
        <f>IF(51&lt;=$C$9,IF(AND(51=1,$C$17="sim"),IF(IF($C$11&lt;&gt;"",$C$11,IFERROR(INDEX(tbAtalhos[Tipo],MATCH($C$6,tbAtalhos[Descrição],0))&amp;"","Despesa"))="Receita","Recebido","Pago"),"Pendente"),"")</f>
        <v/>
      </c>
      <c r="K55" s="57">
        <f>IF(51&lt;=$C$9,IF($C$11&lt;&gt;"",$C$11,IFERROR(INDEX(tbAtalhos[Tipo],MATCH($C$6,tbAtalhos[Descrição],0))&amp;"","Despesa")),"")</f>
        <v/>
      </c>
      <c r="L55" s="57">
        <f>IF(51&lt;=$C$9,IF($C$12&lt;&gt;"",$C$12,IFERROR(INDEX(tbAtalhos[Categoria],MATCH($C$6,tbAtalhos[Descrição],0))&amp;"","")),"")</f>
        <v/>
      </c>
      <c r="M55" s="57">
        <f>IF(51&lt;=$C$9,IF(IF($C$13&lt;&gt;"",$C$13,IFERROR(INDEX(tbAtalhos[Pote],MATCH($C$6,tbAtalhos[Descrição],0))&amp;"",""))&lt;&gt;"",IF($C$13&lt;&gt;"",$C$13,IFERROR(INDEX(tbAtalhos[Pote],MATCH($C$6,tbAtalhos[Descrição],0))&amp;"","")),IFERROR(INDEX(tbCatDespesa[Fundo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5" s="57">
        <f>IF(51&lt;=$C$9,IF(IF($C$14&lt;&gt;"",$C$14,IFERROR(INDEX(tbAtalhos[Quem],MATCH($C$6,tbAtalhos[Descrição],0))&amp;"",""))&lt;&gt;"",IF($C$14&lt;&gt;"",$C$14,IFERROR(INDEX(tbAtalhos[Quem],MATCH($C$6,tbAtalhos[Descrição],0))&amp;"","")),QuemPadrao),"")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5" s="57">
        <f>""</f>
        <v/>
      </c>
      <c r="P55" s="57">
        <f>IF(51&lt;=$C$9,IF($C$15&lt;&gt;"",$C$15,IFERROR(INDEX(tbAtalhos[Conta],MATCH($C$6,tbAtalhos[Descrição],0))&amp;"","")),"")</f>
        <v/>
      </c>
      <c r="Q55" s="57">
        <f>IF(51&lt;=$C$9,IF($C$16&lt;&gt;"",$C$16,IFERROR(INDEX(tbAtalhos[Forma de pagamento],MATCH($C$6,tbAtalhos[Descrição],0))&amp;"","")),"")</f>
        <v/>
      </c>
      <c r="R55" s="4" t="n"/>
      <c r="S55" s="4" t="n"/>
      <c r="T55" s="4" t="n"/>
    </row>
    <row r="56" ht="20" customHeight="1">
      <c r="A56" s="4" t="n"/>
      <c r="B56" s="4" t="n"/>
      <c r="C56" s="4" t="n"/>
      <c r="D56" s="4" t="n"/>
      <c r="E56" s="56">
        <f>IF(52&lt;=$C$9,DATE(YEAR($C$10),MONTH($C$10)+51,MIN(DAY($C$10),DAY(EOMONTH(DATE(YEAR($C$10),MONTH($C$10)+51,1),0)))),"")</f>
        <v/>
      </c>
      <c r="F56" s="57">
        <f>IF(52&lt;=$C$9,$C$6,"")</f>
        <v/>
      </c>
      <c r="G56" s="58">
        <f>IF(AND(52&lt;=$C$9,$C$5="Parcelado"),"52/"&amp;$C$9,"")</f>
        <v/>
      </c>
      <c r="H56" s="59">
        <f>IF(52&lt;=$C$9,IF($C$5="Repetir todo mês",$C$7,IF($C$8="Total da compra",IF(52&lt;$C$9,ROUND($C$7/$C$9,2),ROUND($C$7-ROUND($C$7/$C$9,2)*($C$9-1),2)),$C$7)),"")</f>
        <v/>
      </c>
      <c r="I56" s="56">
        <f>IF(52&lt;=$C$9,DATE(YEAR($C$10),MONTH($C$10)+51,MIN(DAY($C$10),DAY(EOMONTH(DATE(YEAR($C$10),MONTH($C$10)+51,1),0)))),"")</f>
        <v/>
      </c>
      <c r="J56" s="57">
        <f>IF(52&lt;=$C$9,IF(AND(52=1,$C$17="sim"),IF(IF($C$11&lt;&gt;"",$C$11,IFERROR(INDEX(tbAtalhos[Tipo],MATCH($C$6,tbAtalhos[Descrição],0))&amp;"","Despesa"))="Receita","Recebido","Pago"),"Pendente"),"")</f>
        <v/>
      </c>
      <c r="K56" s="57">
        <f>IF(52&lt;=$C$9,IF($C$11&lt;&gt;"",$C$11,IFERROR(INDEX(tbAtalhos[Tipo],MATCH($C$6,tbAtalhos[Descrição],0))&amp;"","Despesa")),"")</f>
        <v/>
      </c>
      <c r="L56" s="57">
        <f>IF(52&lt;=$C$9,IF($C$12&lt;&gt;"",$C$12,IFERROR(INDEX(tbAtalhos[Categoria],MATCH($C$6,tbAtalhos[Descrição],0))&amp;"","")),"")</f>
        <v/>
      </c>
      <c r="M56" s="57">
        <f>IF(52&lt;=$C$9,IF(IF($C$13&lt;&gt;"",$C$13,IFERROR(INDEX(tbAtalhos[Pote],MATCH($C$6,tbAtalhos[Descrição],0))&amp;"",""))&lt;&gt;"",IF($C$13&lt;&gt;"",$C$13,IFERROR(INDEX(tbAtalhos[Pote],MATCH($C$6,tbAtalhos[Descrição],0))&amp;"","")),IFERROR(INDEX(tbCatDespesa[Fundo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6" s="57">
        <f>IF(52&lt;=$C$9,IF(IF($C$14&lt;&gt;"",$C$14,IFERROR(INDEX(tbAtalhos[Quem],MATCH($C$6,tbAtalhos[Descrição],0))&amp;"",""))&lt;&gt;"",IF($C$14&lt;&gt;"",$C$14,IFERROR(INDEX(tbAtalhos[Quem],MATCH($C$6,tbAtalhos[Descrição],0))&amp;"","")),QuemPadrao),"")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6" s="57">
        <f>""</f>
        <v/>
      </c>
      <c r="P56" s="57">
        <f>IF(52&lt;=$C$9,IF($C$15&lt;&gt;"",$C$15,IFERROR(INDEX(tbAtalhos[Conta],MATCH($C$6,tbAtalhos[Descrição],0))&amp;"","")),"")</f>
        <v/>
      </c>
      <c r="Q56" s="57">
        <f>IF(52&lt;=$C$9,IF($C$16&lt;&gt;"",$C$16,IFERROR(INDEX(tbAtalhos[Forma de pagamento],MATCH($C$6,tbAtalhos[Descrição],0))&amp;"","")),"")</f>
        <v/>
      </c>
      <c r="R56" s="4" t="n"/>
      <c r="S56" s="4" t="n"/>
      <c r="T56" s="4" t="n"/>
    </row>
    <row r="57" ht="20" customHeight="1">
      <c r="A57" s="4" t="n"/>
      <c r="B57" s="4" t="n"/>
      <c r="C57" s="4" t="n"/>
      <c r="D57" s="4" t="n"/>
      <c r="E57" s="56">
        <f>IF(53&lt;=$C$9,DATE(YEAR($C$10),MONTH($C$10)+52,MIN(DAY($C$10),DAY(EOMONTH(DATE(YEAR($C$10),MONTH($C$10)+52,1),0)))),"")</f>
        <v/>
      </c>
      <c r="F57" s="57">
        <f>IF(53&lt;=$C$9,$C$6,"")</f>
        <v/>
      </c>
      <c r="G57" s="58">
        <f>IF(AND(53&lt;=$C$9,$C$5="Parcelado"),"53/"&amp;$C$9,"")</f>
        <v/>
      </c>
      <c r="H57" s="59">
        <f>IF(53&lt;=$C$9,IF($C$5="Repetir todo mês",$C$7,IF($C$8="Total da compra",IF(53&lt;$C$9,ROUND($C$7/$C$9,2),ROUND($C$7-ROUND($C$7/$C$9,2)*($C$9-1),2)),$C$7)),"")</f>
        <v/>
      </c>
      <c r="I57" s="56">
        <f>IF(53&lt;=$C$9,DATE(YEAR($C$10),MONTH($C$10)+52,MIN(DAY($C$10),DAY(EOMONTH(DATE(YEAR($C$10),MONTH($C$10)+52,1),0)))),"")</f>
        <v/>
      </c>
      <c r="J57" s="57">
        <f>IF(53&lt;=$C$9,IF(AND(53=1,$C$17="sim"),IF(IF($C$11&lt;&gt;"",$C$11,IFERROR(INDEX(tbAtalhos[Tipo],MATCH($C$6,tbAtalhos[Descrição],0))&amp;"","Despesa"))="Receita","Recebido","Pago"),"Pendente"),"")</f>
        <v/>
      </c>
      <c r="K57" s="57">
        <f>IF(53&lt;=$C$9,IF($C$11&lt;&gt;"",$C$11,IFERROR(INDEX(tbAtalhos[Tipo],MATCH($C$6,tbAtalhos[Descrição],0))&amp;"","Despesa")),"")</f>
        <v/>
      </c>
      <c r="L57" s="57">
        <f>IF(53&lt;=$C$9,IF($C$12&lt;&gt;"",$C$12,IFERROR(INDEX(tbAtalhos[Categoria],MATCH($C$6,tbAtalhos[Descrição],0))&amp;"","")),"")</f>
        <v/>
      </c>
      <c r="M57" s="57">
        <f>IF(53&lt;=$C$9,IF(IF($C$13&lt;&gt;"",$C$13,IFERROR(INDEX(tbAtalhos[Pote],MATCH($C$6,tbAtalhos[Descrição],0))&amp;"",""))&lt;&gt;"",IF($C$13&lt;&gt;"",$C$13,IFERROR(INDEX(tbAtalhos[Pote],MATCH($C$6,tbAtalhos[Descrição],0))&amp;"","")),IFERROR(INDEX(tbCatDespesa[Fundo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7" s="57">
        <f>IF(53&lt;=$C$9,IF(IF($C$14&lt;&gt;"",$C$14,IFERROR(INDEX(tbAtalhos[Quem],MATCH($C$6,tbAtalhos[Descrição],0))&amp;"",""))&lt;&gt;"",IF($C$14&lt;&gt;"",$C$14,IFERROR(INDEX(tbAtalhos[Quem],MATCH($C$6,tbAtalhos[Descrição],0))&amp;"","")),QuemPadrao),"")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7" s="57">
        <f>""</f>
        <v/>
      </c>
      <c r="P57" s="57">
        <f>IF(53&lt;=$C$9,IF($C$15&lt;&gt;"",$C$15,IFERROR(INDEX(tbAtalhos[Conta],MATCH($C$6,tbAtalhos[Descrição],0))&amp;"","")),"")</f>
        <v/>
      </c>
      <c r="Q57" s="57">
        <f>IF(53&lt;=$C$9,IF($C$16&lt;&gt;"",$C$16,IFERROR(INDEX(tbAtalhos[Forma de pagamento],MATCH($C$6,tbAtalhos[Descrição],0))&amp;"","")),"")</f>
        <v/>
      </c>
      <c r="R57" s="4" t="n"/>
      <c r="S57" s="4" t="n"/>
      <c r="T57" s="4" t="n"/>
    </row>
    <row r="58" ht="20" customHeight="1">
      <c r="A58" s="4" t="n"/>
      <c r="B58" s="4" t="n"/>
      <c r="C58" s="4" t="n"/>
      <c r="D58" s="4" t="n"/>
      <c r="E58" s="56">
        <f>IF(54&lt;=$C$9,DATE(YEAR($C$10),MONTH($C$10)+53,MIN(DAY($C$10),DAY(EOMONTH(DATE(YEAR($C$10),MONTH($C$10)+53,1),0)))),"")</f>
        <v/>
      </c>
      <c r="F58" s="57">
        <f>IF(54&lt;=$C$9,$C$6,"")</f>
        <v/>
      </c>
      <c r="G58" s="58">
        <f>IF(AND(54&lt;=$C$9,$C$5="Parcelado"),"54/"&amp;$C$9,"")</f>
        <v/>
      </c>
      <c r="H58" s="59">
        <f>IF(54&lt;=$C$9,IF($C$5="Repetir todo mês",$C$7,IF($C$8="Total da compra",IF(54&lt;$C$9,ROUND($C$7/$C$9,2),ROUND($C$7-ROUND($C$7/$C$9,2)*($C$9-1),2)),$C$7)),"")</f>
        <v/>
      </c>
      <c r="I58" s="56">
        <f>IF(54&lt;=$C$9,DATE(YEAR($C$10),MONTH($C$10)+53,MIN(DAY($C$10),DAY(EOMONTH(DATE(YEAR($C$10),MONTH($C$10)+53,1),0)))),"")</f>
        <v/>
      </c>
      <c r="J58" s="57">
        <f>IF(54&lt;=$C$9,IF(AND(54=1,$C$17="sim"),IF(IF($C$11&lt;&gt;"",$C$11,IFERROR(INDEX(tbAtalhos[Tipo],MATCH($C$6,tbAtalhos[Descrição],0))&amp;"","Despesa"))="Receita","Recebido","Pago"),"Pendente"),"")</f>
        <v/>
      </c>
      <c r="K58" s="57">
        <f>IF(54&lt;=$C$9,IF($C$11&lt;&gt;"",$C$11,IFERROR(INDEX(tbAtalhos[Tipo],MATCH($C$6,tbAtalhos[Descrição],0))&amp;"","Despesa")),"")</f>
        <v/>
      </c>
      <c r="L58" s="57">
        <f>IF(54&lt;=$C$9,IF($C$12&lt;&gt;"",$C$12,IFERROR(INDEX(tbAtalhos[Categoria],MATCH($C$6,tbAtalhos[Descrição],0))&amp;"","")),"")</f>
        <v/>
      </c>
      <c r="M58" s="57">
        <f>IF(54&lt;=$C$9,IF(IF($C$13&lt;&gt;"",$C$13,IFERROR(INDEX(tbAtalhos[Pote],MATCH($C$6,tbAtalhos[Descrição],0))&amp;"",""))&lt;&gt;"",IF($C$13&lt;&gt;"",$C$13,IFERROR(INDEX(tbAtalhos[Pote],MATCH($C$6,tbAtalhos[Descrição],0))&amp;"","")),IFERROR(INDEX(tbCatDespesa[Fundo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8" s="57">
        <f>IF(54&lt;=$C$9,IF(IF($C$14&lt;&gt;"",$C$14,IFERROR(INDEX(tbAtalhos[Quem],MATCH($C$6,tbAtalhos[Descrição],0))&amp;"",""))&lt;&gt;"",IF($C$14&lt;&gt;"",$C$14,IFERROR(INDEX(tbAtalhos[Quem],MATCH($C$6,tbAtalhos[Descrição],0))&amp;"","")),QuemPadrao),"")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8" s="57">
        <f>""</f>
        <v/>
      </c>
      <c r="P58" s="57">
        <f>IF(54&lt;=$C$9,IF($C$15&lt;&gt;"",$C$15,IFERROR(INDEX(tbAtalhos[Conta],MATCH($C$6,tbAtalhos[Descrição],0))&amp;"","")),"")</f>
        <v/>
      </c>
      <c r="Q58" s="57">
        <f>IF(54&lt;=$C$9,IF($C$16&lt;&gt;"",$C$16,IFERROR(INDEX(tbAtalhos[Forma de pagamento],MATCH($C$6,tbAtalhos[Descrição],0))&amp;"","")),"")</f>
        <v/>
      </c>
      <c r="R58" s="4" t="n"/>
      <c r="S58" s="4" t="n"/>
      <c r="T58" s="4" t="n"/>
    </row>
    <row r="59" ht="20" customHeight="1">
      <c r="A59" s="4" t="n"/>
      <c r="B59" s="4" t="n"/>
      <c r="C59" s="4" t="n"/>
      <c r="D59" s="4" t="n"/>
      <c r="E59" s="56">
        <f>IF(55&lt;=$C$9,DATE(YEAR($C$10),MONTH($C$10)+54,MIN(DAY($C$10),DAY(EOMONTH(DATE(YEAR($C$10),MONTH($C$10)+54,1),0)))),"")</f>
        <v/>
      </c>
      <c r="F59" s="57">
        <f>IF(55&lt;=$C$9,$C$6,"")</f>
        <v/>
      </c>
      <c r="G59" s="58">
        <f>IF(AND(55&lt;=$C$9,$C$5="Parcelado"),"55/"&amp;$C$9,"")</f>
        <v/>
      </c>
      <c r="H59" s="59">
        <f>IF(55&lt;=$C$9,IF($C$5="Repetir todo mês",$C$7,IF($C$8="Total da compra",IF(55&lt;$C$9,ROUND($C$7/$C$9,2),ROUND($C$7-ROUND($C$7/$C$9,2)*($C$9-1),2)),$C$7)),"")</f>
        <v/>
      </c>
      <c r="I59" s="56">
        <f>IF(55&lt;=$C$9,DATE(YEAR($C$10),MONTH($C$10)+54,MIN(DAY($C$10),DAY(EOMONTH(DATE(YEAR($C$10),MONTH($C$10)+54,1),0)))),"")</f>
        <v/>
      </c>
      <c r="J59" s="57">
        <f>IF(55&lt;=$C$9,IF(AND(55=1,$C$17="sim"),IF(IF($C$11&lt;&gt;"",$C$11,IFERROR(INDEX(tbAtalhos[Tipo],MATCH($C$6,tbAtalhos[Descrição],0))&amp;"","Despesa"))="Receita","Recebido","Pago"),"Pendente"),"")</f>
        <v/>
      </c>
      <c r="K59" s="57">
        <f>IF(55&lt;=$C$9,IF($C$11&lt;&gt;"",$C$11,IFERROR(INDEX(tbAtalhos[Tipo],MATCH($C$6,tbAtalhos[Descrição],0))&amp;"","Despesa")),"")</f>
        <v/>
      </c>
      <c r="L59" s="57">
        <f>IF(55&lt;=$C$9,IF($C$12&lt;&gt;"",$C$12,IFERROR(INDEX(tbAtalhos[Categoria],MATCH($C$6,tbAtalhos[Descrição],0))&amp;"","")),"")</f>
        <v/>
      </c>
      <c r="M59" s="57">
        <f>IF(55&lt;=$C$9,IF(IF($C$13&lt;&gt;"",$C$13,IFERROR(INDEX(tbAtalhos[Pote],MATCH($C$6,tbAtalhos[Descrição],0))&amp;"",""))&lt;&gt;"",IF($C$13&lt;&gt;"",$C$13,IFERROR(INDEX(tbAtalhos[Pote],MATCH($C$6,tbAtalhos[Descrição],0))&amp;"","")),IFERROR(INDEX(tbCatDespesa[Fundo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59" s="57">
        <f>IF(55&lt;=$C$9,IF(IF($C$14&lt;&gt;"",$C$14,IFERROR(INDEX(tbAtalhos[Quem],MATCH($C$6,tbAtalhos[Descrição],0))&amp;"",""))&lt;&gt;"",IF($C$14&lt;&gt;"",$C$14,IFERROR(INDEX(tbAtalhos[Quem],MATCH($C$6,tbAtalhos[Descrição],0))&amp;"","")),QuemPadrao),"")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59" s="57">
        <f>""</f>
        <v/>
      </c>
      <c r="P59" s="57">
        <f>IF(55&lt;=$C$9,IF($C$15&lt;&gt;"",$C$15,IFERROR(INDEX(tbAtalhos[Conta],MATCH($C$6,tbAtalhos[Descrição],0))&amp;"","")),"")</f>
        <v/>
      </c>
      <c r="Q59" s="57">
        <f>IF(55&lt;=$C$9,IF($C$16&lt;&gt;"",$C$16,IFERROR(INDEX(tbAtalhos[Forma de pagamento],MATCH($C$6,tbAtalhos[Descrição],0))&amp;"","")),"")</f>
        <v/>
      </c>
      <c r="R59" s="4" t="n"/>
      <c r="S59" s="4" t="n"/>
      <c r="T59" s="4" t="n"/>
    </row>
    <row r="60" ht="20" customHeight="1">
      <c r="A60" s="4" t="n"/>
      <c r="B60" s="4" t="n"/>
      <c r="C60" s="4" t="n"/>
      <c r="D60" s="4" t="n"/>
      <c r="E60" s="56">
        <f>IF(56&lt;=$C$9,DATE(YEAR($C$10),MONTH($C$10)+55,MIN(DAY($C$10),DAY(EOMONTH(DATE(YEAR($C$10),MONTH($C$10)+55,1),0)))),"")</f>
        <v/>
      </c>
      <c r="F60" s="57">
        <f>IF(56&lt;=$C$9,$C$6,"")</f>
        <v/>
      </c>
      <c r="G60" s="58">
        <f>IF(AND(56&lt;=$C$9,$C$5="Parcelado"),"56/"&amp;$C$9,"")</f>
        <v/>
      </c>
      <c r="H60" s="59">
        <f>IF(56&lt;=$C$9,IF($C$5="Repetir todo mês",$C$7,IF($C$8="Total da compra",IF(56&lt;$C$9,ROUND($C$7/$C$9,2),ROUND($C$7-ROUND($C$7/$C$9,2)*($C$9-1),2)),$C$7)),"")</f>
        <v/>
      </c>
      <c r="I60" s="56">
        <f>IF(56&lt;=$C$9,DATE(YEAR($C$10),MONTH($C$10)+55,MIN(DAY($C$10),DAY(EOMONTH(DATE(YEAR($C$10),MONTH($C$10)+55,1),0)))),"")</f>
        <v/>
      </c>
      <c r="J60" s="57">
        <f>IF(56&lt;=$C$9,IF(AND(56=1,$C$17="sim"),IF(IF($C$11&lt;&gt;"",$C$11,IFERROR(INDEX(tbAtalhos[Tipo],MATCH($C$6,tbAtalhos[Descrição],0))&amp;"","Despesa"))="Receita","Recebido","Pago"),"Pendente"),"")</f>
        <v/>
      </c>
      <c r="K60" s="57">
        <f>IF(56&lt;=$C$9,IF($C$11&lt;&gt;"",$C$11,IFERROR(INDEX(tbAtalhos[Tipo],MATCH($C$6,tbAtalhos[Descrição],0))&amp;"","Despesa")),"")</f>
        <v/>
      </c>
      <c r="L60" s="57">
        <f>IF(56&lt;=$C$9,IF($C$12&lt;&gt;"",$C$12,IFERROR(INDEX(tbAtalhos[Categoria],MATCH($C$6,tbAtalhos[Descrição],0))&amp;"","")),"")</f>
        <v/>
      </c>
      <c r="M60" s="57">
        <f>IF(56&lt;=$C$9,IF(IF($C$13&lt;&gt;"",$C$13,IFERROR(INDEX(tbAtalhos[Pote],MATCH($C$6,tbAtalhos[Descrição],0))&amp;"",""))&lt;&gt;"",IF($C$13&lt;&gt;"",$C$13,IFERROR(INDEX(tbAtalhos[Pote],MATCH($C$6,tbAtalhos[Descrição],0))&amp;"","")),IFERROR(INDEX(tbCatDespesa[Fundo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0" s="57">
        <f>IF(56&lt;=$C$9,IF(IF($C$14&lt;&gt;"",$C$14,IFERROR(INDEX(tbAtalhos[Quem],MATCH($C$6,tbAtalhos[Descrição],0))&amp;"",""))&lt;&gt;"",IF($C$14&lt;&gt;"",$C$14,IFERROR(INDEX(tbAtalhos[Quem],MATCH($C$6,tbAtalhos[Descrição],0))&amp;"","")),QuemPadrao),"")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0" s="57">
        <f>""</f>
        <v/>
      </c>
      <c r="P60" s="57">
        <f>IF(56&lt;=$C$9,IF($C$15&lt;&gt;"",$C$15,IFERROR(INDEX(tbAtalhos[Conta],MATCH($C$6,tbAtalhos[Descrição],0))&amp;"","")),"")</f>
        <v/>
      </c>
      <c r="Q60" s="57">
        <f>IF(56&lt;=$C$9,IF($C$16&lt;&gt;"",$C$16,IFERROR(INDEX(tbAtalhos[Forma de pagamento],MATCH($C$6,tbAtalhos[Descrição],0))&amp;"","")),"")</f>
        <v/>
      </c>
      <c r="R60" s="4" t="n"/>
      <c r="S60" s="4" t="n"/>
      <c r="T60" s="4" t="n"/>
    </row>
    <row r="61" ht="20" customHeight="1">
      <c r="A61" s="4" t="n"/>
      <c r="B61" s="4" t="n"/>
      <c r="C61" s="4" t="n"/>
      <c r="D61" s="4" t="n"/>
      <c r="E61" s="56">
        <f>IF(57&lt;=$C$9,DATE(YEAR($C$10),MONTH($C$10)+56,MIN(DAY($C$10),DAY(EOMONTH(DATE(YEAR($C$10),MONTH($C$10)+56,1),0)))),"")</f>
        <v/>
      </c>
      <c r="F61" s="57">
        <f>IF(57&lt;=$C$9,$C$6,"")</f>
        <v/>
      </c>
      <c r="G61" s="58">
        <f>IF(AND(57&lt;=$C$9,$C$5="Parcelado"),"57/"&amp;$C$9,"")</f>
        <v/>
      </c>
      <c r="H61" s="59">
        <f>IF(57&lt;=$C$9,IF($C$5="Repetir todo mês",$C$7,IF($C$8="Total da compra",IF(57&lt;$C$9,ROUND($C$7/$C$9,2),ROUND($C$7-ROUND($C$7/$C$9,2)*($C$9-1),2)),$C$7)),"")</f>
        <v/>
      </c>
      <c r="I61" s="56">
        <f>IF(57&lt;=$C$9,DATE(YEAR($C$10),MONTH($C$10)+56,MIN(DAY($C$10),DAY(EOMONTH(DATE(YEAR($C$10),MONTH($C$10)+56,1),0)))),"")</f>
        <v/>
      </c>
      <c r="J61" s="57">
        <f>IF(57&lt;=$C$9,IF(AND(57=1,$C$17="sim"),IF(IF($C$11&lt;&gt;"",$C$11,IFERROR(INDEX(tbAtalhos[Tipo],MATCH($C$6,tbAtalhos[Descrição],0))&amp;"","Despesa"))="Receita","Recebido","Pago"),"Pendente"),"")</f>
        <v/>
      </c>
      <c r="K61" s="57">
        <f>IF(57&lt;=$C$9,IF($C$11&lt;&gt;"",$C$11,IFERROR(INDEX(tbAtalhos[Tipo],MATCH($C$6,tbAtalhos[Descrição],0))&amp;"","Despesa")),"")</f>
        <v/>
      </c>
      <c r="L61" s="57">
        <f>IF(57&lt;=$C$9,IF($C$12&lt;&gt;"",$C$12,IFERROR(INDEX(tbAtalhos[Categoria],MATCH($C$6,tbAtalhos[Descrição],0))&amp;"","")),"")</f>
        <v/>
      </c>
      <c r="M61" s="57">
        <f>IF(57&lt;=$C$9,IF(IF($C$13&lt;&gt;"",$C$13,IFERROR(INDEX(tbAtalhos[Pote],MATCH($C$6,tbAtalhos[Descrição],0))&amp;"",""))&lt;&gt;"",IF($C$13&lt;&gt;"",$C$13,IFERROR(INDEX(tbAtalhos[Pote],MATCH($C$6,tbAtalhos[Descrição],0))&amp;"","")),IFERROR(INDEX(tbCatDespesa[Fundo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1" s="57">
        <f>IF(57&lt;=$C$9,IF(IF($C$14&lt;&gt;"",$C$14,IFERROR(INDEX(tbAtalhos[Quem],MATCH($C$6,tbAtalhos[Descrição],0))&amp;"",""))&lt;&gt;"",IF($C$14&lt;&gt;"",$C$14,IFERROR(INDEX(tbAtalhos[Quem],MATCH($C$6,tbAtalhos[Descrição],0))&amp;"","")),QuemPadrao),"")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1" s="57">
        <f>""</f>
        <v/>
      </c>
      <c r="P61" s="57">
        <f>IF(57&lt;=$C$9,IF($C$15&lt;&gt;"",$C$15,IFERROR(INDEX(tbAtalhos[Conta],MATCH($C$6,tbAtalhos[Descrição],0))&amp;"","")),"")</f>
        <v/>
      </c>
      <c r="Q61" s="57">
        <f>IF(57&lt;=$C$9,IF($C$16&lt;&gt;"",$C$16,IFERROR(INDEX(tbAtalhos[Forma de pagamento],MATCH($C$6,tbAtalhos[Descrição],0))&amp;"","")),"")</f>
        <v/>
      </c>
      <c r="R61" s="4" t="n"/>
      <c r="S61" s="4" t="n"/>
      <c r="T61" s="4" t="n"/>
    </row>
    <row r="62" ht="20" customHeight="1">
      <c r="A62" s="4" t="n"/>
      <c r="B62" s="4" t="n"/>
      <c r="C62" s="4" t="n"/>
      <c r="D62" s="4" t="n"/>
      <c r="E62" s="56">
        <f>IF(58&lt;=$C$9,DATE(YEAR($C$10),MONTH($C$10)+57,MIN(DAY($C$10),DAY(EOMONTH(DATE(YEAR($C$10),MONTH($C$10)+57,1),0)))),"")</f>
        <v/>
      </c>
      <c r="F62" s="57">
        <f>IF(58&lt;=$C$9,$C$6,"")</f>
        <v/>
      </c>
      <c r="G62" s="58">
        <f>IF(AND(58&lt;=$C$9,$C$5="Parcelado"),"58/"&amp;$C$9,"")</f>
        <v/>
      </c>
      <c r="H62" s="59">
        <f>IF(58&lt;=$C$9,IF($C$5="Repetir todo mês",$C$7,IF($C$8="Total da compra",IF(58&lt;$C$9,ROUND($C$7/$C$9,2),ROUND($C$7-ROUND($C$7/$C$9,2)*($C$9-1),2)),$C$7)),"")</f>
        <v/>
      </c>
      <c r="I62" s="56">
        <f>IF(58&lt;=$C$9,DATE(YEAR($C$10),MONTH($C$10)+57,MIN(DAY($C$10),DAY(EOMONTH(DATE(YEAR($C$10),MONTH($C$10)+57,1),0)))),"")</f>
        <v/>
      </c>
      <c r="J62" s="57">
        <f>IF(58&lt;=$C$9,IF(AND(58=1,$C$17="sim"),IF(IF($C$11&lt;&gt;"",$C$11,IFERROR(INDEX(tbAtalhos[Tipo],MATCH($C$6,tbAtalhos[Descrição],0))&amp;"","Despesa"))="Receita","Recebido","Pago"),"Pendente"),"")</f>
        <v/>
      </c>
      <c r="K62" s="57">
        <f>IF(58&lt;=$C$9,IF($C$11&lt;&gt;"",$C$11,IFERROR(INDEX(tbAtalhos[Tipo],MATCH($C$6,tbAtalhos[Descrição],0))&amp;"","Despesa")),"")</f>
        <v/>
      </c>
      <c r="L62" s="57">
        <f>IF(58&lt;=$C$9,IF($C$12&lt;&gt;"",$C$12,IFERROR(INDEX(tbAtalhos[Categoria],MATCH($C$6,tbAtalhos[Descrição],0))&amp;"","")),"")</f>
        <v/>
      </c>
      <c r="M62" s="57">
        <f>IF(58&lt;=$C$9,IF(IF($C$13&lt;&gt;"",$C$13,IFERROR(INDEX(tbAtalhos[Pote],MATCH($C$6,tbAtalhos[Descrição],0))&amp;"",""))&lt;&gt;"",IF($C$13&lt;&gt;"",$C$13,IFERROR(INDEX(tbAtalhos[Pote],MATCH($C$6,tbAtalhos[Descrição],0))&amp;"","")),IFERROR(INDEX(tbCatDespesa[Fundo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2" s="57">
        <f>IF(58&lt;=$C$9,IF(IF($C$14&lt;&gt;"",$C$14,IFERROR(INDEX(tbAtalhos[Quem],MATCH($C$6,tbAtalhos[Descrição],0))&amp;"",""))&lt;&gt;"",IF($C$14&lt;&gt;"",$C$14,IFERROR(INDEX(tbAtalhos[Quem],MATCH($C$6,tbAtalhos[Descrição],0))&amp;"","")),QuemPadrao),"")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2" s="57">
        <f>""</f>
        <v/>
      </c>
      <c r="P62" s="57">
        <f>IF(58&lt;=$C$9,IF($C$15&lt;&gt;"",$C$15,IFERROR(INDEX(tbAtalhos[Conta],MATCH($C$6,tbAtalhos[Descrição],0))&amp;"","")),"")</f>
        <v/>
      </c>
      <c r="Q62" s="57">
        <f>IF(58&lt;=$C$9,IF($C$16&lt;&gt;"",$C$16,IFERROR(INDEX(tbAtalhos[Forma de pagamento],MATCH($C$6,tbAtalhos[Descrição],0))&amp;"","")),"")</f>
        <v/>
      </c>
      <c r="R62" s="4" t="n"/>
      <c r="S62" s="4" t="n"/>
      <c r="T62" s="4" t="n"/>
    </row>
    <row r="63" ht="20" customHeight="1">
      <c r="A63" s="4" t="n"/>
      <c r="B63" s="4" t="n"/>
      <c r="C63" s="4" t="n"/>
      <c r="D63" s="4" t="n"/>
      <c r="E63" s="56">
        <f>IF(59&lt;=$C$9,DATE(YEAR($C$10),MONTH($C$10)+58,MIN(DAY($C$10),DAY(EOMONTH(DATE(YEAR($C$10),MONTH($C$10)+58,1),0)))),"")</f>
        <v/>
      </c>
      <c r="F63" s="57">
        <f>IF(59&lt;=$C$9,$C$6,"")</f>
        <v/>
      </c>
      <c r="G63" s="58">
        <f>IF(AND(59&lt;=$C$9,$C$5="Parcelado"),"59/"&amp;$C$9,"")</f>
        <v/>
      </c>
      <c r="H63" s="59">
        <f>IF(59&lt;=$C$9,IF($C$5="Repetir todo mês",$C$7,IF($C$8="Total da compra",IF(59&lt;$C$9,ROUND($C$7/$C$9,2),ROUND($C$7-ROUND($C$7/$C$9,2)*($C$9-1),2)),$C$7)),"")</f>
        <v/>
      </c>
      <c r="I63" s="56">
        <f>IF(59&lt;=$C$9,DATE(YEAR($C$10),MONTH($C$10)+58,MIN(DAY($C$10),DAY(EOMONTH(DATE(YEAR($C$10),MONTH($C$10)+58,1),0)))),"")</f>
        <v/>
      </c>
      <c r="J63" s="57">
        <f>IF(59&lt;=$C$9,IF(AND(59=1,$C$17="sim"),IF(IF($C$11&lt;&gt;"",$C$11,IFERROR(INDEX(tbAtalhos[Tipo],MATCH($C$6,tbAtalhos[Descrição],0))&amp;"","Despesa"))="Receita","Recebido","Pago"),"Pendente"),"")</f>
        <v/>
      </c>
      <c r="K63" s="57">
        <f>IF(59&lt;=$C$9,IF($C$11&lt;&gt;"",$C$11,IFERROR(INDEX(tbAtalhos[Tipo],MATCH($C$6,tbAtalhos[Descrição],0))&amp;"","Despesa")),"")</f>
        <v/>
      </c>
      <c r="L63" s="57">
        <f>IF(59&lt;=$C$9,IF($C$12&lt;&gt;"",$C$12,IFERROR(INDEX(tbAtalhos[Categoria],MATCH($C$6,tbAtalhos[Descrição],0))&amp;"","")),"")</f>
        <v/>
      </c>
      <c r="M63" s="57">
        <f>IF(59&lt;=$C$9,IF(IF($C$13&lt;&gt;"",$C$13,IFERROR(INDEX(tbAtalhos[Pote],MATCH($C$6,tbAtalhos[Descrição],0))&amp;"",""))&lt;&gt;"",IF($C$13&lt;&gt;"",$C$13,IFERROR(INDEX(tbAtalhos[Pote],MATCH($C$6,tbAtalhos[Descrição],0))&amp;"","")),IFERROR(INDEX(tbCatDespesa[Fundo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3" s="57">
        <f>IF(59&lt;=$C$9,IF(IF($C$14&lt;&gt;"",$C$14,IFERROR(INDEX(tbAtalhos[Quem],MATCH($C$6,tbAtalhos[Descrição],0))&amp;"",""))&lt;&gt;"",IF($C$14&lt;&gt;"",$C$14,IFERROR(INDEX(tbAtalhos[Quem],MATCH($C$6,tbAtalhos[Descrição],0))&amp;"","")),QuemPadrao),"")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3" s="57">
        <f>""</f>
        <v/>
      </c>
      <c r="P63" s="57">
        <f>IF(59&lt;=$C$9,IF($C$15&lt;&gt;"",$C$15,IFERROR(INDEX(tbAtalhos[Conta],MATCH($C$6,tbAtalhos[Descrição],0))&amp;"","")),"")</f>
        <v/>
      </c>
      <c r="Q63" s="57">
        <f>IF(59&lt;=$C$9,IF($C$16&lt;&gt;"",$C$16,IFERROR(INDEX(tbAtalhos[Forma de pagamento],MATCH($C$6,tbAtalhos[Descrição],0))&amp;"","")),"")</f>
        <v/>
      </c>
      <c r="R63" s="4" t="n"/>
      <c r="S63" s="4" t="n"/>
      <c r="T63" s="4" t="n"/>
    </row>
    <row r="64" ht="20" customHeight="1">
      <c r="A64" s="4" t="n"/>
      <c r="B64" s="4" t="n"/>
      <c r="C64" s="4" t="n"/>
      <c r="D64" s="4" t="n"/>
      <c r="E64" s="56">
        <f>IF(60&lt;=$C$9,DATE(YEAR($C$10),MONTH($C$10)+59,MIN(DAY($C$10),DAY(EOMONTH(DATE(YEAR($C$10),MONTH($C$10)+59,1),0)))),"")</f>
        <v/>
      </c>
      <c r="F64" s="57">
        <f>IF(60&lt;=$C$9,$C$6,"")</f>
        <v/>
      </c>
      <c r="G64" s="58">
        <f>IF(AND(60&lt;=$C$9,$C$5="Parcelado"),"60/"&amp;$C$9,"")</f>
        <v/>
      </c>
      <c r="H64" s="59">
        <f>IF(60&lt;=$C$9,IF($C$5="Repetir todo mês",$C$7,IF($C$8="Total da compra",IF(60&lt;$C$9,ROUND($C$7/$C$9,2),ROUND($C$7-ROUND($C$7/$C$9,2)*($C$9-1),2)),$C$7)),"")</f>
        <v/>
      </c>
      <c r="I64" s="56">
        <f>IF(60&lt;=$C$9,DATE(YEAR($C$10),MONTH($C$10)+59,MIN(DAY($C$10),DAY(EOMONTH(DATE(YEAR($C$10),MONTH($C$10)+59,1),0)))),"")</f>
        <v/>
      </c>
      <c r="J64" s="57">
        <f>IF(60&lt;=$C$9,IF(AND(60=1,$C$17="sim"),IF(IF($C$11&lt;&gt;"",$C$11,IFERROR(INDEX(tbAtalhos[Tipo],MATCH($C$6,tbAtalhos[Descrição],0))&amp;"","Despesa"))="Receita","Recebido","Pago"),"Pendente"),"")</f>
        <v/>
      </c>
      <c r="K64" s="57">
        <f>IF(60&lt;=$C$9,IF($C$11&lt;&gt;"",$C$11,IFERROR(INDEX(tbAtalhos[Tipo],MATCH($C$6,tbAtalhos[Descrição],0))&amp;"","Despesa")),"")</f>
        <v/>
      </c>
      <c r="L64" s="57">
        <f>IF(60&lt;=$C$9,IF($C$12&lt;&gt;"",$C$12,IFERROR(INDEX(tbAtalhos[Categoria],MATCH($C$6,tbAtalhos[Descrição],0))&amp;"","")),"")</f>
        <v/>
      </c>
      <c r="M64" s="57">
        <f>IF(60&lt;=$C$9,IF(IF($C$13&lt;&gt;"",$C$13,IFERROR(INDEX(tbAtalhos[Pote],MATCH($C$6,tbAtalhos[Descrição],0))&amp;"",""))&lt;&gt;"",IF($C$13&lt;&gt;"",$C$13,IFERROR(INDEX(tbAtalhos[Pote],MATCH($C$6,tbAtalhos[Descrição],0))&amp;"","")),IFERROR(INDEX(tbCatDespesa[Fundo padrão],MATCH(IF($C$12&lt;&gt;"",$C$12,IFERROR(INDEX(tbAtalhos[Categoria],MATCH($C$6,tbAtalhos[Descrição],0))&amp;"","")),tbCatDespesa[Categoria de gasto],0))&amp;"","")),"")</f>
        <v/>
      </c>
      <c r="N64" s="57">
        <f>IF(60&lt;=$C$9,IF(IF($C$14&lt;&gt;"",$C$14,IFERROR(INDEX(tbAtalhos[Quem],MATCH($C$6,tbAtalhos[Descrição],0))&amp;"",""))&lt;&gt;"",IF($C$14&lt;&gt;"",$C$14,IFERROR(INDEX(tbAtalhos[Quem],MATCH($C$6,tbAtalhos[Descrição],0))&amp;"","")),QuemPadrao),"")</f>
        <v/>
      </c>
      <c r="O64" s="57">
        <f>""</f>
        <v/>
      </c>
      <c r="P64" s="57">
        <f>IF(60&lt;=$C$9,IF($C$15&lt;&gt;"",$C$15,IFERROR(INDEX(tbAtalhos[Conta],MATCH($C$6,tbAtalhos[Descrição],0))&amp;"","")),"")</f>
        <v/>
      </c>
      <c r="Q64" s="57">
        <f>IF(60&lt;=$C$9,IF($C$16&lt;&gt;"",$C$16,IFERROR(INDEX(tbAtalhos[Forma de pagamento],MATCH($C$6,tbAtalhos[Descrição],0))&amp;"","")),"")</f>
        <v/>
      </c>
      <c r="R64" s="4" t="n"/>
      <c r="S64" s="4" t="n"/>
      <c r="T64" s="4" t="n"/>
    </row>
  </sheetData>
  <mergeCells count="1">
    <mergeCell ref="E2:I2"/>
  </mergeCells>
  <dataValidations count="11">
    <dataValidation sqref="C5" showDropDown="0" showInputMessage="1" showErrorMessage="1" allowBlank="1" prompt="Parcelado: divide em parcelas 1/n, 2/n...  Repetir: o mesmo valor todo mês (aluguel, mesada, assinatura)." type="list">
      <formula1>"Parcelado,Repetir todo mês"</formula1>
    </dataValidation>
    <dataValidation sqref="C6" showDropDown="0" showInputMessage="1" showErrorMessage="0" allowBlank="1" prompt="Pode escolher um favorito: tipo, categoria e pote vêm dele se ficarem vazios abaixo." type="list">
      <formula1>=ListaFavoritos</formula1>
    </dataValidation>
    <dataValidation sqref="C8" showDropDown="0" showInputMessage="0" showErrorMessage="1" allowBlank="1" type="list">
      <formula1>"Total da compra,Valor de cada parcela"</formula1>
    </dataValidation>
    <dataValidation sqref="C11" showDropDown="0" showInputMessage="0" showErrorMessage="0" allowBlank="1" type="list">
      <formula1>=Tipos</formula1>
    </dataValidation>
    <dataValidation sqref="C12" showDropDown="0" showInputMessage="0" showErrorMessage="0" allowBlank="1" type="list">
      <formula1>=Categorias</formula1>
    </dataValidation>
    <dataValidation sqref="C13" showDropDown="0" showInputMessage="0" showErrorMessage="0" allowBlank="1" type="list">
      <formula1>=Potes</formula1>
    </dataValidation>
    <dataValidation sqref="C14" showDropDown="0" showInputMessage="0" showErrorMessage="0" allowBlank="1" type="list">
      <formula1>=Pessoas</formula1>
    </dataValidation>
    <dataValidation sqref="C15" showDropDown="0" showInputMessage="0" showErrorMessage="0" allowBlank="1" type="list">
      <formula1>=Contas</formula1>
    </dataValidation>
    <dataValidation sqref="C16" showDropDown="0" showInputMessage="0" showErrorMessage="0" allowBlank="1" type="list">
      <formula1>=FormasPagamento</formula1>
    </dataValidation>
    <dataValidation sqref="C17" showDropDown="0" showInputMessage="1" showErrorMessage="1" allowBlank="1" prompt="sim: a 1ª entra como Pago; as demais como Pendente." type="list">
      <formula1>"sim,não"</formula1>
    </dataValidation>
    <dataValidation sqref="C9" showDropDown="0" showInputMessage="0" showErrorMessage="1" allowBlank="0" errorTitle="Nº de parcelas" error="Use de 1 a 60." type="whole" operator="between">
      <formula1>1</formula1>
      <formula2>60</formula2>
    </dataValidation>
  </dataValidations>
  <pageMargins left="0.3" right="0.3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S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3" customWidth="1" min="17" max="17"/>
    <col width="26" customWidth="1" min="18" max="18"/>
    <col width="19" customWidth="1" min="19" max="19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30" customHeight="1">
      <c r="A2" s="4" t="n"/>
      <c r="B2" s="41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53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53" t="inlineStr">
        <is>
          <t>CARTEIRA</t>
        </is>
      </c>
      <c r="S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64" t="n"/>
      <c r="S5" s="64" t="n"/>
    </row>
    <row r="6" ht="22" customHeight="1">
      <c r="A6" s="4" t="n"/>
      <c r="B6" s="65" t="inlineStr">
        <is>
          <t>Reserva</t>
        </is>
      </c>
      <c r="C6" s="66" t="n">
        <v>0.8</v>
      </c>
      <c r="D6" s="67" t="n"/>
      <c r="E6" s="26">
        <f>IF(SUM(tbPotesSaldo[Guardado])&gt;0,N(tbPotesSaldo[[#This Row],[Guardado]])/SUM(tbPotesSaldo[Guardado]),0)</f>
        <v/>
      </c>
      <c r="F6" s="68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6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54" t="inlineStr">
        <is>
          <t>Carteira hoje (bruto)</t>
        </is>
      </c>
      <c r="S6" s="69">
        <f>SUM(tbInvestimentos[Saldo hoje])</f>
        <v/>
      </c>
    </row>
    <row r="7" ht="22" customHeight="1">
      <c r="A7" s="4" t="n"/>
      <c r="B7" s="65" t="inlineStr">
        <is>
          <t>Lazer</t>
        </is>
      </c>
      <c r="C7" s="66" t="n">
        <v>0.2</v>
      </c>
      <c r="D7" s="67" t="n"/>
      <c r="E7" s="26">
        <f>IF(SUM(tbPotesSaldo[Guardado])&gt;0,N(tbPotesSaldo[[#This Row],[Guardado]])/SUM(tbPotesSaldo[Guardado]),0)</f>
        <v/>
      </c>
      <c r="F7" s="68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6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54" t="inlineStr">
        <is>
          <t>IR se resgatar hoje</t>
        </is>
      </c>
      <c r="S7" s="70">
        <f>SUM(tbInvestimentos[IR])</f>
        <v/>
      </c>
    </row>
    <row r="8" ht="22" customHeight="1">
      <c r="A8" s="4" t="n"/>
      <c r="B8" s="71" t="inlineStr">
        <is>
          <t>Total</t>
        </is>
      </c>
      <c r="C8" s="72">
        <f>SUBTOTAL(109,tbPotesSaldo[% alvo])</f>
        <v/>
      </c>
      <c r="D8" s="73">
        <f>SUBTOTAL(109,tbPotesSaldo[Guardado])</f>
        <v/>
      </c>
      <c r="E8" s="72">
        <f>SUBTOTAL(109,tbPotesSaldo[% real])</f>
        <v/>
      </c>
      <c r="F8" s="71" t="n"/>
      <c r="G8" s="73">
        <f>SUBTOTAL(109,tbPotesSaldo[Gasto no ano])</f>
        <v/>
      </c>
      <c r="H8" s="73">
        <f>SUBTOTAL(109,tbPotesSaldo[Gasto no mês])</f>
        <v/>
      </c>
      <c r="I8" s="71" t="n"/>
      <c r="J8" s="4" t="n"/>
      <c r="K8" s="4" t="n"/>
      <c r="L8" s="4" t="n"/>
      <c r="M8" s="4" t="n"/>
      <c r="N8" s="4" t="n"/>
      <c r="O8" s="4" t="n"/>
      <c r="P8" s="4" t="n"/>
      <c r="Q8" s="4" t="n"/>
      <c r="R8" s="54" t="inlineStr">
        <is>
          <t>Líquido</t>
        </is>
      </c>
      <c r="S8" s="69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54" t="inlineStr">
        <is>
          <t>Total aplicado (ativos)</t>
        </is>
      </c>
      <c r="S9" s="70">
        <f>SUMIFS(tbInvestimentos[Aplicado],tbInvestimentos[Resgatado],"&lt;&gt;sim")</f>
        <v/>
      </c>
    </row>
    <row r="10" ht="22" customHeight="1">
      <c r="A10" s="4" t="n"/>
      <c r="B10" s="33" t="inlineStr">
        <is>
          <t>Preencha quanto está guardado em cada pote.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54" t="inlineStr">
        <is>
          <t>Rendimento bruto</t>
        </is>
      </c>
      <c r="S10" s="69">
        <f>S6-S9</f>
        <v/>
      </c>
    </row>
    <row r="11" ht="22" customHeight="1">
      <c r="A11" s="4" t="n"/>
      <c r="B11" s="74">
        <f>"Gastos do ano sem pote: "</f>
        <v/>
      </c>
      <c r="C11" s="4" t="n"/>
      <c r="D11" s="75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54" t="inlineStr">
        <is>
          <t>Rentabilidade sobre o aplicado</t>
        </is>
      </c>
      <c r="S11" s="76">
        <f>IF(S9&gt;0,S10/S9,0)</f>
        <v/>
      </c>
    </row>
    <row r="12" ht="22" customHeight="1">
      <c r="A12" s="4" t="n"/>
      <c r="B12" s="33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54" t="inlineStr">
        <is>
          <t>CDI hoje (aba Planos)</t>
        </is>
      </c>
      <c r="S12" s="77">
        <f>CDI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53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33" t="inlineStr">
        <is>
          <t>Reaplicação: escreva "Reaplicação" na Observação.</t>
        </is>
      </c>
      <c r="S14" s="4" t="n"/>
    </row>
    <row r="15" ht="24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6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6" t="inlineStr">
        <is>
          <t>Alíquota IR</t>
        </is>
      </c>
      <c r="J15" s="46" t="inlineStr">
        <is>
          <t>Saldo hoje</t>
        </is>
      </c>
      <c r="K15" s="46" t="inlineStr">
        <is>
          <t>IR</t>
        </is>
      </c>
      <c r="L15" s="46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" t="n"/>
      <c r="R15" s="33" t="inlineStr">
        <is>
          <t>Resgate total: Resgatado = sim · parcial: valor negativo.</t>
        </is>
      </c>
      <c r="S15" s="4" t="n"/>
    </row>
    <row r="16" ht="20" customHeight="1">
      <c r="A16" s="4" t="n"/>
      <c r="B16" s="22" t="n">
        <v>45726</v>
      </c>
      <c r="C16" s="19" t="inlineStr">
        <is>
          <t>Banco A</t>
        </is>
      </c>
      <c r="D16" s="26" t="n">
        <v>1</v>
      </c>
      <c r="E16" s="21" t="n">
        <v>10000</v>
      </c>
      <c r="F16" s="78">
        <f>IF(N(tbInvestimentos[[#This Row],[Data]])=0,"",TODAY()-tbInvestimentos[[#This Row],[Data]])</f>
        <v/>
      </c>
      <c r="G16" s="78" t="n"/>
      <c r="H16" s="78" t="n"/>
      <c r="I16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79" t="n"/>
      <c r="P16" s="80" t="n"/>
      <c r="Q16" s="4" t="n"/>
      <c r="R16" s="4" t="n"/>
      <c r="S16" s="4" t="n"/>
    </row>
    <row r="17" ht="20" customHeight="1">
      <c r="A17" s="4" t="n"/>
      <c r="B17" s="22" t="n">
        <v>46037</v>
      </c>
      <c r="C17" s="19" t="inlineStr">
        <is>
          <t>Banco B</t>
        </is>
      </c>
      <c r="D17" s="26" t="n">
        <v>1.1</v>
      </c>
      <c r="E17" s="21" t="n">
        <v>6000</v>
      </c>
      <c r="F17" s="78">
        <f>IF(N(tbInvestimentos[[#This Row],[Data]])=0,"",TODAY()-tbInvestimentos[[#This Row],[Data]])</f>
        <v/>
      </c>
      <c r="G17" s="78" t="n"/>
      <c r="H17" s="78" t="n"/>
      <c r="I17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79" t="n"/>
      <c r="P17" s="80" t="n"/>
      <c r="Q17" s="4" t="n"/>
      <c r="R17" s="4" t="n"/>
      <c r="S17" s="4" t="n"/>
    </row>
    <row r="18" ht="20" customHeight="1">
      <c r="A18" s="4" t="n"/>
      <c r="B18" s="22" t="n">
        <v>46178</v>
      </c>
      <c r="C18" s="19" t="inlineStr">
        <is>
          <t>Banco A</t>
        </is>
      </c>
      <c r="D18" s="26" t="n">
        <v>0.95</v>
      </c>
      <c r="E18" s="21" t="n">
        <v>4000</v>
      </c>
      <c r="F18" s="78">
        <f>IF(N(tbInvestimentos[[#This Row],[Data]])=0,"",TODAY()-tbInvestimentos[[#This Row],[Data]])</f>
        <v/>
      </c>
      <c r="G18" s="78" t="inlineStr">
        <is>
          <t>sim</t>
        </is>
      </c>
      <c r="H18" s="78" t="n"/>
      <c r="I18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79" t="n"/>
      <c r="P18" s="80" t="n"/>
      <c r="Q18" s="4" t="n"/>
      <c r="R18" s="4" t="n"/>
      <c r="S18" s="4" t="n"/>
    </row>
    <row r="19">
      <c r="A19" s="4" t="n"/>
      <c r="B19" s="50" t="n"/>
      <c r="C19" s="4" t="n"/>
      <c r="D19" s="81" t="n"/>
      <c r="E19" s="82" t="n"/>
      <c r="F19" s="4" t="n"/>
      <c r="G19" s="4" t="n"/>
      <c r="H19" s="4" t="n"/>
      <c r="I19" s="81" t="n"/>
      <c r="J19" s="82" t="n"/>
      <c r="K19" s="82" t="n"/>
      <c r="L19" s="82" t="n"/>
      <c r="M19" s="50" t="n"/>
      <c r="N19" s="4" t="n"/>
      <c r="O19" s="82" t="n"/>
      <c r="P19" s="50" t="n"/>
      <c r="Q19" s="4" t="n"/>
      <c r="R19" s="4" t="n"/>
      <c r="S19" s="4" t="n"/>
    </row>
    <row r="20">
      <c r="A20" s="4" t="n"/>
      <c r="B20" s="50" t="n"/>
      <c r="C20" s="4" t="n"/>
      <c r="D20" s="81" t="n"/>
      <c r="E20" s="82" t="n"/>
      <c r="F20" s="4" t="n"/>
      <c r="G20" s="4" t="n"/>
      <c r="H20" s="4" t="n"/>
      <c r="I20" s="81" t="n"/>
      <c r="J20" s="82" t="n"/>
      <c r="K20" s="82" t="n"/>
      <c r="L20" s="82" t="n"/>
      <c r="M20" s="50" t="n"/>
      <c r="N20" s="4" t="n"/>
      <c r="O20" s="82" t="n"/>
      <c r="P20" s="50" t="n"/>
      <c r="Q20" s="4" t="n"/>
      <c r="R20" s="4" t="n"/>
      <c r="S20" s="4" t="n"/>
    </row>
    <row r="21">
      <c r="A21" s="4" t="n"/>
      <c r="B21" s="50" t="n"/>
      <c r="C21" s="4" t="n"/>
      <c r="D21" s="81" t="n"/>
      <c r="E21" s="82" t="n"/>
      <c r="F21" s="4" t="n"/>
      <c r="G21" s="4" t="n"/>
      <c r="H21" s="4" t="n"/>
      <c r="I21" s="81" t="n"/>
      <c r="J21" s="82" t="n"/>
      <c r="K21" s="82" t="n"/>
      <c r="L21" s="82" t="n"/>
      <c r="M21" s="50" t="n"/>
      <c r="N21" s="4" t="n"/>
      <c r="O21" s="82" t="n"/>
      <c r="P21" s="50" t="n"/>
      <c r="Q21" s="4" t="n"/>
      <c r="R21" s="4" t="n"/>
      <c r="S21" s="4" t="n"/>
    </row>
    <row r="22">
      <c r="A22" s="4" t="n"/>
      <c r="B22" s="50" t="n"/>
      <c r="C22" s="4" t="n"/>
      <c r="D22" s="81" t="n"/>
      <c r="E22" s="82" t="n"/>
      <c r="F22" s="4" t="n"/>
      <c r="G22" s="4" t="n"/>
      <c r="H22" s="4" t="n"/>
      <c r="I22" s="81" t="n"/>
      <c r="J22" s="82" t="n"/>
      <c r="K22" s="82" t="n"/>
      <c r="L22" s="82" t="n"/>
      <c r="M22" s="50" t="n"/>
      <c r="N22" s="4" t="n"/>
      <c r="O22" s="82" t="n"/>
      <c r="P22" s="50" t="n"/>
      <c r="Q22" s="4" t="n"/>
      <c r="R22" s="4" t="n"/>
      <c r="S22" s="4" t="n"/>
    </row>
    <row r="23">
      <c r="A23" s="4" t="n"/>
      <c r="B23" s="50" t="n"/>
      <c r="C23" s="4" t="n"/>
      <c r="D23" s="81" t="n"/>
      <c r="E23" s="82" t="n"/>
      <c r="F23" s="4" t="n"/>
      <c r="G23" s="4" t="n"/>
      <c r="H23" s="4" t="n"/>
      <c r="I23" s="81" t="n"/>
      <c r="J23" s="82" t="n"/>
      <c r="K23" s="82" t="n"/>
      <c r="L23" s="82" t="n"/>
      <c r="M23" s="50" t="n"/>
      <c r="N23" s="4" t="n"/>
      <c r="O23" s="82" t="n"/>
      <c r="P23" s="50" t="n"/>
      <c r="Q23" s="4" t="n"/>
      <c r="R23" s="4" t="n"/>
      <c r="S23" s="4" t="n"/>
    </row>
    <row r="24">
      <c r="A24" s="4" t="n"/>
      <c r="B24" s="50" t="n"/>
      <c r="C24" s="4" t="n"/>
      <c r="D24" s="81" t="n"/>
      <c r="E24" s="82" t="n"/>
      <c r="F24" s="4" t="n"/>
      <c r="G24" s="4" t="n"/>
      <c r="H24" s="4" t="n"/>
      <c r="I24" s="81" t="n"/>
      <c r="J24" s="82" t="n"/>
      <c r="K24" s="82" t="n"/>
      <c r="L24" s="82" t="n"/>
      <c r="M24" s="50" t="n"/>
      <c r="N24" s="4" t="n"/>
      <c r="O24" s="82" t="n"/>
      <c r="P24" s="50" t="n"/>
      <c r="Q24" s="4" t="n"/>
      <c r="R24" s="4" t="n"/>
      <c r="S24" s="4" t="n"/>
    </row>
    <row r="25">
      <c r="A25" s="4" t="n"/>
      <c r="B25" s="50" t="n"/>
      <c r="C25" s="4" t="n"/>
      <c r="D25" s="81" t="n"/>
      <c r="E25" s="82" t="n"/>
      <c r="F25" s="4" t="n"/>
      <c r="G25" s="4" t="n"/>
      <c r="H25" s="4" t="n"/>
      <c r="I25" s="81" t="n"/>
      <c r="J25" s="82" t="n"/>
      <c r="K25" s="82" t="n"/>
      <c r="L25" s="82" t="n"/>
      <c r="M25" s="50" t="n"/>
      <c r="N25" s="4" t="n"/>
      <c r="O25" s="82" t="n"/>
      <c r="P25" s="50" t="n"/>
      <c r="Q25" s="4" t="n"/>
      <c r="R25" s="4" t="n"/>
      <c r="S25" s="4" t="n"/>
    </row>
    <row r="26">
      <c r="A26" s="4" t="n"/>
      <c r="B26" s="50" t="n"/>
      <c r="C26" s="4" t="n"/>
      <c r="D26" s="81" t="n"/>
      <c r="E26" s="82" t="n"/>
      <c r="F26" s="4" t="n"/>
      <c r="G26" s="4" t="n"/>
      <c r="H26" s="4" t="n"/>
      <c r="I26" s="81" t="n"/>
      <c r="J26" s="82" t="n"/>
      <c r="K26" s="82" t="n"/>
      <c r="L26" s="82" t="n"/>
      <c r="M26" s="50" t="n"/>
      <c r="N26" s="4" t="n"/>
      <c r="O26" s="82" t="n"/>
      <c r="P26" s="50" t="n"/>
      <c r="Q26" s="4" t="n"/>
      <c r="R26" s="4" t="n"/>
      <c r="S26" s="4" t="n"/>
    </row>
    <row r="27">
      <c r="A27" s="4" t="n"/>
      <c r="B27" s="50" t="n"/>
      <c r="C27" s="4" t="n"/>
      <c r="D27" s="81" t="n"/>
      <c r="E27" s="82" t="n"/>
      <c r="F27" s="4" t="n"/>
      <c r="G27" s="4" t="n"/>
      <c r="H27" s="4" t="n"/>
      <c r="I27" s="81" t="n"/>
      <c r="J27" s="82" t="n"/>
      <c r="K27" s="82" t="n"/>
      <c r="L27" s="82" t="n"/>
      <c r="M27" s="50" t="n"/>
      <c r="N27" s="4" t="n"/>
      <c r="O27" s="82" t="n"/>
      <c r="P27" s="50" t="n"/>
      <c r="Q27" s="4" t="n"/>
      <c r="R27" s="4" t="n"/>
      <c r="S27" s="4" t="n"/>
    </row>
    <row r="28">
      <c r="A28" s="4" t="n"/>
      <c r="B28" s="50" t="n"/>
      <c r="C28" s="4" t="n"/>
      <c r="D28" s="81" t="n"/>
      <c r="E28" s="82" t="n"/>
      <c r="F28" s="4" t="n"/>
      <c r="G28" s="4" t="n"/>
      <c r="H28" s="4" t="n"/>
      <c r="I28" s="81" t="n"/>
      <c r="J28" s="82" t="n"/>
      <c r="K28" s="82" t="n"/>
      <c r="L28" s="82" t="n"/>
      <c r="M28" s="50" t="n"/>
      <c r="N28" s="4" t="n"/>
      <c r="O28" s="82" t="n"/>
      <c r="P28" s="50" t="n"/>
      <c r="Q28" s="4" t="n"/>
      <c r="R28" s="4" t="n"/>
      <c r="S28" s="4" t="n"/>
    </row>
    <row r="29">
      <c r="A29" s="4" t="n"/>
      <c r="B29" s="50" t="n"/>
      <c r="C29" s="4" t="n"/>
      <c r="D29" s="81" t="n"/>
      <c r="E29" s="82" t="n"/>
      <c r="F29" s="4" t="n"/>
      <c r="G29" s="4" t="n"/>
      <c r="H29" s="4" t="n"/>
      <c r="I29" s="81" t="n"/>
      <c r="J29" s="82" t="n"/>
      <c r="K29" s="82" t="n"/>
      <c r="L29" s="82" t="n"/>
      <c r="M29" s="50" t="n"/>
      <c r="N29" s="4" t="n"/>
      <c r="O29" s="82" t="n"/>
      <c r="P29" s="50" t="n"/>
      <c r="Q29" s="4" t="n"/>
      <c r="R29" s="4" t="n"/>
      <c r="S29" s="4" t="n"/>
    </row>
    <row r="30">
      <c r="A30" s="4" t="n"/>
      <c r="B30" s="50" t="n"/>
      <c r="C30" s="4" t="n"/>
      <c r="D30" s="81" t="n"/>
      <c r="E30" s="82" t="n"/>
      <c r="F30" s="4" t="n"/>
      <c r="G30" s="4" t="n"/>
      <c r="H30" s="4" t="n"/>
      <c r="I30" s="81" t="n"/>
      <c r="J30" s="82" t="n"/>
      <c r="K30" s="82" t="n"/>
      <c r="L30" s="82" t="n"/>
      <c r="M30" s="50" t="n"/>
      <c r="N30" s="4" t="n"/>
      <c r="O30" s="82" t="n"/>
      <c r="P30" s="50" t="n"/>
      <c r="Q30" s="4" t="n"/>
      <c r="R30" s="4" t="n"/>
      <c r="S30" s="4" t="n"/>
    </row>
    <row r="31">
      <c r="A31" s="4" t="n"/>
      <c r="B31" s="50" t="n"/>
      <c r="C31" s="4" t="n"/>
      <c r="D31" s="81" t="n"/>
      <c r="E31" s="82" t="n"/>
      <c r="F31" s="4" t="n"/>
      <c r="G31" s="4" t="n"/>
      <c r="H31" s="4" t="n"/>
      <c r="I31" s="81" t="n"/>
      <c r="J31" s="82" t="n"/>
      <c r="K31" s="82" t="n"/>
      <c r="L31" s="82" t="n"/>
      <c r="M31" s="50" t="n"/>
      <c r="N31" s="4" t="n"/>
      <c r="O31" s="82" t="n"/>
      <c r="P31" s="50" t="n"/>
      <c r="Q31" s="4" t="n"/>
      <c r="R31" s="4" t="n"/>
      <c r="S31" s="4" t="n"/>
    </row>
    <row r="32">
      <c r="A32" s="4" t="n"/>
      <c r="B32" s="50" t="n"/>
      <c r="C32" s="4" t="n"/>
      <c r="D32" s="81" t="n"/>
      <c r="E32" s="82" t="n"/>
      <c r="F32" s="4" t="n"/>
      <c r="G32" s="4" t="n"/>
      <c r="H32" s="4" t="n"/>
      <c r="I32" s="81" t="n"/>
      <c r="J32" s="82" t="n"/>
      <c r="K32" s="82" t="n"/>
      <c r="L32" s="82" t="n"/>
      <c r="M32" s="50" t="n"/>
      <c r="N32" s="4" t="n"/>
      <c r="O32" s="82" t="n"/>
      <c r="P32" s="50" t="n"/>
      <c r="Q32" s="4" t="n"/>
      <c r="R32" s="4" t="n"/>
      <c r="S32" s="4" t="n"/>
    </row>
    <row r="33">
      <c r="A33" s="4" t="n"/>
      <c r="B33" s="50" t="n"/>
      <c r="C33" s="4" t="n"/>
      <c r="D33" s="81" t="n"/>
      <c r="E33" s="82" t="n"/>
      <c r="F33" s="4" t="n"/>
      <c r="G33" s="4" t="n"/>
      <c r="H33" s="4" t="n"/>
      <c r="I33" s="81" t="n"/>
      <c r="J33" s="82" t="n"/>
      <c r="K33" s="82" t="n"/>
      <c r="L33" s="82" t="n"/>
      <c r="M33" s="50" t="n"/>
      <c r="N33" s="4" t="n"/>
      <c r="O33" s="82" t="n"/>
      <c r="P33" s="50" t="n"/>
      <c r="Q33" s="4" t="n"/>
      <c r="R33" s="4" t="n"/>
      <c r="S33" s="4" t="n"/>
    </row>
    <row r="34">
      <c r="A34" s="4" t="n"/>
      <c r="B34" s="50" t="n"/>
      <c r="C34" s="4" t="n"/>
      <c r="D34" s="81" t="n"/>
      <c r="E34" s="82" t="n"/>
      <c r="F34" s="4" t="n"/>
      <c r="G34" s="4" t="n"/>
      <c r="H34" s="4" t="n"/>
      <c r="I34" s="81" t="n"/>
      <c r="J34" s="82" t="n"/>
      <c r="K34" s="82" t="n"/>
      <c r="L34" s="82" t="n"/>
      <c r="M34" s="50" t="n"/>
      <c r="N34" s="4" t="n"/>
      <c r="O34" s="82" t="n"/>
      <c r="P34" s="50" t="n"/>
      <c r="Q34" s="4" t="n"/>
      <c r="R34" s="4" t="n"/>
      <c r="S34" s="4" t="n"/>
    </row>
    <row r="35">
      <c r="A35" s="4" t="n"/>
      <c r="B35" s="50" t="n"/>
      <c r="C35" s="4" t="n"/>
      <c r="D35" s="81" t="n"/>
      <c r="E35" s="82" t="n"/>
      <c r="F35" s="4" t="n"/>
      <c r="G35" s="4" t="n"/>
      <c r="H35" s="4" t="n"/>
      <c r="I35" s="81" t="n"/>
      <c r="J35" s="82" t="n"/>
      <c r="K35" s="82" t="n"/>
      <c r="L35" s="82" t="n"/>
      <c r="M35" s="50" t="n"/>
      <c r="N35" s="4" t="n"/>
      <c r="O35" s="82" t="n"/>
      <c r="P35" s="50" t="n"/>
      <c r="Q35" s="4" t="n"/>
      <c r="R35" s="4" t="n"/>
      <c r="S35" s="4" t="n"/>
    </row>
    <row r="36">
      <c r="A36" s="4" t="n"/>
      <c r="B36" s="50" t="n"/>
      <c r="C36" s="4" t="n"/>
      <c r="D36" s="81" t="n"/>
      <c r="E36" s="82" t="n"/>
      <c r="F36" s="4" t="n"/>
      <c r="G36" s="4" t="n"/>
      <c r="H36" s="4" t="n"/>
      <c r="I36" s="81" t="n"/>
      <c r="J36" s="82" t="n"/>
      <c r="K36" s="82" t="n"/>
      <c r="L36" s="82" t="n"/>
      <c r="M36" s="50" t="n"/>
      <c r="N36" s="4" t="n"/>
      <c r="O36" s="82" t="n"/>
      <c r="P36" s="50" t="n"/>
      <c r="Q36" s="4" t="n"/>
      <c r="R36" s="4" t="n"/>
      <c r="S36" s="4" t="n"/>
    </row>
    <row r="37">
      <c r="A37" s="4" t="n"/>
      <c r="B37" s="50" t="n"/>
      <c r="C37" s="4" t="n"/>
      <c r="D37" s="81" t="n"/>
      <c r="E37" s="82" t="n"/>
      <c r="F37" s="4" t="n"/>
      <c r="G37" s="4" t="n"/>
      <c r="H37" s="4" t="n"/>
      <c r="I37" s="81" t="n"/>
      <c r="J37" s="82" t="n"/>
      <c r="K37" s="82" t="n"/>
      <c r="L37" s="82" t="n"/>
      <c r="M37" s="50" t="n"/>
      <c r="N37" s="4" t="n"/>
      <c r="O37" s="82" t="n"/>
      <c r="P37" s="50" t="n"/>
      <c r="Q37" s="4" t="n"/>
      <c r="R37" s="4" t="n"/>
      <c r="S37" s="4" t="n"/>
    </row>
    <row r="38">
      <c r="A38" s="4" t="n"/>
      <c r="B38" s="50" t="n"/>
      <c r="C38" s="4" t="n"/>
      <c r="D38" s="81" t="n"/>
      <c r="E38" s="82" t="n"/>
      <c r="F38" s="4" t="n"/>
      <c r="G38" s="4" t="n"/>
      <c r="H38" s="4" t="n"/>
      <c r="I38" s="81" t="n"/>
      <c r="J38" s="82" t="n"/>
      <c r="K38" s="82" t="n"/>
      <c r="L38" s="82" t="n"/>
      <c r="M38" s="50" t="n"/>
      <c r="N38" s="4" t="n"/>
      <c r="O38" s="82" t="n"/>
      <c r="P38" s="50" t="n"/>
      <c r="Q38" s="4" t="n"/>
      <c r="R38" s="4" t="n"/>
      <c r="S38" s="4" t="n"/>
    </row>
    <row r="39">
      <c r="A39" s="4" t="n"/>
      <c r="B39" s="50" t="n"/>
      <c r="C39" s="4" t="n"/>
      <c r="D39" s="81" t="n"/>
      <c r="E39" s="82" t="n"/>
      <c r="F39" s="4" t="n"/>
      <c r="G39" s="4" t="n"/>
      <c r="H39" s="4" t="n"/>
      <c r="I39" s="81" t="n"/>
      <c r="J39" s="82" t="n"/>
      <c r="K39" s="82" t="n"/>
      <c r="L39" s="82" t="n"/>
      <c r="M39" s="50" t="n"/>
      <c r="N39" s="4" t="n"/>
      <c r="O39" s="82" t="n"/>
      <c r="P39" s="50" t="n"/>
      <c r="Q39" s="4" t="n"/>
      <c r="R39" s="4" t="n"/>
      <c r="S39" s="4" t="n"/>
    </row>
    <row r="40">
      <c r="A40" s="4" t="n"/>
      <c r="B40" s="50" t="n"/>
      <c r="C40" s="4" t="n"/>
      <c r="D40" s="81" t="n"/>
      <c r="E40" s="82" t="n"/>
      <c r="F40" s="4" t="n"/>
      <c r="G40" s="4" t="n"/>
      <c r="H40" s="4" t="n"/>
      <c r="I40" s="81" t="n"/>
      <c r="J40" s="82" t="n"/>
      <c r="K40" s="82" t="n"/>
      <c r="L40" s="82" t="n"/>
      <c r="M40" s="50" t="n"/>
      <c r="N40" s="4" t="n"/>
      <c r="O40" s="82" t="n"/>
      <c r="P40" s="50" t="n"/>
      <c r="Q40" s="4" t="n"/>
      <c r="R40" s="4" t="n"/>
      <c r="S40" s="4" t="n"/>
    </row>
    <row r="41">
      <c r="A41" s="4" t="n"/>
      <c r="B41" s="50" t="n"/>
      <c r="C41" s="4" t="n"/>
      <c r="D41" s="81" t="n"/>
      <c r="E41" s="82" t="n"/>
      <c r="F41" s="4" t="n"/>
      <c r="G41" s="4" t="n"/>
      <c r="H41" s="4" t="n"/>
      <c r="I41" s="81" t="n"/>
      <c r="J41" s="82" t="n"/>
      <c r="K41" s="82" t="n"/>
      <c r="L41" s="82" t="n"/>
      <c r="M41" s="50" t="n"/>
      <c r="N41" s="4" t="n"/>
      <c r="O41" s="82" t="n"/>
      <c r="P41" s="50" t="n"/>
      <c r="Q41" s="4" t="n"/>
      <c r="R41" s="4" t="n"/>
      <c r="S41" s="4" t="n"/>
    </row>
    <row r="42">
      <c r="A42" s="4" t="n"/>
      <c r="B42" s="50" t="n"/>
      <c r="C42" s="4" t="n"/>
      <c r="D42" s="81" t="n"/>
      <c r="E42" s="82" t="n"/>
      <c r="F42" s="4" t="n"/>
      <c r="G42" s="4" t="n"/>
      <c r="H42" s="4" t="n"/>
      <c r="I42" s="81" t="n"/>
      <c r="J42" s="82" t="n"/>
      <c r="K42" s="82" t="n"/>
      <c r="L42" s="82" t="n"/>
      <c r="M42" s="50" t="n"/>
      <c r="N42" s="4" t="n"/>
      <c r="O42" s="82" t="n"/>
      <c r="P42" s="50" t="n"/>
      <c r="Q42" s="4" t="n"/>
      <c r="R42" s="4" t="n"/>
      <c r="S42" s="4" t="n"/>
    </row>
    <row r="43">
      <c r="A43" s="4" t="n"/>
      <c r="B43" s="50" t="n"/>
      <c r="C43" s="4" t="n"/>
      <c r="D43" s="81" t="n"/>
      <c r="E43" s="82" t="n"/>
      <c r="F43" s="4" t="n"/>
      <c r="G43" s="4" t="n"/>
      <c r="H43" s="4" t="n"/>
      <c r="I43" s="81" t="n"/>
      <c r="J43" s="82" t="n"/>
      <c r="K43" s="82" t="n"/>
      <c r="L43" s="82" t="n"/>
      <c r="M43" s="50" t="n"/>
      <c r="N43" s="4" t="n"/>
      <c r="O43" s="82" t="n"/>
      <c r="P43" s="50" t="n"/>
      <c r="Q43" s="4" t="n"/>
      <c r="R43" s="4" t="n"/>
      <c r="S43" s="4" t="n"/>
    </row>
    <row r="44">
      <c r="A44" s="4" t="n"/>
      <c r="B44" s="50" t="n"/>
      <c r="C44" s="4" t="n"/>
      <c r="D44" s="81" t="n"/>
      <c r="E44" s="82" t="n"/>
      <c r="F44" s="4" t="n"/>
      <c r="G44" s="4" t="n"/>
      <c r="H44" s="4" t="n"/>
      <c r="I44" s="81" t="n"/>
      <c r="J44" s="82" t="n"/>
      <c r="K44" s="82" t="n"/>
      <c r="L44" s="82" t="n"/>
      <c r="M44" s="50" t="n"/>
      <c r="N44" s="4" t="n"/>
      <c r="O44" s="82" t="n"/>
      <c r="P44" s="50" t="n"/>
      <c r="Q44" s="4" t="n"/>
      <c r="R44" s="4" t="n"/>
      <c r="S44" s="4" t="n"/>
    </row>
    <row r="45">
      <c r="A45" s="4" t="n"/>
      <c r="B45" s="50" t="n"/>
      <c r="C45" s="4" t="n"/>
      <c r="D45" s="81" t="n"/>
      <c r="E45" s="82" t="n"/>
      <c r="F45" s="4" t="n"/>
      <c r="G45" s="4" t="n"/>
      <c r="H45" s="4" t="n"/>
      <c r="I45" s="81" t="n"/>
      <c r="J45" s="82" t="n"/>
      <c r="K45" s="82" t="n"/>
      <c r="L45" s="82" t="n"/>
      <c r="M45" s="50" t="n"/>
      <c r="N45" s="4" t="n"/>
      <c r="O45" s="82" t="n"/>
      <c r="P45" s="50" t="n"/>
      <c r="Q45" s="4" t="n"/>
      <c r="R45" s="4" t="n"/>
      <c r="S45" s="4" t="n"/>
    </row>
    <row r="46">
      <c r="A46" s="4" t="n"/>
      <c r="B46" s="50" t="n"/>
      <c r="C46" s="4" t="n"/>
      <c r="D46" s="81" t="n"/>
      <c r="E46" s="82" t="n"/>
      <c r="F46" s="4" t="n"/>
      <c r="G46" s="4" t="n"/>
      <c r="H46" s="4" t="n"/>
      <c r="I46" s="81" t="n"/>
      <c r="J46" s="82" t="n"/>
      <c r="K46" s="82" t="n"/>
      <c r="L46" s="82" t="n"/>
      <c r="M46" s="50" t="n"/>
      <c r="N46" s="4" t="n"/>
      <c r="O46" s="82" t="n"/>
      <c r="P46" s="50" t="n"/>
      <c r="Q46" s="4" t="n"/>
      <c r="R46" s="4" t="n"/>
      <c r="S46" s="4" t="n"/>
    </row>
    <row r="47">
      <c r="A47" s="4" t="n"/>
      <c r="B47" s="50" t="n"/>
      <c r="C47" s="4" t="n"/>
      <c r="D47" s="81" t="n"/>
      <c r="E47" s="82" t="n"/>
      <c r="F47" s="4" t="n"/>
      <c r="G47" s="4" t="n"/>
      <c r="H47" s="4" t="n"/>
      <c r="I47" s="81" t="n"/>
      <c r="J47" s="82" t="n"/>
      <c r="K47" s="82" t="n"/>
      <c r="L47" s="82" t="n"/>
      <c r="M47" s="50" t="n"/>
      <c r="N47" s="4" t="n"/>
      <c r="O47" s="82" t="n"/>
      <c r="P47" s="50" t="n"/>
      <c r="Q47" s="4" t="n"/>
      <c r="R47" s="4" t="n"/>
      <c r="S47" s="4" t="n"/>
    </row>
    <row r="48">
      <c r="A48" s="4" t="n"/>
      <c r="B48" s="50" t="n"/>
      <c r="C48" s="4" t="n"/>
      <c r="D48" s="81" t="n"/>
      <c r="E48" s="82" t="n"/>
      <c r="F48" s="4" t="n"/>
      <c r="G48" s="4" t="n"/>
      <c r="H48" s="4" t="n"/>
      <c r="I48" s="81" t="n"/>
      <c r="J48" s="82" t="n"/>
      <c r="K48" s="82" t="n"/>
      <c r="L48" s="82" t="n"/>
      <c r="M48" s="50" t="n"/>
      <c r="N48" s="4" t="n"/>
      <c r="O48" s="82" t="n"/>
      <c r="P48" s="50" t="n"/>
      <c r="Q48" s="4" t="n"/>
      <c r="R48" s="4" t="n"/>
      <c r="S48" s="4" t="n"/>
    </row>
    <row r="49">
      <c r="A49" s="4" t="n"/>
      <c r="B49" s="50" t="n"/>
      <c r="C49" s="4" t="n"/>
      <c r="D49" s="81" t="n"/>
      <c r="E49" s="82" t="n"/>
      <c r="F49" s="4" t="n"/>
      <c r="G49" s="4" t="n"/>
      <c r="H49" s="4" t="n"/>
      <c r="I49" s="81" t="n"/>
      <c r="J49" s="82" t="n"/>
      <c r="K49" s="82" t="n"/>
      <c r="L49" s="82" t="n"/>
      <c r="M49" s="50" t="n"/>
      <c r="N49" s="4" t="n"/>
      <c r="O49" s="82" t="n"/>
      <c r="P49" s="50" t="n"/>
      <c r="Q49" s="4" t="n"/>
      <c r="R49" s="4" t="n"/>
      <c r="S49" s="4" t="n"/>
    </row>
    <row r="50">
      <c r="A50" s="4" t="n"/>
      <c r="B50" s="50" t="n"/>
      <c r="C50" s="4" t="n"/>
      <c r="D50" s="81" t="n"/>
      <c r="E50" s="82" t="n"/>
      <c r="F50" s="4" t="n"/>
      <c r="G50" s="4" t="n"/>
      <c r="H50" s="4" t="n"/>
      <c r="I50" s="81" t="n"/>
      <c r="J50" s="82" t="n"/>
      <c r="K50" s="82" t="n"/>
      <c r="L50" s="82" t="n"/>
      <c r="M50" s="50" t="n"/>
      <c r="N50" s="4" t="n"/>
      <c r="O50" s="82" t="n"/>
      <c r="P50" s="50" t="n"/>
      <c r="Q50" s="4" t="n"/>
      <c r="R50" s="4" t="n"/>
      <c r="S50" s="4" t="n"/>
    </row>
    <row r="51">
      <c r="A51" s="4" t="n"/>
      <c r="B51" s="50" t="n"/>
      <c r="C51" s="4" t="n"/>
      <c r="D51" s="81" t="n"/>
      <c r="E51" s="82" t="n"/>
      <c r="F51" s="4" t="n"/>
      <c r="G51" s="4" t="n"/>
      <c r="H51" s="4" t="n"/>
      <c r="I51" s="81" t="n"/>
      <c r="J51" s="82" t="n"/>
      <c r="K51" s="82" t="n"/>
      <c r="L51" s="82" t="n"/>
      <c r="M51" s="50" t="n"/>
      <c r="N51" s="4" t="n"/>
      <c r="O51" s="82" t="n"/>
      <c r="P51" s="50" t="n"/>
      <c r="Q51" s="4" t="n"/>
      <c r="R51" s="4" t="n"/>
      <c r="S51" s="4" t="n"/>
    </row>
    <row r="52">
      <c r="A52" s="4" t="n"/>
      <c r="B52" s="50" t="n"/>
      <c r="C52" s="4" t="n"/>
      <c r="D52" s="81" t="n"/>
      <c r="E52" s="82" t="n"/>
      <c r="F52" s="4" t="n"/>
      <c r="G52" s="4" t="n"/>
      <c r="H52" s="4" t="n"/>
      <c r="I52" s="81" t="n"/>
      <c r="J52" s="82" t="n"/>
      <c r="K52" s="82" t="n"/>
      <c r="L52" s="82" t="n"/>
      <c r="M52" s="50" t="n"/>
      <c r="N52" s="4" t="n"/>
      <c r="O52" s="82" t="n"/>
      <c r="P52" s="50" t="n"/>
      <c r="Q52" s="4" t="n"/>
      <c r="R52" s="4" t="n"/>
      <c r="S52" s="4" t="n"/>
    </row>
    <row r="53">
      <c r="A53" s="4" t="n"/>
      <c r="B53" s="50" t="n"/>
      <c r="C53" s="4" t="n"/>
      <c r="D53" s="81" t="n"/>
      <c r="E53" s="82" t="n"/>
      <c r="F53" s="4" t="n"/>
      <c r="G53" s="4" t="n"/>
      <c r="H53" s="4" t="n"/>
      <c r="I53" s="81" t="n"/>
      <c r="J53" s="82" t="n"/>
      <c r="K53" s="82" t="n"/>
      <c r="L53" s="82" t="n"/>
      <c r="M53" s="50" t="n"/>
      <c r="N53" s="4" t="n"/>
      <c r="O53" s="82" t="n"/>
      <c r="P53" s="50" t="n"/>
      <c r="Q53" s="4" t="n"/>
      <c r="R53" s="4" t="n"/>
      <c r="S53" s="4" t="n"/>
    </row>
    <row r="54">
      <c r="A54" s="4" t="n"/>
      <c r="B54" s="50" t="n"/>
      <c r="C54" s="4" t="n"/>
      <c r="D54" s="81" t="n"/>
      <c r="E54" s="82" t="n"/>
      <c r="F54" s="4" t="n"/>
      <c r="G54" s="4" t="n"/>
      <c r="H54" s="4" t="n"/>
      <c r="I54" s="81" t="n"/>
      <c r="J54" s="82" t="n"/>
      <c r="K54" s="82" t="n"/>
      <c r="L54" s="82" t="n"/>
      <c r="M54" s="50" t="n"/>
      <c r="N54" s="4" t="n"/>
      <c r="O54" s="82" t="n"/>
      <c r="P54" s="50" t="n"/>
      <c r="Q54" s="4" t="n"/>
      <c r="R54" s="4" t="n"/>
      <c r="S54" s="4" t="n"/>
    </row>
    <row r="55">
      <c r="A55" s="4" t="n"/>
      <c r="B55" s="50" t="n"/>
      <c r="C55" s="4" t="n"/>
      <c r="D55" s="81" t="n"/>
      <c r="E55" s="82" t="n"/>
      <c r="F55" s="4" t="n"/>
      <c r="G55" s="4" t="n"/>
      <c r="H55" s="4" t="n"/>
      <c r="I55" s="81" t="n"/>
      <c r="J55" s="82" t="n"/>
      <c r="K55" s="82" t="n"/>
      <c r="L55" s="82" t="n"/>
      <c r="M55" s="50" t="n"/>
      <c r="N55" s="4" t="n"/>
      <c r="O55" s="82" t="n"/>
      <c r="P55" s="50" t="n"/>
      <c r="Q55" s="4" t="n"/>
      <c r="R55" s="4" t="n"/>
      <c r="S55" s="4" t="n"/>
    </row>
    <row r="56">
      <c r="A56" s="4" t="n"/>
      <c r="B56" s="50" t="n"/>
      <c r="C56" s="4" t="n"/>
      <c r="D56" s="81" t="n"/>
      <c r="E56" s="82" t="n"/>
      <c r="F56" s="4" t="n"/>
      <c r="G56" s="4" t="n"/>
      <c r="H56" s="4" t="n"/>
      <c r="I56" s="81" t="n"/>
      <c r="J56" s="82" t="n"/>
      <c r="K56" s="82" t="n"/>
      <c r="L56" s="82" t="n"/>
      <c r="M56" s="50" t="n"/>
      <c r="N56" s="4" t="n"/>
      <c r="O56" s="82" t="n"/>
      <c r="P56" s="50" t="n"/>
      <c r="Q56" s="4" t="n"/>
      <c r="R56" s="4" t="n"/>
      <c r="S56" s="4" t="n"/>
    </row>
    <row r="57">
      <c r="A57" s="4" t="n"/>
      <c r="B57" s="50" t="n"/>
      <c r="C57" s="4" t="n"/>
      <c r="D57" s="81" t="n"/>
      <c r="E57" s="82" t="n"/>
      <c r="F57" s="4" t="n"/>
      <c r="G57" s="4" t="n"/>
      <c r="H57" s="4" t="n"/>
      <c r="I57" s="81" t="n"/>
      <c r="J57" s="82" t="n"/>
      <c r="K57" s="82" t="n"/>
      <c r="L57" s="82" t="n"/>
      <c r="M57" s="50" t="n"/>
      <c r="N57" s="4" t="n"/>
      <c r="O57" s="82" t="n"/>
      <c r="P57" s="50" t="n"/>
      <c r="Q57" s="4" t="n"/>
      <c r="R57" s="4" t="n"/>
      <c r="S57" s="4" t="n"/>
    </row>
    <row r="58">
      <c r="A58" s="4" t="n"/>
      <c r="B58" s="50" t="n"/>
      <c r="C58" s="4" t="n"/>
      <c r="D58" s="81" t="n"/>
      <c r="E58" s="82" t="n"/>
      <c r="F58" s="4" t="n"/>
      <c r="G58" s="4" t="n"/>
      <c r="H58" s="4" t="n"/>
      <c r="I58" s="81" t="n"/>
      <c r="J58" s="82" t="n"/>
      <c r="K58" s="82" t="n"/>
      <c r="L58" s="82" t="n"/>
      <c r="M58" s="50" t="n"/>
      <c r="N58" s="4" t="n"/>
      <c r="O58" s="82" t="n"/>
      <c r="P58" s="50" t="n"/>
      <c r="Q58" s="4" t="n"/>
      <c r="R58" s="4" t="n"/>
      <c r="S58" s="4" t="n"/>
    </row>
    <row r="59">
      <c r="A59" s="4" t="n"/>
      <c r="B59" s="50" t="n"/>
      <c r="C59" s="4" t="n"/>
      <c r="D59" s="81" t="n"/>
      <c r="E59" s="82" t="n"/>
      <c r="F59" s="4" t="n"/>
      <c r="G59" s="4" t="n"/>
      <c r="H59" s="4" t="n"/>
      <c r="I59" s="81" t="n"/>
      <c r="J59" s="82" t="n"/>
      <c r="K59" s="82" t="n"/>
      <c r="L59" s="82" t="n"/>
      <c r="M59" s="50" t="n"/>
      <c r="N59" s="4" t="n"/>
      <c r="O59" s="82" t="n"/>
      <c r="P59" s="50" t="n"/>
      <c r="Q59" s="4" t="n"/>
      <c r="R59" s="4" t="n"/>
      <c r="S59" s="4" t="n"/>
    </row>
    <row r="60">
      <c r="A60" s="4" t="n"/>
      <c r="B60" s="50" t="n"/>
      <c r="C60" s="4" t="n"/>
      <c r="D60" s="81" t="n"/>
      <c r="E60" s="82" t="n"/>
      <c r="F60" s="4" t="n"/>
      <c r="G60" s="4" t="n"/>
      <c r="H60" s="4" t="n"/>
      <c r="I60" s="81" t="n"/>
      <c r="J60" s="82" t="n"/>
      <c r="K60" s="82" t="n"/>
      <c r="L60" s="82" t="n"/>
      <c r="M60" s="50" t="n"/>
      <c r="N60" s="4" t="n"/>
      <c r="O60" s="82" t="n"/>
      <c r="P60" s="50" t="n"/>
      <c r="Q60" s="4" t="n"/>
      <c r="R60" s="4" t="n"/>
      <c r="S60" s="4" t="n"/>
    </row>
    <row r="61">
      <c r="A61" s="4" t="n"/>
      <c r="B61" s="50" t="n"/>
      <c r="C61" s="4" t="n"/>
      <c r="D61" s="81" t="n"/>
      <c r="E61" s="82" t="n"/>
      <c r="F61" s="4" t="n"/>
      <c r="G61" s="4" t="n"/>
      <c r="H61" s="4" t="n"/>
      <c r="I61" s="81" t="n"/>
      <c r="J61" s="82" t="n"/>
      <c r="K61" s="82" t="n"/>
      <c r="L61" s="82" t="n"/>
      <c r="M61" s="50" t="n"/>
      <c r="N61" s="4" t="n"/>
      <c r="O61" s="82" t="n"/>
      <c r="P61" s="50" t="n"/>
      <c r="Q61" s="4" t="n"/>
      <c r="R61" s="4" t="n"/>
      <c r="S61" s="4" t="n"/>
    </row>
    <row r="62">
      <c r="A62" s="4" t="n"/>
      <c r="B62" s="50" t="n"/>
      <c r="C62" s="4" t="n"/>
      <c r="D62" s="81" t="n"/>
      <c r="E62" s="82" t="n"/>
      <c r="F62" s="4" t="n"/>
      <c r="G62" s="4" t="n"/>
      <c r="H62" s="4" t="n"/>
      <c r="I62" s="81" t="n"/>
      <c r="J62" s="82" t="n"/>
      <c r="K62" s="82" t="n"/>
      <c r="L62" s="82" t="n"/>
      <c r="M62" s="50" t="n"/>
      <c r="N62" s="4" t="n"/>
      <c r="O62" s="82" t="n"/>
      <c r="P62" s="50" t="n"/>
      <c r="Q62" s="4" t="n"/>
      <c r="R62" s="4" t="n"/>
      <c r="S62" s="4" t="n"/>
    </row>
    <row r="63">
      <c r="A63" s="4" t="n"/>
      <c r="B63" s="50" t="n"/>
      <c r="C63" s="4" t="n"/>
      <c r="D63" s="81" t="n"/>
      <c r="E63" s="82" t="n"/>
      <c r="F63" s="4" t="n"/>
      <c r="G63" s="4" t="n"/>
      <c r="H63" s="4" t="n"/>
      <c r="I63" s="81" t="n"/>
      <c r="J63" s="82" t="n"/>
      <c r="K63" s="82" t="n"/>
      <c r="L63" s="82" t="n"/>
      <c r="M63" s="50" t="n"/>
      <c r="N63" s="4" t="n"/>
      <c r="O63" s="82" t="n"/>
      <c r="P63" s="50" t="n"/>
      <c r="Q63" s="4" t="n"/>
      <c r="R63" s="4" t="n"/>
      <c r="S63" s="4" t="n"/>
    </row>
    <row r="64">
      <c r="A64" s="4" t="n"/>
      <c r="B64" s="50" t="n"/>
      <c r="C64" s="4" t="n"/>
      <c r="D64" s="81" t="n"/>
      <c r="E64" s="82" t="n"/>
      <c r="F64" s="4" t="n"/>
      <c r="G64" s="4" t="n"/>
      <c r="H64" s="4" t="n"/>
      <c r="I64" s="81" t="n"/>
      <c r="J64" s="82" t="n"/>
      <c r="K64" s="82" t="n"/>
      <c r="L64" s="82" t="n"/>
      <c r="M64" s="50" t="n"/>
      <c r="N64" s="4" t="n"/>
      <c r="O64" s="82" t="n"/>
      <c r="P64" s="50" t="n"/>
      <c r="Q64" s="4" t="n"/>
      <c r="R64" s="4" t="n"/>
      <c r="S64" s="4" t="n"/>
    </row>
    <row r="65">
      <c r="A65" s="4" t="n"/>
      <c r="B65" s="50" t="n"/>
      <c r="C65" s="4" t="n"/>
      <c r="D65" s="81" t="n"/>
      <c r="E65" s="82" t="n"/>
      <c r="F65" s="4" t="n"/>
      <c r="G65" s="4" t="n"/>
      <c r="H65" s="4" t="n"/>
      <c r="I65" s="81" t="n"/>
      <c r="J65" s="82" t="n"/>
      <c r="K65" s="82" t="n"/>
      <c r="L65" s="82" t="n"/>
      <c r="M65" s="50" t="n"/>
      <c r="N65" s="4" t="n"/>
      <c r="O65" s="82" t="n"/>
      <c r="P65" s="50" t="n"/>
      <c r="Q65" s="4" t="n"/>
      <c r="R65" s="4" t="n"/>
      <c r="S65" s="4" t="n"/>
    </row>
    <row r="66">
      <c r="A66" s="4" t="n"/>
      <c r="B66" s="50" t="n"/>
      <c r="C66" s="4" t="n"/>
      <c r="D66" s="81" t="n"/>
      <c r="E66" s="82" t="n"/>
      <c r="F66" s="4" t="n"/>
      <c r="G66" s="4" t="n"/>
      <c r="H66" s="4" t="n"/>
      <c r="I66" s="81" t="n"/>
      <c r="J66" s="82" t="n"/>
      <c r="K66" s="82" t="n"/>
      <c r="L66" s="82" t="n"/>
      <c r="M66" s="50" t="n"/>
      <c r="N66" s="4" t="n"/>
      <c r="O66" s="82" t="n"/>
      <c r="P66" s="50" t="n"/>
      <c r="Q66" s="4" t="n"/>
      <c r="R66" s="4" t="n"/>
      <c r="S66" s="4" t="n"/>
    </row>
    <row r="67">
      <c r="A67" s="4" t="n"/>
      <c r="B67" s="50" t="n"/>
      <c r="C67" s="4" t="n"/>
      <c r="D67" s="81" t="n"/>
      <c r="E67" s="82" t="n"/>
      <c r="F67" s="4" t="n"/>
      <c r="G67" s="4" t="n"/>
      <c r="H67" s="4" t="n"/>
      <c r="I67" s="81" t="n"/>
      <c r="J67" s="82" t="n"/>
      <c r="K67" s="82" t="n"/>
      <c r="L67" s="82" t="n"/>
      <c r="M67" s="50" t="n"/>
      <c r="N67" s="4" t="n"/>
      <c r="O67" s="82" t="n"/>
      <c r="P67" s="50" t="n"/>
      <c r="Q67" s="4" t="n"/>
      <c r="R67" s="4" t="n"/>
      <c r="S67" s="4" t="n"/>
    </row>
    <row r="68">
      <c r="A68" s="4" t="n"/>
      <c r="B68" s="50" t="n"/>
      <c r="C68" s="4" t="n"/>
      <c r="D68" s="81" t="n"/>
      <c r="E68" s="82" t="n"/>
      <c r="F68" s="4" t="n"/>
      <c r="G68" s="4" t="n"/>
      <c r="H68" s="4" t="n"/>
      <c r="I68" s="81" t="n"/>
      <c r="J68" s="82" t="n"/>
      <c r="K68" s="82" t="n"/>
      <c r="L68" s="82" t="n"/>
      <c r="M68" s="50" t="n"/>
      <c r="N68" s="4" t="n"/>
      <c r="O68" s="82" t="n"/>
      <c r="P68" s="50" t="n"/>
      <c r="Q68" s="4" t="n"/>
      <c r="R68" s="4" t="n"/>
      <c r="S68" s="4" t="n"/>
    </row>
    <row r="69">
      <c r="A69" s="4" t="n"/>
      <c r="B69" s="50" t="n"/>
      <c r="C69" s="4" t="n"/>
      <c r="D69" s="81" t="n"/>
      <c r="E69" s="82" t="n"/>
      <c r="F69" s="4" t="n"/>
      <c r="G69" s="4" t="n"/>
      <c r="H69" s="4" t="n"/>
      <c r="I69" s="81" t="n"/>
      <c r="J69" s="82" t="n"/>
      <c r="K69" s="82" t="n"/>
      <c r="L69" s="82" t="n"/>
      <c r="M69" s="50" t="n"/>
      <c r="N69" s="4" t="n"/>
      <c r="O69" s="82" t="n"/>
      <c r="P69" s="50" t="n"/>
      <c r="Q69" s="4" t="n"/>
      <c r="R69" s="4" t="n"/>
      <c r="S69" s="4" t="n"/>
    </row>
    <row r="70">
      <c r="A70" s="4" t="n"/>
      <c r="B70" s="50" t="n"/>
      <c r="C70" s="4" t="n"/>
      <c r="D70" s="81" t="n"/>
      <c r="E70" s="82" t="n"/>
      <c r="F70" s="4" t="n"/>
      <c r="G70" s="4" t="n"/>
      <c r="H70" s="4" t="n"/>
      <c r="I70" s="81" t="n"/>
      <c r="J70" s="82" t="n"/>
      <c r="K70" s="82" t="n"/>
      <c r="L70" s="82" t="n"/>
      <c r="M70" s="50" t="n"/>
      <c r="N70" s="4" t="n"/>
      <c r="O70" s="82" t="n"/>
      <c r="P70" s="50" t="n"/>
      <c r="Q70" s="4" t="n"/>
      <c r="R70" s="4" t="n"/>
      <c r="S70" s="4" t="n"/>
    </row>
    <row r="71">
      <c r="A71" s="4" t="n"/>
      <c r="B71" s="50" t="n"/>
      <c r="C71" s="4" t="n"/>
      <c r="D71" s="81" t="n"/>
      <c r="E71" s="82" t="n"/>
      <c r="F71" s="4" t="n"/>
      <c r="G71" s="4" t="n"/>
      <c r="H71" s="4" t="n"/>
      <c r="I71" s="81" t="n"/>
      <c r="J71" s="82" t="n"/>
      <c r="K71" s="82" t="n"/>
      <c r="L71" s="82" t="n"/>
      <c r="M71" s="50" t="n"/>
      <c r="N71" s="4" t="n"/>
      <c r="O71" s="82" t="n"/>
      <c r="P71" s="50" t="n"/>
      <c r="Q71" s="4" t="n"/>
      <c r="R71" s="4" t="n"/>
      <c r="S71" s="4" t="n"/>
    </row>
    <row r="72">
      <c r="A72" s="4" t="n"/>
      <c r="B72" s="50" t="n"/>
      <c r="C72" s="4" t="n"/>
      <c r="D72" s="81" t="n"/>
      <c r="E72" s="82" t="n"/>
      <c r="F72" s="4" t="n"/>
      <c r="G72" s="4" t="n"/>
      <c r="H72" s="4" t="n"/>
      <c r="I72" s="81" t="n"/>
      <c r="J72" s="82" t="n"/>
      <c r="K72" s="82" t="n"/>
      <c r="L72" s="82" t="n"/>
      <c r="M72" s="50" t="n"/>
      <c r="N72" s="4" t="n"/>
      <c r="O72" s="82" t="n"/>
      <c r="P72" s="50" t="n"/>
      <c r="Q72" s="4" t="n"/>
      <c r="R72" s="4" t="n"/>
      <c r="S72" s="4" t="n"/>
    </row>
    <row r="73">
      <c r="A73" s="4" t="n"/>
      <c r="B73" s="50" t="n"/>
      <c r="C73" s="4" t="n"/>
      <c r="D73" s="81" t="n"/>
      <c r="E73" s="82" t="n"/>
      <c r="F73" s="4" t="n"/>
      <c r="G73" s="4" t="n"/>
      <c r="H73" s="4" t="n"/>
      <c r="I73" s="81" t="n"/>
      <c r="J73" s="82" t="n"/>
      <c r="K73" s="82" t="n"/>
      <c r="L73" s="82" t="n"/>
      <c r="M73" s="50" t="n"/>
      <c r="N73" s="4" t="n"/>
      <c r="O73" s="82" t="n"/>
      <c r="P73" s="50" t="n"/>
      <c r="Q73" s="4" t="n"/>
      <c r="R73" s="4" t="n"/>
      <c r="S73" s="4" t="n"/>
    </row>
    <row r="74">
      <c r="A74" s="4" t="n"/>
      <c r="B74" s="50" t="n"/>
      <c r="C74" s="4" t="n"/>
      <c r="D74" s="81" t="n"/>
      <c r="E74" s="82" t="n"/>
      <c r="F74" s="4" t="n"/>
      <c r="G74" s="4" t="n"/>
      <c r="H74" s="4" t="n"/>
      <c r="I74" s="81" t="n"/>
      <c r="J74" s="82" t="n"/>
      <c r="K74" s="82" t="n"/>
      <c r="L74" s="82" t="n"/>
      <c r="M74" s="50" t="n"/>
      <c r="N74" s="4" t="n"/>
      <c r="O74" s="82" t="n"/>
      <c r="P74" s="50" t="n"/>
      <c r="Q74" s="4" t="n"/>
      <c r="R74" s="4" t="n"/>
      <c r="S74" s="4" t="n"/>
    </row>
    <row r="75">
      <c r="A75" s="4" t="n"/>
      <c r="B75" s="50" t="n"/>
      <c r="C75" s="4" t="n"/>
      <c r="D75" s="81" t="n"/>
      <c r="E75" s="82" t="n"/>
      <c r="F75" s="4" t="n"/>
      <c r="G75" s="4" t="n"/>
      <c r="H75" s="4" t="n"/>
      <c r="I75" s="81" t="n"/>
      <c r="J75" s="82" t="n"/>
      <c r="K75" s="82" t="n"/>
      <c r="L75" s="82" t="n"/>
      <c r="M75" s="50" t="n"/>
      <c r="N75" s="4" t="n"/>
      <c r="O75" s="82" t="n"/>
      <c r="P75" s="50" t="n"/>
      <c r="Q75" s="4" t="n"/>
      <c r="R75" s="4" t="n"/>
      <c r="S75" s="4" t="n"/>
    </row>
    <row r="76">
      <c r="A76" s="4" t="n"/>
      <c r="B76" s="50" t="n"/>
      <c r="C76" s="4" t="n"/>
      <c r="D76" s="81" t="n"/>
      <c r="E76" s="82" t="n"/>
      <c r="F76" s="4" t="n"/>
      <c r="G76" s="4" t="n"/>
      <c r="H76" s="4" t="n"/>
      <c r="I76" s="81" t="n"/>
      <c r="J76" s="82" t="n"/>
      <c r="K76" s="82" t="n"/>
      <c r="L76" s="82" t="n"/>
      <c r="M76" s="50" t="n"/>
      <c r="N76" s="4" t="n"/>
      <c r="O76" s="82" t="n"/>
      <c r="P76" s="50" t="n"/>
      <c r="Q76" s="4" t="n"/>
      <c r="R76" s="4" t="n"/>
      <c r="S76" s="4" t="n"/>
    </row>
    <row r="77">
      <c r="A77" s="4" t="n"/>
      <c r="B77" s="50" t="n"/>
      <c r="C77" s="4" t="n"/>
      <c r="D77" s="81" t="n"/>
      <c r="E77" s="82" t="n"/>
      <c r="F77" s="4" t="n"/>
      <c r="G77" s="4" t="n"/>
      <c r="H77" s="4" t="n"/>
      <c r="I77" s="81" t="n"/>
      <c r="J77" s="82" t="n"/>
      <c r="K77" s="82" t="n"/>
      <c r="L77" s="82" t="n"/>
      <c r="M77" s="50" t="n"/>
      <c r="N77" s="4" t="n"/>
      <c r="O77" s="82" t="n"/>
      <c r="P77" s="50" t="n"/>
      <c r="Q77" s="4" t="n"/>
      <c r="R77" s="4" t="n"/>
      <c r="S77" s="4" t="n"/>
    </row>
    <row r="78">
      <c r="A78" s="4" t="n"/>
      <c r="B78" s="50" t="n"/>
      <c r="C78" s="4" t="n"/>
      <c r="D78" s="81" t="n"/>
      <c r="E78" s="82" t="n"/>
      <c r="F78" s="4" t="n"/>
      <c r="G78" s="4" t="n"/>
      <c r="H78" s="4" t="n"/>
      <c r="I78" s="81" t="n"/>
      <c r="J78" s="82" t="n"/>
      <c r="K78" s="82" t="n"/>
      <c r="L78" s="82" t="n"/>
      <c r="M78" s="50" t="n"/>
      <c r="N78" s="4" t="n"/>
      <c r="O78" s="82" t="n"/>
      <c r="P78" s="50" t="n"/>
      <c r="Q78" s="4" t="n"/>
      <c r="R78" s="4" t="n"/>
      <c r="S78" s="4" t="n"/>
    </row>
    <row r="79">
      <c r="A79" s="4" t="n"/>
      <c r="B79" s="50" t="n"/>
      <c r="C79" s="4" t="n"/>
      <c r="D79" s="81" t="n"/>
      <c r="E79" s="82" t="n"/>
      <c r="F79" s="4" t="n"/>
      <c r="G79" s="4" t="n"/>
      <c r="H79" s="4" t="n"/>
      <c r="I79" s="81" t="n"/>
      <c r="J79" s="82" t="n"/>
      <c r="K79" s="82" t="n"/>
      <c r="L79" s="82" t="n"/>
      <c r="M79" s="50" t="n"/>
      <c r="N79" s="4" t="n"/>
      <c r="O79" s="82" t="n"/>
      <c r="P79" s="50" t="n"/>
      <c r="Q79" s="4" t="n"/>
      <c r="R79" s="4" t="n"/>
      <c r="S79" s="4" t="n"/>
    </row>
    <row r="80">
      <c r="A80" s="4" t="n"/>
      <c r="B80" s="50" t="n"/>
      <c r="C80" s="4" t="n"/>
      <c r="D80" s="81" t="n"/>
      <c r="E80" s="82" t="n"/>
      <c r="F80" s="4" t="n"/>
      <c r="G80" s="4" t="n"/>
      <c r="H80" s="4" t="n"/>
      <c r="I80" s="81" t="n"/>
      <c r="J80" s="82" t="n"/>
      <c r="K80" s="82" t="n"/>
      <c r="L80" s="82" t="n"/>
      <c r="M80" s="50" t="n"/>
      <c r="N80" s="4" t="n"/>
      <c r="O80" s="82" t="n"/>
      <c r="P80" s="50" t="n"/>
      <c r="Q80" s="4" t="n"/>
      <c r="R80" s="4" t="n"/>
      <c r="S80" s="4" t="n"/>
    </row>
    <row r="81">
      <c r="A81" s="4" t="n"/>
      <c r="B81" s="50" t="n"/>
      <c r="C81" s="4" t="n"/>
      <c r="D81" s="81" t="n"/>
      <c r="E81" s="82" t="n"/>
      <c r="F81" s="4" t="n"/>
      <c r="G81" s="4" t="n"/>
      <c r="H81" s="4" t="n"/>
      <c r="I81" s="81" t="n"/>
      <c r="J81" s="82" t="n"/>
      <c r="K81" s="82" t="n"/>
      <c r="L81" s="82" t="n"/>
      <c r="M81" s="50" t="n"/>
      <c r="N81" s="4" t="n"/>
      <c r="O81" s="82" t="n"/>
      <c r="P81" s="50" t="n"/>
      <c r="Q81" s="4" t="n"/>
      <c r="R81" s="4" t="n"/>
      <c r="S81" s="4" t="n"/>
    </row>
    <row r="82">
      <c r="A82" s="4" t="n"/>
      <c r="B82" s="50" t="n"/>
      <c r="C82" s="4" t="n"/>
      <c r="D82" s="81" t="n"/>
      <c r="E82" s="82" t="n"/>
      <c r="F82" s="4" t="n"/>
      <c r="G82" s="4" t="n"/>
      <c r="H82" s="4" t="n"/>
      <c r="I82" s="81" t="n"/>
      <c r="J82" s="82" t="n"/>
      <c r="K82" s="82" t="n"/>
      <c r="L82" s="82" t="n"/>
      <c r="M82" s="50" t="n"/>
      <c r="N82" s="4" t="n"/>
      <c r="O82" s="82" t="n"/>
      <c r="P82" s="50" t="n"/>
      <c r="Q82" s="4" t="n"/>
      <c r="R82" s="4" t="n"/>
      <c r="S82" s="4" t="n"/>
    </row>
    <row r="83">
      <c r="A83" s="4" t="n"/>
      <c r="B83" s="50" t="n"/>
      <c r="C83" s="4" t="n"/>
      <c r="D83" s="81" t="n"/>
      <c r="E83" s="82" t="n"/>
      <c r="F83" s="4" t="n"/>
      <c r="G83" s="4" t="n"/>
      <c r="H83" s="4" t="n"/>
      <c r="I83" s="81" t="n"/>
      <c r="J83" s="82" t="n"/>
      <c r="K83" s="82" t="n"/>
      <c r="L83" s="82" t="n"/>
      <c r="M83" s="50" t="n"/>
      <c r="N83" s="4" t="n"/>
      <c r="O83" s="82" t="n"/>
      <c r="P83" s="50" t="n"/>
      <c r="Q83" s="4" t="n"/>
      <c r="R83" s="4" t="n"/>
      <c r="S83" s="4" t="n"/>
    </row>
    <row r="84">
      <c r="A84" s="4" t="n"/>
      <c r="B84" s="50" t="n"/>
      <c r="C84" s="4" t="n"/>
      <c r="D84" s="81" t="n"/>
      <c r="E84" s="82" t="n"/>
      <c r="F84" s="4" t="n"/>
      <c r="G84" s="4" t="n"/>
      <c r="H84" s="4" t="n"/>
      <c r="I84" s="81" t="n"/>
      <c r="J84" s="82" t="n"/>
      <c r="K84" s="82" t="n"/>
      <c r="L84" s="82" t="n"/>
      <c r="M84" s="50" t="n"/>
      <c r="N84" s="4" t="n"/>
      <c r="O84" s="82" t="n"/>
      <c r="P84" s="50" t="n"/>
      <c r="Q84" s="4" t="n"/>
      <c r="R84" s="4" t="n"/>
      <c r="S84" s="4" t="n"/>
    </row>
    <row r="85">
      <c r="A85" s="4" t="n"/>
      <c r="B85" s="50" t="n"/>
      <c r="C85" s="4" t="n"/>
      <c r="D85" s="81" t="n"/>
      <c r="E85" s="82" t="n"/>
      <c r="F85" s="4" t="n"/>
      <c r="G85" s="4" t="n"/>
      <c r="H85" s="4" t="n"/>
      <c r="I85" s="81" t="n"/>
      <c r="J85" s="82" t="n"/>
      <c r="K85" s="82" t="n"/>
      <c r="L85" s="82" t="n"/>
      <c r="M85" s="50" t="n"/>
      <c r="N85" s="4" t="n"/>
      <c r="O85" s="82" t="n"/>
      <c r="P85" s="50" t="n"/>
      <c r="Q85" s="4" t="n"/>
      <c r="R85" s="4" t="n"/>
      <c r="S85" s="4" t="n"/>
    </row>
    <row r="86">
      <c r="A86" s="4" t="n"/>
      <c r="B86" s="50" t="n"/>
      <c r="C86" s="4" t="n"/>
      <c r="D86" s="81" t="n"/>
      <c r="E86" s="82" t="n"/>
      <c r="F86" s="4" t="n"/>
      <c r="G86" s="4" t="n"/>
      <c r="H86" s="4" t="n"/>
      <c r="I86" s="81" t="n"/>
      <c r="J86" s="82" t="n"/>
      <c r="K86" s="82" t="n"/>
      <c r="L86" s="82" t="n"/>
      <c r="M86" s="50" t="n"/>
      <c r="N86" s="4" t="n"/>
      <c r="O86" s="82" t="n"/>
      <c r="P86" s="50" t="n"/>
      <c r="Q86" s="4" t="n"/>
      <c r="R86" s="4" t="n"/>
      <c r="S86" s="4" t="n"/>
    </row>
    <row r="87">
      <c r="A87" s="4" t="n"/>
      <c r="B87" s="50" t="n"/>
      <c r="C87" s="4" t="n"/>
      <c r="D87" s="81" t="n"/>
      <c r="E87" s="82" t="n"/>
      <c r="F87" s="4" t="n"/>
      <c r="G87" s="4" t="n"/>
      <c r="H87" s="4" t="n"/>
      <c r="I87" s="81" t="n"/>
      <c r="J87" s="82" t="n"/>
      <c r="K87" s="82" t="n"/>
      <c r="L87" s="82" t="n"/>
      <c r="M87" s="50" t="n"/>
      <c r="N87" s="4" t="n"/>
      <c r="O87" s="82" t="n"/>
      <c r="P87" s="50" t="n"/>
      <c r="Q87" s="4" t="n"/>
      <c r="R87" s="4" t="n"/>
      <c r="S87" s="4" t="n"/>
    </row>
    <row r="88">
      <c r="A88" s="4" t="n"/>
      <c r="B88" s="50" t="n"/>
      <c r="C88" s="4" t="n"/>
      <c r="D88" s="81" t="n"/>
      <c r="E88" s="82" t="n"/>
      <c r="F88" s="4" t="n"/>
      <c r="G88" s="4" t="n"/>
      <c r="H88" s="4" t="n"/>
      <c r="I88" s="81" t="n"/>
      <c r="J88" s="82" t="n"/>
      <c r="K88" s="82" t="n"/>
      <c r="L88" s="82" t="n"/>
      <c r="M88" s="50" t="n"/>
      <c r="N88" s="4" t="n"/>
      <c r="O88" s="82" t="n"/>
      <c r="P88" s="50" t="n"/>
      <c r="Q88" s="4" t="n"/>
      <c r="R88" s="4" t="n"/>
      <c r="S88" s="4" t="n"/>
    </row>
    <row r="89">
      <c r="A89" s="4" t="n"/>
      <c r="B89" s="50" t="n"/>
      <c r="C89" s="4" t="n"/>
      <c r="D89" s="81" t="n"/>
      <c r="E89" s="82" t="n"/>
      <c r="F89" s="4" t="n"/>
      <c r="G89" s="4" t="n"/>
      <c r="H89" s="4" t="n"/>
      <c r="I89" s="81" t="n"/>
      <c r="J89" s="82" t="n"/>
      <c r="K89" s="82" t="n"/>
      <c r="L89" s="82" t="n"/>
      <c r="M89" s="50" t="n"/>
      <c r="N89" s="4" t="n"/>
      <c r="O89" s="82" t="n"/>
      <c r="P89" s="50" t="n"/>
      <c r="Q89" s="4" t="n"/>
      <c r="R89" s="4" t="n"/>
      <c r="S89" s="4" t="n"/>
    </row>
    <row r="90">
      <c r="A90" s="4" t="n"/>
      <c r="B90" s="50" t="n"/>
      <c r="C90" s="4" t="n"/>
      <c r="D90" s="81" t="n"/>
      <c r="E90" s="82" t="n"/>
      <c r="F90" s="4" t="n"/>
      <c r="G90" s="4" t="n"/>
      <c r="H90" s="4" t="n"/>
      <c r="I90" s="81" t="n"/>
      <c r="J90" s="82" t="n"/>
      <c r="K90" s="82" t="n"/>
      <c r="L90" s="82" t="n"/>
      <c r="M90" s="50" t="n"/>
      <c r="N90" s="4" t="n"/>
      <c r="O90" s="82" t="n"/>
      <c r="P90" s="50" t="n"/>
      <c r="Q90" s="4" t="n"/>
      <c r="R90" s="4" t="n"/>
      <c r="S90" s="4" t="n"/>
    </row>
    <row r="91">
      <c r="A91" s="4" t="n"/>
      <c r="B91" s="50" t="n"/>
      <c r="C91" s="4" t="n"/>
      <c r="D91" s="81" t="n"/>
      <c r="E91" s="82" t="n"/>
      <c r="F91" s="4" t="n"/>
      <c r="G91" s="4" t="n"/>
      <c r="H91" s="4" t="n"/>
      <c r="I91" s="81" t="n"/>
      <c r="J91" s="82" t="n"/>
      <c r="K91" s="82" t="n"/>
      <c r="L91" s="82" t="n"/>
      <c r="M91" s="50" t="n"/>
      <c r="N91" s="4" t="n"/>
      <c r="O91" s="82" t="n"/>
      <c r="P91" s="50" t="n"/>
      <c r="Q91" s="4" t="n"/>
      <c r="R91" s="4" t="n"/>
      <c r="S91" s="4" t="n"/>
    </row>
    <row r="92">
      <c r="A92" s="4" t="n"/>
      <c r="B92" s="50" t="n"/>
      <c r="C92" s="4" t="n"/>
      <c r="D92" s="81" t="n"/>
      <c r="E92" s="82" t="n"/>
      <c r="F92" s="4" t="n"/>
      <c r="G92" s="4" t="n"/>
      <c r="H92" s="4" t="n"/>
      <c r="I92" s="81" t="n"/>
      <c r="J92" s="82" t="n"/>
      <c r="K92" s="82" t="n"/>
      <c r="L92" s="82" t="n"/>
      <c r="M92" s="50" t="n"/>
      <c r="N92" s="4" t="n"/>
      <c r="O92" s="82" t="n"/>
      <c r="P92" s="50" t="n"/>
      <c r="Q92" s="4" t="n"/>
      <c r="R92" s="4" t="n"/>
      <c r="S92" s="4" t="n"/>
    </row>
    <row r="93">
      <c r="A93" s="4" t="n"/>
      <c r="B93" s="50" t="n"/>
      <c r="C93" s="4" t="n"/>
      <c r="D93" s="81" t="n"/>
      <c r="E93" s="82" t="n"/>
      <c r="F93" s="4" t="n"/>
      <c r="G93" s="4" t="n"/>
      <c r="H93" s="4" t="n"/>
      <c r="I93" s="81" t="n"/>
      <c r="J93" s="82" t="n"/>
      <c r="K93" s="82" t="n"/>
      <c r="L93" s="82" t="n"/>
      <c r="M93" s="50" t="n"/>
      <c r="N93" s="4" t="n"/>
      <c r="O93" s="82" t="n"/>
      <c r="P93" s="50" t="n"/>
      <c r="Q93" s="4" t="n"/>
      <c r="R93" s="4" t="n"/>
      <c r="S93" s="4" t="n"/>
    </row>
    <row r="94">
      <c r="A94" s="4" t="n"/>
      <c r="B94" s="50" t="n"/>
      <c r="C94" s="4" t="n"/>
      <c r="D94" s="81" t="n"/>
      <c r="E94" s="82" t="n"/>
      <c r="F94" s="4" t="n"/>
      <c r="G94" s="4" t="n"/>
      <c r="H94" s="4" t="n"/>
      <c r="I94" s="81" t="n"/>
      <c r="J94" s="82" t="n"/>
      <c r="K94" s="82" t="n"/>
      <c r="L94" s="82" t="n"/>
      <c r="M94" s="50" t="n"/>
      <c r="N94" s="4" t="n"/>
      <c r="O94" s="82" t="n"/>
      <c r="P94" s="50" t="n"/>
      <c r="Q94" s="4" t="n"/>
      <c r="R94" s="4" t="n"/>
      <c r="S94" s="4" t="n"/>
    </row>
    <row r="95">
      <c r="A95" s="4" t="n"/>
      <c r="B95" s="50" t="n"/>
      <c r="C95" s="4" t="n"/>
      <c r="D95" s="81" t="n"/>
      <c r="E95" s="82" t="n"/>
      <c r="F95" s="4" t="n"/>
      <c r="G95" s="4" t="n"/>
      <c r="H95" s="4" t="n"/>
      <c r="I95" s="81" t="n"/>
      <c r="J95" s="82" t="n"/>
      <c r="K95" s="82" t="n"/>
      <c r="L95" s="82" t="n"/>
      <c r="M95" s="50" t="n"/>
      <c r="N95" s="4" t="n"/>
      <c r="O95" s="82" t="n"/>
      <c r="P95" s="50" t="n"/>
      <c r="Q95" s="4" t="n"/>
      <c r="R95" s="4" t="n"/>
      <c r="S95" s="4" t="n"/>
    </row>
    <row r="96">
      <c r="A96" s="4" t="n"/>
      <c r="B96" s="50" t="n"/>
      <c r="C96" s="4" t="n"/>
      <c r="D96" s="81" t="n"/>
      <c r="E96" s="82" t="n"/>
      <c r="F96" s="4" t="n"/>
      <c r="G96" s="4" t="n"/>
      <c r="H96" s="4" t="n"/>
      <c r="I96" s="81" t="n"/>
      <c r="J96" s="82" t="n"/>
      <c r="K96" s="82" t="n"/>
      <c r="L96" s="82" t="n"/>
      <c r="M96" s="50" t="n"/>
      <c r="N96" s="4" t="n"/>
      <c r="O96" s="82" t="n"/>
      <c r="P96" s="50" t="n"/>
      <c r="Q96" s="4" t="n"/>
      <c r="R96" s="4" t="n"/>
      <c r="S96" s="4" t="n"/>
    </row>
    <row r="97">
      <c r="A97" s="4" t="n"/>
      <c r="B97" s="50" t="n"/>
      <c r="C97" s="4" t="n"/>
      <c r="D97" s="81" t="n"/>
      <c r="E97" s="82" t="n"/>
      <c r="F97" s="4" t="n"/>
      <c r="G97" s="4" t="n"/>
      <c r="H97" s="4" t="n"/>
      <c r="I97" s="81" t="n"/>
      <c r="J97" s="82" t="n"/>
      <c r="K97" s="82" t="n"/>
      <c r="L97" s="82" t="n"/>
      <c r="M97" s="50" t="n"/>
      <c r="N97" s="4" t="n"/>
      <c r="O97" s="82" t="n"/>
      <c r="P97" s="50" t="n"/>
      <c r="Q97" s="4" t="n"/>
      <c r="R97" s="4" t="n"/>
      <c r="S97" s="4" t="n"/>
    </row>
    <row r="98">
      <c r="A98" s="4" t="n"/>
      <c r="B98" s="50" t="n"/>
      <c r="C98" s="4" t="n"/>
      <c r="D98" s="81" t="n"/>
      <c r="E98" s="82" t="n"/>
      <c r="F98" s="4" t="n"/>
      <c r="G98" s="4" t="n"/>
      <c r="H98" s="4" t="n"/>
      <c r="I98" s="81" t="n"/>
      <c r="J98" s="82" t="n"/>
      <c r="K98" s="82" t="n"/>
      <c r="L98" s="82" t="n"/>
      <c r="M98" s="50" t="n"/>
      <c r="N98" s="4" t="n"/>
      <c r="O98" s="82" t="n"/>
      <c r="P98" s="50" t="n"/>
      <c r="Q98" s="4" t="n"/>
      <c r="R98" s="4" t="n"/>
      <c r="S98" s="4" t="n"/>
    </row>
    <row r="99">
      <c r="A99" s="4" t="n"/>
      <c r="B99" s="50" t="n"/>
      <c r="C99" s="4" t="n"/>
      <c r="D99" s="81" t="n"/>
      <c r="E99" s="82" t="n"/>
      <c r="F99" s="4" t="n"/>
      <c r="G99" s="4" t="n"/>
      <c r="H99" s="4" t="n"/>
      <c r="I99" s="81" t="n"/>
      <c r="J99" s="82" t="n"/>
      <c r="K99" s="82" t="n"/>
      <c r="L99" s="82" t="n"/>
      <c r="M99" s="50" t="n"/>
      <c r="N99" s="4" t="n"/>
      <c r="O99" s="82" t="n"/>
      <c r="P99" s="50" t="n"/>
      <c r="Q99" s="4" t="n"/>
      <c r="R99" s="4" t="n"/>
      <c r="S99" s="4" t="n"/>
    </row>
    <row r="100">
      <c r="A100" s="4" t="n"/>
      <c r="B100" s="50" t="n"/>
      <c r="C100" s="4" t="n"/>
      <c r="D100" s="81" t="n"/>
      <c r="E100" s="82" t="n"/>
      <c r="F100" s="4" t="n"/>
      <c r="G100" s="4" t="n"/>
      <c r="H100" s="4" t="n"/>
      <c r="I100" s="81" t="n"/>
      <c r="J100" s="82" t="n"/>
      <c r="K100" s="82" t="n"/>
      <c r="L100" s="82" t="n"/>
      <c r="M100" s="50" t="n"/>
      <c r="N100" s="4" t="n"/>
      <c r="O100" s="82" t="n"/>
      <c r="P100" s="50" t="n"/>
      <c r="Q100" s="4" t="n"/>
      <c r="R100" s="4" t="n"/>
      <c r="S100" s="4" t="n"/>
    </row>
    <row r="101">
      <c r="A101" s="4" t="n"/>
      <c r="B101" s="50" t="n"/>
      <c r="C101" s="4" t="n"/>
      <c r="D101" s="81" t="n"/>
      <c r="E101" s="82" t="n"/>
      <c r="F101" s="4" t="n"/>
      <c r="G101" s="4" t="n"/>
      <c r="H101" s="4" t="n"/>
      <c r="I101" s="81" t="n"/>
      <c r="J101" s="82" t="n"/>
      <c r="K101" s="82" t="n"/>
      <c r="L101" s="82" t="n"/>
      <c r="M101" s="50" t="n"/>
      <c r="N101" s="4" t="n"/>
      <c r="O101" s="82" t="n"/>
      <c r="P101" s="50" t="n"/>
      <c r="Q101" s="4" t="n"/>
      <c r="R101" s="4" t="n"/>
      <c r="S101" s="4" t="n"/>
    </row>
    <row r="102">
      <c r="A102" s="4" t="n"/>
      <c r="B102" s="50" t="n"/>
      <c r="C102" s="4" t="n"/>
      <c r="D102" s="81" t="n"/>
      <c r="E102" s="82" t="n"/>
      <c r="F102" s="4" t="n"/>
      <c r="G102" s="4" t="n"/>
      <c r="H102" s="4" t="n"/>
      <c r="I102" s="81" t="n"/>
      <c r="J102" s="82" t="n"/>
      <c r="K102" s="82" t="n"/>
      <c r="L102" s="82" t="n"/>
      <c r="M102" s="50" t="n"/>
      <c r="N102" s="4" t="n"/>
      <c r="O102" s="82" t="n"/>
      <c r="P102" s="50" t="n"/>
      <c r="Q102" s="4" t="n"/>
      <c r="R102" s="4" t="n"/>
      <c r="S102" s="4" t="n"/>
    </row>
    <row r="103">
      <c r="A103" s="4" t="n"/>
      <c r="B103" s="50" t="n"/>
      <c r="C103" s="4" t="n"/>
      <c r="D103" s="81" t="n"/>
      <c r="E103" s="82" t="n"/>
      <c r="F103" s="4" t="n"/>
      <c r="G103" s="4" t="n"/>
      <c r="H103" s="4" t="n"/>
      <c r="I103" s="81" t="n"/>
      <c r="J103" s="82" t="n"/>
      <c r="K103" s="82" t="n"/>
      <c r="L103" s="82" t="n"/>
      <c r="M103" s="50" t="n"/>
      <c r="N103" s="4" t="n"/>
      <c r="O103" s="82" t="n"/>
      <c r="P103" s="50" t="n"/>
      <c r="Q103" s="4" t="n"/>
      <c r="R103" s="4" t="n"/>
      <c r="S103" s="4" t="n"/>
    </row>
    <row r="104">
      <c r="A104" s="4" t="n"/>
      <c r="B104" s="50" t="n"/>
      <c r="C104" s="4" t="n"/>
      <c r="D104" s="81" t="n"/>
      <c r="E104" s="82" t="n"/>
      <c r="F104" s="4" t="n"/>
      <c r="G104" s="4" t="n"/>
      <c r="H104" s="4" t="n"/>
      <c r="I104" s="81" t="n"/>
      <c r="J104" s="82" t="n"/>
      <c r="K104" s="82" t="n"/>
      <c r="L104" s="82" t="n"/>
      <c r="M104" s="50" t="n"/>
      <c r="N104" s="4" t="n"/>
      <c r="O104" s="82" t="n"/>
      <c r="P104" s="50" t="n"/>
      <c r="Q104" s="4" t="n"/>
      <c r="R104" s="4" t="n"/>
      <c r="S104" s="4" t="n"/>
    </row>
    <row r="105">
      <c r="A105" s="4" t="n"/>
      <c r="B105" s="50" t="n"/>
      <c r="C105" s="4" t="n"/>
      <c r="D105" s="81" t="n"/>
      <c r="E105" s="82" t="n"/>
      <c r="F105" s="4" t="n"/>
      <c r="G105" s="4" t="n"/>
      <c r="H105" s="4" t="n"/>
      <c r="I105" s="81" t="n"/>
      <c r="J105" s="82" t="n"/>
      <c r="K105" s="82" t="n"/>
      <c r="L105" s="82" t="n"/>
      <c r="M105" s="50" t="n"/>
      <c r="N105" s="4" t="n"/>
      <c r="O105" s="82" t="n"/>
      <c r="P105" s="50" t="n"/>
      <c r="Q105" s="4" t="n"/>
      <c r="R105" s="4" t="n"/>
      <c r="S105" s="4" t="n"/>
    </row>
    <row r="106">
      <c r="A106" s="4" t="n"/>
      <c r="B106" s="50" t="n"/>
      <c r="C106" s="4" t="n"/>
      <c r="D106" s="81" t="n"/>
      <c r="E106" s="82" t="n"/>
      <c r="F106" s="4" t="n"/>
      <c r="G106" s="4" t="n"/>
      <c r="H106" s="4" t="n"/>
      <c r="I106" s="81" t="n"/>
      <c r="J106" s="82" t="n"/>
      <c r="K106" s="82" t="n"/>
      <c r="L106" s="82" t="n"/>
      <c r="M106" s="50" t="n"/>
      <c r="N106" s="4" t="n"/>
      <c r="O106" s="82" t="n"/>
      <c r="P106" s="50" t="n"/>
      <c r="Q106" s="4" t="n"/>
      <c r="R106" s="4" t="n"/>
      <c r="S106" s="4" t="n"/>
    </row>
    <row r="107">
      <c r="A107" s="4" t="n"/>
      <c r="B107" s="50" t="n"/>
      <c r="C107" s="4" t="n"/>
      <c r="D107" s="81" t="n"/>
      <c r="E107" s="82" t="n"/>
      <c r="F107" s="4" t="n"/>
      <c r="G107" s="4" t="n"/>
      <c r="H107" s="4" t="n"/>
      <c r="I107" s="81" t="n"/>
      <c r="J107" s="82" t="n"/>
      <c r="K107" s="82" t="n"/>
      <c r="L107" s="82" t="n"/>
      <c r="M107" s="50" t="n"/>
      <c r="N107" s="4" t="n"/>
      <c r="O107" s="82" t="n"/>
      <c r="P107" s="50" t="n"/>
      <c r="Q107" s="4" t="n"/>
      <c r="R107" s="4" t="n"/>
      <c r="S107" s="4" t="n"/>
    </row>
    <row r="108">
      <c r="A108" s="4" t="n"/>
      <c r="B108" s="50" t="n"/>
      <c r="C108" s="4" t="n"/>
      <c r="D108" s="81" t="n"/>
      <c r="E108" s="82" t="n"/>
      <c r="F108" s="4" t="n"/>
      <c r="G108" s="4" t="n"/>
      <c r="H108" s="4" t="n"/>
      <c r="I108" s="81" t="n"/>
      <c r="J108" s="82" t="n"/>
      <c r="K108" s="82" t="n"/>
      <c r="L108" s="82" t="n"/>
      <c r="M108" s="50" t="n"/>
      <c r="N108" s="4" t="n"/>
      <c r="O108" s="82" t="n"/>
      <c r="P108" s="50" t="n"/>
      <c r="Q108" s="4" t="n"/>
      <c r="R108" s="4" t="n"/>
      <c r="S108" s="4" t="n"/>
    </row>
    <row r="109">
      <c r="A109" s="4" t="n"/>
      <c r="B109" s="50" t="n"/>
      <c r="C109" s="4" t="n"/>
      <c r="D109" s="81" t="n"/>
      <c r="E109" s="82" t="n"/>
      <c r="F109" s="4" t="n"/>
      <c r="G109" s="4" t="n"/>
      <c r="H109" s="4" t="n"/>
      <c r="I109" s="81" t="n"/>
      <c r="J109" s="82" t="n"/>
      <c r="K109" s="82" t="n"/>
      <c r="L109" s="82" t="n"/>
      <c r="M109" s="50" t="n"/>
      <c r="N109" s="4" t="n"/>
      <c r="O109" s="82" t="n"/>
      <c r="P109" s="50" t="n"/>
      <c r="Q109" s="4" t="n"/>
      <c r="R109" s="4" t="n"/>
      <c r="S109" s="4" t="n"/>
    </row>
    <row r="110">
      <c r="A110" s="4" t="n"/>
      <c r="B110" s="50" t="n"/>
      <c r="C110" s="4" t="n"/>
      <c r="D110" s="81" t="n"/>
      <c r="E110" s="82" t="n"/>
      <c r="F110" s="4" t="n"/>
      <c r="G110" s="4" t="n"/>
      <c r="H110" s="4" t="n"/>
      <c r="I110" s="81" t="n"/>
      <c r="J110" s="82" t="n"/>
      <c r="K110" s="82" t="n"/>
      <c r="L110" s="82" t="n"/>
      <c r="M110" s="50" t="n"/>
      <c r="N110" s="4" t="n"/>
      <c r="O110" s="82" t="n"/>
      <c r="P110" s="50" t="n"/>
      <c r="Q110" s="4" t="n"/>
      <c r="R110" s="4" t="n"/>
      <c r="S110" s="4" t="n"/>
    </row>
    <row r="111">
      <c r="A111" s="4" t="n"/>
      <c r="B111" s="50" t="n"/>
      <c r="C111" s="4" t="n"/>
      <c r="D111" s="81" t="n"/>
      <c r="E111" s="82" t="n"/>
      <c r="F111" s="4" t="n"/>
      <c r="G111" s="4" t="n"/>
      <c r="H111" s="4" t="n"/>
      <c r="I111" s="81" t="n"/>
      <c r="J111" s="82" t="n"/>
      <c r="K111" s="82" t="n"/>
      <c r="L111" s="82" t="n"/>
      <c r="M111" s="50" t="n"/>
      <c r="N111" s="4" t="n"/>
      <c r="O111" s="82" t="n"/>
      <c r="P111" s="50" t="n"/>
      <c r="Q111" s="4" t="n"/>
      <c r="R111" s="4" t="n"/>
      <c r="S111" s="4" t="n"/>
    </row>
    <row r="112">
      <c r="A112" s="4" t="n"/>
      <c r="B112" s="50" t="n"/>
      <c r="C112" s="4" t="n"/>
      <c r="D112" s="81" t="n"/>
      <c r="E112" s="82" t="n"/>
      <c r="F112" s="4" t="n"/>
      <c r="G112" s="4" t="n"/>
      <c r="H112" s="4" t="n"/>
      <c r="I112" s="81" t="n"/>
      <c r="J112" s="82" t="n"/>
      <c r="K112" s="82" t="n"/>
      <c r="L112" s="82" t="n"/>
      <c r="M112" s="50" t="n"/>
      <c r="N112" s="4" t="n"/>
      <c r="O112" s="82" t="n"/>
      <c r="P112" s="50" t="n"/>
      <c r="Q112" s="4" t="n"/>
      <c r="R112" s="4" t="n"/>
      <c r="S112" s="4" t="n"/>
    </row>
    <row r="113">
      <c r="A113" s="4" t="n"/>
      <c r="B113" s="50" t="n"/>
      <c r="C113" s="4" t="n"/>
      <c r="D113" s="81" t="n"/>
      <c r="E113" s="82" t="n"/>
      <c r="F113" s="4" t="n"/>
      <c r="G113" s="4" t="n"/>
      <c r="H113" s="4" t="n"/>
      <c r="I113" s="81" t="n"/>
      <c r="J113" s="82" t="n"/>
      <c r="K113" s="82" t="n"/>
      <c r="L113" s="82" t="n"/>
      <c r="M113" s="50" t="n"/>
      <c r="N113" s="4" t="n"/>
      <c r="O113" s="82" t="n"/>
      <c r="P113" s="50" t="n"/>
      <c r="Q113" s="4" t="n"/>
      <c r="R113" s="4" t="n"/>
      <c r="S113" s="4" t="n"/>
    </row>
    <row r="114">
      <c r="A114" s="4" t="n"/>
      <c r="B114" s="50" t="n"/>
      <c r="C114" s="4" t="n"/>
      <c r="D114" s="81" t="n"/>
      <c r="E114" s="82" t="n"/>
      <c r="F114" s="4" t="n"/>
      <c r="G114" s="4" t="n"/>
      <c r="H114" s="4" t="n"/>
      <c r="I114" s="81" t="n"/>
      <c r="J114" s="82" t="n"/>
      <c r="K114" s="82" t="n"/>
      <c r="L114" s="82" t="n"/>
      <c r="M114" s="50" t="n"/>
      <c r="N114" s="4" t="n"/>
      <c r="O114" s="82" t="n"/>
      <c r="P114" s="50" t="n"/>
      <c r="Q114" s="4" t="n"/>
      <c r="R114" s="4" t="n"/>
      <c r="S114" s="4" t="n"/>
    </row>
    <row r="115">
      <c r="A115" s="4" t="n"/>
      <c r="B115" s="50" t="n"/>
      <c r="C115" s="4" t="n"/>
      <c r="D115" s="81" t="n"/>
      <c r="E115" s="82" t="n"/>
      <c r="F115" s="4" t="n"/>
      <c r="G115" s="4" t="n"/>
      <c r="H115" s="4" t="n"/>
      <c r="I115" s="81" t="n"/>
      <c r="J115" s="82" t="n"/>
      <c r="K115" s="82" t="n"/>
      <c r="L115" s="82" t="n"/>
      <c r="M115" s="50" t="n"/>
      <c r="N115" s="4" t="n"/>
      <c r="O115" s="82" t="n"/>
      <c r="P115" s="50" t="n"/>
      <c r="Q115" s="4" t="n"/>
      <c r="R115" s="4" t="n"/>
      <c r="S115" s="4" t="n"/>
    </row>
    <row r="116">
      <c r="A116" s="4" t="n"/>
      <c r="B116" s="50" t="n"/>
      <c r="C116" s="4" t="n"/>
      <c r="D116" s="81" t="n"/>
      <c r="E116" s="82" t="n"/>
      <c r="F116" s="4" t="n"/>
      <c r="G116" s="4" t="n"/>
      <c r="H116" s="4" t="n"/>
      <c r="I116" s="81" t="n"/>
      <c r="J116" s="82" t="n"/>
      <c r="K116" s="82" t="n"/>
      <c r="L116" s="82" t="n"/>
      <c r="M116" s="50" t="n"/>
      <c r="N116" s="4" t="n"/>
      <c r="O116" s="82" t="n"/>
      <c r="P116" s="50" t="n"/>
      <c r="Q116" s="4" t="n"/>
      <c r="R116" s="4" t="n"/>
      <c r="S116" s="4" t="n"/>
    </row>
    <row r="117">
      <c r="A117" s="4" t="n"/>
      <c r="B117" s="50" t="n"/>
      <c r="C117" s="4" t="n"/>
      <c r="D117" s="81" t="n"/>
      <c r="E117" s="82" t="n"/>
      <c r="F117" s="4" t="n"/>
      <c r="G117" s="4" t="n"/>
      <c r="H117" s="4" t="n"/>
      <c r="I117" s="81" t="n"/>
      <c r="J117" s="82" t="n"/>
      <c r="K117" s="82" t="n"/>
      <c r="L117" s="82" t="n"/>
      <c r="M117" s="50" t="n"/>
      <c r="N117" s="4" t="n"/>
      <c r="O117" s="82" t="n"/>
      <c r="P117" s="50" t="n"/>
      <c r="Q117" s="4" t="n"/>
      <c r="R117" s="4" t="n"/>
      <c r="S117" s="4" t="n"/>
    </row>
    <row r="118">
      <c r="A118" s="4" t="n"/>
      <c r="B118" s="50" t="n"/>
      <c r="C118" s="4" t="n"/>
      <c r="D118" s="81" t="n"/>
      <c r="E118" s="82" t="n"/>
      <c r="F118" s="4" t="n"/>
      <c r="G118" s="4" t="n"/>
      <c r="H118" s="4" t="n"/>
      <c r="I118" s="81" t="n"/>
      <c r="J118" s="82" t="n"/>
      <c r="K118" s="82" t="n"/>
      <c r="L118" s="82" t="n"/>
      <c r="M118" s="50" t="n"/>
      <c r="N118" s="4" t="n"/>
      <c r="O118" s="82" t="n"/>
      <c r="P118" s="50" t="n"/>
      <c r="Q118" s="4" t="n"/>
      <c r="R118" s="4" t="n"/>
      <c r="S118" s="4" t="n"/>
    </row>
    <row r="119">
      <c r="A119" s="4" t="n"/>
      <c r="B119" s="50" t="n"/>
      <c r="C119" s="4" t="n"/>
      <c r="D119" s="81" t="n"/>
      <c r="E119" s="82" t="n"/>
      <c r="F119" s="4" t="n"/>
      <c r="G119" s="4" t="n"/>
      <c r="H119" s="4" t="n"/>
      <c r="I119" s="81" t="n"/>
      <c r="J119" s="82" t="n"/>
      <c r="K119" s="82" t="n"/>
      <c r="L119" s="82" t="n"/>
      <c r="M119" s="50" t="n"/>
      <c r="N119" s="4" t="n"/>
      <c r="O119" s="82" t="n"/>
      <c r="P119" s="50" t="n"/>
      <c r="Q119" s="4" t="n"/>
      <c r="R119" s="4" t="n"/>
      <c r="S119" s="4" t="n"/>
    </row>
    <row r="120">
      <c r="A120" s="4" t="n"/>
      <c r="B120" s="50" t="n"/>
      <c r="C120" s="4" t="n"/>
      <c r="D120" s="81" t="n"/>
      <c r="E120" s="82" t="n"/>
      <c r="F120" s="4" t="n"/>
      <c r="G120" s="4" t="n"/>
      <c r="H120" s="4" t="n"/>
      <c r="I120" s="81" t="n"/>
      <c r="J120" s="82" t="n"/>
      <c r="K120" s="82" t="n"/>
      <c r="L120" s="82" t="n"/>
      <c r="M120" s="50" t="n"/>
      <c r="N120" s="4" t="n"/>
      <c r="O120" s="82" t="n"/>
      <c r="P120" s="50" t="n"/>
      <c r="Q120" s="4" t="n"/>
      <c r="R120" s="4" t="n"/>
      <c r="S120" s="4" t="n"/>
    </row>
    <row r="121">
      <c r="A121" s="4" t="n"/>
      <c r="B121" s="50" t="n"/>
      <c r="C121" s="4" t="n"/>
      <c r="D121" s="81" t="n"/>
      <c r="E121" s="82" t="n"/>
      <c r="F121" s="4" t="n"/>
      <c r="G121" s="4" t="n"/>
      <c r="H121" s="4" t="n"/>
      <c r="I121" s="81" t="n"/>
      <c r="J121" s="82" t="n"/>
      <c r="K121" s="82" t="n"/>
      <c r="L121" s="82" t="n"/>
      <c r="M121" s="50" t="n"/>
      <c r="N121" s="4" t="n"/>
      <c r="O121" s="82" t="n"/>
      <c r="P121" s="50" t="n"/>
      <c r="Q121" s="4" t="n"/>
      <c r="R121" s="4" t="n"/>
      <c r="S121" s="4" t="n"/>
    </row>
    <row r="122">
      <c r="A122" s="4" t="n"/>
      <c r="B122" s="50" t="n"/>
      <c r="C122" s="4" t="n"/>
      <c r="D122" s="81" t="n"/>
      <c r="E122" s="82" t="n"/>
      <c r="F122" s="4" t="n"/>
      <c r="G122" s="4" t="n"/>
      <c r="H122" s="4" t="n"/>
      <c r="I122" s="81" t="n"/>
      <c r="J122" s="82" t="n"/>
      <c r="K122" s="82" t="n"/>
      <c r="L122" s="82" t="n"/>
      <c r="M122" s="50" t="n"/>
      <c r="N122" s="4" t="n"/>
      <c r="O122" s="82" t="n"/>
      <c r="P122" s="50" t="n"/>
      <c r="Q122" s="4" t="n"/>
      <c r="R122" s="4" t="n"/>
      <c r="S122" s="4" t="n"/>
    </row>
    <row r="123">
      <c r="A123" s="4" t="n"/>
      <c r="B123" s="50" t="n"/>
      <c r="C123" s="4" t="n"/>
      <c r="D123" s="81" t="n"/>
      <c r="E123" s="82" t="n"/>
      <c r="F123" s="4" t="n"/>
      <c r="G123" s="4" t="n"/>
      <c r="H123" s="4" t="n"/>
      <c r="I123" s="81" t="n"/>
      <c r="J123" s="82" t="n"/>
      <c r="K123" s="82" t="n"/>
      <c r="L123" s="82" t="n"/>
      <c r="M123" s="50" t="n"/>
      <c r="N123" s="4" t="n"/>
      <c r="O123" s="82" t="n"/>
      <c r="P123" s="50" t="n"/>
      <c r="Q123" s="4" t="n"/>
      <c r="R123" s="4" t="n"/>
      <c r="S123" s="4" t="n"/>
    </row>
    <row r="124">
      <c r="A124" s="4" t="n"/>
      <c r="B124" s="50" t="n"/>
      <c r="C124" s="4" t="n"/>
      <c r="D124" s="81" t="n"/>
      <c r="E124" s="82" t="n"/>
      <c r="F124" s="4" t="n"/>
      <c r="G124" s="4" t="n"/>
      <c r="H124" s="4" t="n"/>
      <c r="I124" s="81" t="n"/>
      <c r="J124" s="82" t="n"/>
      <c r="K124" s="82" t="n"/>
      <c r="L124" s="82" t="n"/>
      <c r="M124" s="50" t="n"/>
      <c r="N124" s="4" t="n"/>
      <c r="O124" s="82" t="n"/>
      <c r="P124" s="50" t="n"/>
      <c r="Q124" s="4" t="n"/>
      <c r="R124" s="4" t="n"/>
      <c r="S124" s="4" t="n"/>
    </row>
    <row r="125">
      <c r="A125" s="4" t="n"/>
      <c r="B125" s="50" t="n"/>
      <c r="C125" s="4" t="n"/>
      <c r="D125" s="81" t="n"/>
      <c r="E125" s="82" t="n"/>
      <c r="F125" s="4" t="n"/>
      <c r="G125" s="4" t="n"/>
      <c r="H125" s="4" t="n"/>
      <c r="I125" s="81" t="n"/>
      <c r="J125" s="82" t="n"/>
      <c r="K125" s="82" t="n"/>
      <c r="L125" s="82" t="n"/>
      <c r="M125" s="50" t="n"/>
      <c r="N125" s="4" t="n"/>
      <c r="O125" s="82" t="n"/>
      <c r="P125" s="50" t="n"/>
      <c r="Q125" s="4" t="n"/>
      <c r="R125" s="4" t="n"/>
      <c r="S125" s="4" t="n"/>
    </row>
    <row r="126">
      <c r="A126" s="4" t="n"/>
      <c r="B126" s="50" t="n"/>
      <c r="C126" s="4" t="n"/>
      <c r="D126" s="81" t="n"/>
      <c r="E126" s="82" t="n"/>
      <c r="F126" s="4" t="n"/>
      <c r="G126" s="4" t="n"/>
      <c r="H126" s="4" t="n"/>
      <c r="I126" s="81" t="n"/>
      <c r="J126" s="82" t="n"/>
      <c r="K126" s="82" t="n"/>
      <c r="L126" s="82" t="n"/>
      <c r="M126" s="50" t="n"/>
      <c r="N126" s="4" t="n"/>
      <c r="O126" s="82" t="n"/>
      <c r="P126" s="50" t="n"/>
      <c r="Q126" s="4" t="n"/>
      <c r="R126" s="4" t="n"/>
      <c r="S126" s="4" t="n"/>
    </row>
    <row r="127">
      <c r="A127" s="4" t="n"/>
      <c r="B127" s="50" t="n"/>
      <c r="C127" s="4" t="n"/>
      <c r="D127" s="81" t="n"/>
      <c r="E127" s="82" t="n"/>
      <c r="F127" s="4" t="n"/>
      <c r="G127" s="4" t="n"/>
      <c r="H127" s="4" t="n"/>
      <c r="I127" s="81" t="n"/>
      <c r="J127" s="82" t="n"/>
      <c r="K127" s="82" t="n"/>
      <c r="L127" s="82" t="n"/>
      <c r="M127" s="50" t="n"/>
      <c r="N127" s="4" t="n"/>
      <c r="O127" s="82" t="n"/>
      <c r="P127" s="50" t="n"/>
      <c r="Q127" s="4" t="n"/>
      <c r="R127" s="4" t="n"/>
      <c r="S127" s="4" t="n"/>
    </row>
    <row r="128">
      <c r="A128" s="4" t="n"/>
      <c r="B128" s="50" t="n"/>
      <c r="C128" s="4" t="n"/>
      <c r="D128" s="81" t="n"/>
      <c r="E128" s="82" t="n"/>
      <c r="F128" s="4" t="n"/>
      <c r="G128" s="4" t="n"/>
      <c r="H128" s="4" t="n"/>
      <c r="I128" s="81" t="n"/>
      <c r="J128" s="82" t="n"/>
      <c r="K128" s="82" t="n"/>
      <c r="L128" s="82" t="n"/>
      <c r="M128" s="50" t="n"/>
      <c r="N128" s="4" t="n"/>
      <c r="O128" s="82" t="n"/>
      <c r="P128" s="50" t="n"/>
      <c r="Q128" s="4" t="n"/>
      <c r="R128" s="4" t="n"/>
      <c r="S128" s="4" t="n"/>
    </row>
    <row r="129">
      <c r="A129" s="4" t="n"/>
      <c r="B129" s="50" t="n"/>
      <c r="C129" s="4" t="n"/>
      <c r="D129" s="81" t="n"/>
      <c r="E129" s="82" t="n"/>
      <c r="F129" s="4" t="n"/>
      <c r="G129" s="4" t="n"/>
      <c r="H129" s="4" t="n"/>
      <c r="I129" s="81" t="n"/>
      <c r="J129" s="82" t="n"/>
      <c r="K129" s="82" t="n"/>
      <c r="L129" s="82" t="n"/>
      <c r="M129" s="50" t="n"/>
      <c r="N129" s="4" t="n"/>
      <c r="O129" s="82" t="n"/>
      <c r="P129" s="50" t="n"/>
      <c r="Q129" s="4" t="n"/>
      <c r="R129" s="4" t="n"/>
      <c r="S129" s="4" t="n"/>
    </row>
    <row r="130">
      <c r="A130" s="4" t="n"/>
      <c r="B130" s="50" t="n"/>
      <c r="C130" s="4" t="n"/>
      <c r="D130" s="81" t="n"/>
      <c r="E130" s="82" t="n"/>
      <c r="F130" s="4" t="n"/>
      <c r="G130" s="4" t="n"/>
      <c r="H130" s="4" t="n"/>
      <c r="I130" s="81" t="n"/>
      <c r="J130" s="82" t="n"/>
      <c r="K130" s="82" t="n"/>
      <c r="L130" s="82" t="n"/>
      <c r="M130" s="50" t="n"/>
      <c r="N130" s="4" t="n"/>
      <c r="O130" s="82" t="n"/>
      <c r="P130" s="50" t="n"/>
      <c r="Q130" s="4" t="n"/>
      <c r="R130" s="4" t="n"/>
      <c r="S130" s="4" t="n"/>
    </row>
    <row r="131">
      <c r="A131" s="4" t="n"/>
      <c r="B131" s="50" t="n"/>
      <c r="C131" s="4" t="n"/>
      <c r="D131" s="81" t="n"/>
      <c r="E131" s="82" t="n"/>
      <c r="F131" s="4" t="n"/>
      <c r="G131" s="4" t="n"/>
      <c r="H131" s="4" t="n"/>
      <c r="I131" s="81" t="n"/>
      <c r="J131" s="82" t="n"/>
      <c r="K131" s="82" t="n"/>
      <c r="L131" s="82" t="n"/>
      <c r="M131" s="50" t="n"/>
      <c r="N131" s="4" t="n"/>
      <c r="O131" s="82" t="n"/>
      <c r="P131" s="50" t="n"/>
      <c r="Q131" s="4" t="n"/>
      <c r="R131" s="4" t="n"/>
      <c r="S131" s="4" t="n"/>
    </row>
    <row r="132">
      <c r="A132" s="4" t="n"/>
      <c r="B132" s="50" t="n"/>
      <c r="C132" s="4" t="n"/>
      <c r="D132" s="81" t="n"/>
      <c r="E132" s="82" t="n"/>
      <c r="F132" s="4" t="n"/>
      <c r="G132" s="4" t="n"/>
      <c r="H132" s="4" t="n"/>
      <c r="I132" s="81" t="n"/>
      <c r="J132" s="82" t="n"/>
      <c r="K132" s="82" t="n"/>
      <c r="L132" s="82" t="n"/>
      <c r="M132" s="50" t="n"/>
      <c r="N132" s="4" t="n"/>
      <c r="O132" s="82" t="n"/>
      <c r="P132" s="50" t="n"/>
      <c r="Q132" s="4" t="n"/>
      <c r="R132" s="4" t="n"/>
      <c r="S132" s="4" t="n"/>
    </row>
    <row r="133">
      <c r="A133" s="4" t="n"/>
      <c r="B133" s="50" t="n"/>
      <c r="C133" s="4" t="n"/>
      <c r="D133" s="81" t="n"/>
      <c r="E133" s="82" t="n"/>
      <c r="F133" s="4" t="n"/>
      <c r="G133" s="4" t="n"/>
      <c r="H133" s="4" t="n"/>
      <c r="I133" s="81" t="n"/>
      <c r="J133" s="82" t="n"/>
      <c r="K133" s="82" t="n"/>
      <c r="L133" s="82" t="n"/>
      <c r="M133" s="50" t="n"/>
      <c r="N133" s="4" t="n"/>
      <c r="O133" s="82" t="n"/>
      <c r="P133" s="50" t="n"/>
      <c r="Q133" s="4" t="n"/>
      <c r="R133" s="4" t="n"/>
      <c r="S133" s="4" t="n"/>
    </row>
    <row r="134">
      <c r="A134" s="4" t="n"/>
      <c r="B134" s="50" t="n"/>
      <c r="C134" s="4" t="n"/>
      <c r="D134" s="81" t="n"/>
      <c r="E134" s="82" t="n"/>
      <c r="F134" s="4" t="n"/>
      <c r="G134" s="4" t="n"/>
      <c r="H134" s="4" t="n"/>
      <c r="I134" s="81" t="n"/>
      <c r="J134" s="82" t="n"/>
      <c r="K134" s="82" t="n"/>
      <c r="L134" s="82" t="n"/>
      <c r="M134" s="50" t="n"/>
      <c r="N134" s="4" t="n"/>
      <c r="O134" s="82" t="n"/>
      <c r="P134" s="50" t="n"/>
      <c r="Q134" s="4" t="n"/>
      <c r="R134" s="4" t="n"/>
      <c r="S134" s="4" t="n"/>
    </row>
    <row r="135">
      <c r="A135" s="4" t="n"/>
      <c r="B135" s="50" t="n"/>
      <c r="C135" s="4" t="n"/>
      <c r="D135" s="81" t="n"/>
      <c r="E135" s="82" t="n"/>
      <c r="F135" s="4" t="n"/>
      <c r="G135" s="4" t="n"/>
      <c r="H135" s="4" t="n"/>
      <c r="I135" s="81" t="n"/>
      <c r="J135" s="82" t="n"/>
      <c r="K135" s="82" t="n"/>
      <c r="L135" s="82" t="n"/>
      <c r="M135" s="50" t="n"/>
      <c r="N135" s="4" t="n"/>
      <c r="O135" s="82" t="n"/>
      <c r="P135" s="50" t="n"/>
      <c r="Q135" s="4" t="n"/>
      <c r="R135" s="4" t="n"/>
      <c r="S135" s="4" t="n"/>
    </row>
    <row r="136">
      <c r="A136" s="4" t="n"/>
      <c r="B136" s="50" t="n"/>
      <c r="C136" s="4" t="n"/>
      <c r="D136" s="81" t="n"/>
      <c r="E136" s="82" t="n"/>
      <c r="F136" s="4" t="n"/>
      <c r="G136" s="4" t="n"/>
      <c r="H136" s="4" t="n"/>
      <c r="I136" s="81" t="n"/>
      <c r="J136" s="82" t="n"/>
      <c r="K136" s="82" t="n"/>
      <c r="L136" s="82" t="n"/>
      <c r="M136" s="50" t="n"/>
      <c r="N136" s="4" t="n"/>
      <c r="O136" s="82" t="n"/>
      <c r="P136" s="50" t="n"/>
      <c r="Q136" s="4" t="n"/>
      <c r="R136" s="4" t="n"/>
      <c r="S136" s="4" t="n"/>
    </row>
    <row r="137">
      <c r="A137" s="4" t="n"/>
      <c r="B137" s="50" t="n"/>
      <c r="C137" s="4" t="n"/>
      <c r="D137" s="81" t="n"/>
      <c r="E137" s="82" t="n"/>
      <c r="F137" s="4" t="n"/>
      <c r="G137" s="4" t="n"/>
      <c r="H137" s="4" t="n"/>
      <c r="I137" s="81" t="n"/>
      <c r="J137" s="82" t="n"/>
      <c r="K137" s="82" t="n"/>
      <c r="L137" s="82" t="n"/>
      <c r="M137" s="50" t="n"/>
      <c r="N137" s="4" t="n"/>
      <c r="O137" s="82" t="n"/>
      <c r="P137" s="50" t="n"/>
      <c r="Q137" s="4" t="n"/>
      <c r="R137" s="4" t="n"/>
      <c r="S137" s="4" t="n"/>
    </row>
    <row r="138">
      <c r="A138" s="4" t="n"/>
      <c r="B138" s="50" t="n"/>
      <c r="C138" s="4" t="n"/>
      <c r="D138" s="81" t="n"/>
      <c r="E138" s="82" t="n"/>
      <c r="F138" s="4" t="n"/>
      <c r="G138" s="4" t="n"/>
      <c r="H138" s="4" t="n"/>
      <c r="I138" s="81" t="n"/>
      <c r="J138" s="82" t="n"/>
      <c r="K138" s="82" t="n"/>
      <c r="L138" s="82" t="n"/>
      <c r="M138" s="50" t="n"/>
      <c r="N138" s="4" t="n"/>
      <c r="O138" s="82" t="n"/>
      <c r="P138" s="50" t="n"/>
      <c r="Q138" s="4" t="n"/>
      <c r="R138" s="4" t="n"/>
      <c r="S138" s="4" t="n"/>
    </row>
    <row r="139">
      <c r="A139" s="4" t="n"/>
      <c r="B139" s="50" t="n"/>
      <c r="C139" s="4" t="n"/>
      <c r="D139" s="81" t="n"/>
      <c r="E139" s="82" t="n"/>
      <c r="F139" s="4" t="n"/>
      <c r="G139" s="4" t="n"/>
      <c r="H139" s="4" t="n"/>
      <c r="I139" s="81" t="n"/>
      <c r="J139" s="82" t="n"/>
      <c r="K139" s="82" t="n"/>
      <c r="L139" s="82" t="n"/>
      <c r="M139" s="50" t="n"/>
      <c r="N139" s="4" t="n"/>
      <c r="O139" s="82" t="n"/>
      <c r="P139" s="50" t="n"/>
      <c r="Q139" s="4" t="n"/>
      <c r="R139" s="4" t="n"/>
      <c r="S139" s="4" t="n"/>
    </row>
    <row r="140">
      <c r="A140" s="4" t="n"/>
      <c r="B140" s="50" t="n"/>
      <c r="C140" s="4" t="n"/>
      <c r="D140" s="81" t="n"/>
      <c r="E140" s="82" t="n"/>
      <c r="F140" s="4" t="n"/>
      <c r="G140" s="4" t="n"/>
      <c r="H140" s="4" t="n"/>
      <c r="I140" s="81" t="n"/>
      <c r="J140" s="82" t="n"/>
      <c r="K140" s="82" t="n"/>
      <c r="L140" s="82" t="n"/>
      <c r="M140" s="50" t="n"/>
      <c r="N140" s="4" t="n"/>
      <c r="O140" s="82" t="n"/>
      <c r="P140" s="50" t="n"/>
      <c r="Q140" s="4" t="n"/>
      <c r="R140" s="4" t="n"/>
      <c r="S140" s="4" t="n"/>
    </row>
    <row r="141">
      <c r="A141" s="4" t="n"/>
      <c r="B141" s="50" t="n"/>
      <c r="C141" s="4" t="n"/>
      <c r="D141" s="81" t="n"/>
      <c r="E141" s="82" t="n"/>
      <c r="F141" s="4" t="n"/>
      <c r="G141" s="4" t="n"/>
      <c r="H141" s="4" t="n"/>
      <c r="I141" s="81" t="n"/>
      <c r="J141" s="82" t="n"/>
      <c r="K141" s="82" t="n"/>
      <c r="L141" s="82" t="n"/>
      <c r="M141" s="50" t="n"/>
      <c r="N141" s="4" t="n"/>
      <c r="O141" s="82" t="n"/>
      <c r="P141" s="50" t="n"/>
      <c r="Q141" s="4" t="n"/>
      <c r="R141" s="4" t="n"/>
      <c r="S141" s="4" t="n"/>
    </row>
    <row r="142">
      <c r="A142" s="4" t="n"/>
      <c r="B142" s="50" t="n"/>
      <c r="C142" s="4" t="n"/>
      <c r="D142" s="81" t="n"/>
      <c r="E142" s="82" t="n"/>
      <c r="F142" s="4" t="n"/>
      <c r="G142" s="4" t="n"/>
      <c r="H142" s="4" t="n"/>
      <c r="I142" s="81" t="n"/>
      <c r="J142" s="82" t="n"/>
      <c r="K142" s="82" t="n"/>
      <c r="L142" s="82" t="n"/>
      <c r="M142" s="50" t="n"/>
      <c r="N142" s="4" t="n"/>
      <c r="O142" s="82" t="n"/>
      <c r="P142" s="50" t="n"/>
      <c r="Q142" s="4" t="n"/>
      <c r="R142" s="4" t="n"/>
      <c r="S142" s="4" t="n"/>
    </row>
    <row r="143">
      <c r="A143" s="4" t="n"/>
      <c r="B143" s="50" t="n"/>
      <c r="C143" s="4" t="n"/>
      <c r="D143" s="81" t="n"/>
      <c r="E143" s="82" t="n"/>
      <c r="F143" s="4" t="n"/>
      <c r="G143" s="4" t="n"/>
      <c r="H143" s="4" t="n"/>
      <c r="I143" s="81" t="n"/>
      <c r="J143" s="82" t="n"/>
      <c r="K143" s="82" t="n"/>
      <c r="L143" s="82" t="n"/>
      <c r="M143" s="50" t="n"/>
      <c r="N143" s="4" t="n"/>
      <c r="O143" s="82" t="n"/>
      <c r="P143" s="50" t="n"/>
      <c r="Q143" s="4" t="n"/>
      <c r="R143" s="4" t="n"/>
      <c r="S143" s="4" t="n"/>
    </row>
    <row r="144">
      <c r="A144" s="4" t="n"/>
      <c r="B144" s="50" t="n"/>
      <c r="C144" s="4" t="n"/>
      <c r="D144" s="81" t="n"/>
      <c r="E144" s="82" t="n"/>
      <c r="F144" s="4" t="n"/>
      <c r="G144" s="4" t="n"/>
      <c r="H144" s="4" t="n"/>
      <c r="I144" s="81" t="n"/>
      <c r="J144" s="82" t="n"/>
      <c r="K144" s="82" t="n"/>
      <c r="L144" s="82" t="n"/>
      <c r="M144" s="50" t="n"/>
      <c r="N144" s="4" t="n"/>
      <c r="O144" s="82" t="n"/>
      <c r="P144" s="50" t="n"/>
      <c r="Q144" s="4" t="n"/>
      <c r="R144" s="4" t="n"/>
      <c r="S144" s="4" t="n"/>
    </row>
    <row r="145">
      <c r="A145" s="4" t="n"/>
      <c r="B145" s="50" t="n"/>
      <c r="C145" s="4" t="n"/>
      <c r="D145" s="81" t="n"/>
      <c r="E145" s="82" t="n"/>
      <c r="F145" s="4" t="n"/>
      <c r="G145" s="4" t="n"/>
      <c r="H145" s="4" t="n"/>
      <c r="I145" s="81" t="n"/>
      <c r="J145" s="82" t="n"/>
      <c r="K145" s="82" t="n"/>
      <c r="L145" s="82" t="n"/>
      <c r="M145" s="50" t="n"/>
      <c r="N145" s="4" t="n"/>
      <c r="O145" s="82" t="n"/>
      <c r="P145" s="50" t="n"/>
      <c r="Q145" s="4" t="n"/>
      <c r="R145" s="4" t="n"/>
      <c r="S145" s="4" t="n"/>
    </row>
    <row r="146">
      <c r="A146" s="4" t="n"/>
      <c r="B146" s="50" t="n"/>
      <c r="C146" s="4" t="n"/>
      <c r="D146" s="81" t="n"/>
      <c r="E146" s="82" t="n"/>
      <c r="F146" s="4" t="n"/>
      <c r="G146" s="4" t="n"/>
      <c r="H146" s="4" t="n"/>
      <c r="I146" s="81" t="n"/>
      <c r="J146" s="82" t="n"/>
      <c r="K146" s="82" t="n"/>
      <c r="L146" s="82" t="n"/>
      <c r="M146" s="50" t="n"/>
      <c r="N146" s="4" t="n"/>
      <c r="O146" s="82" t="n"/>
      <c r="P146" s="50" t="n"/>
      <c r="Q146" s="4" t="n"/>
      <c r="R146" s="4" t="n"/>
      <c r="S146" s="4" t="n"/>
    </row>
    <row r="147">
      <c r="A147" s="4" t="n"/>
      <c r="B147" s="50" t="n"/>
      <c r="C147" s="4" t="n"/>
      <c r="D147" s="81" t="n"/>
      <c r="E147" s="82" t="n"/>
      <c r="F147" s="4" t="n"/>
      <c r="G147" s="4" t="n"/>
      <c r="H147" s="4" t="n"/>
      <c r="I147" s="81" t="n"/>
      <c r="J147" s="82" t="n"/>
      <c r="K147" s="82" t="n"/>
      <c r="L147" s="82" t="n"/>
      <c r="M147" s="50" t="n"/>
      <c r="N147" s="4" t="n"/>
      <c r="O147" s="82" t="n"/>
      <c r="P147" s="50" t="n"/>
      <c r="Q147" s="4" t="n"/>
      <c r="R147" s="4" t="n"/>
      <c r="S147" s="4" t="n"/>
    </row>
    <row r="148">
      <c r="A148" s="4" t="n"/>
      <c r="B148" s="50" t="n"/>
      <c r="C148" s="4" t="n"/>
      <c r="D148" s="81" t="n"/>
      <c r="E148" s="82" t="n"/>
      <c r="F148" s="4" t="n"/>
      <c r="G148" s="4" t="n"/>
      <c r="H148" s="4" t="n"/>
      <c r="I148" s="81" t="n"/>
      <c r="J148" s="82" t="n"/>
      <c r="K148" s="82" t="n"/>
      <c r="L148" s="82" t="n"/>
      <c r="M148" s="50" t="n"/>
      <c r="N148" s="4" t="n"/>
      <c r="O148" s="82" t="n"/>
      <c r="P148" s="50" t="n"/>
      <c r="Q148" s="4" t="n"/>
      <c r="R148" s="4" t="n"/>
      <c r="S148" s="4" t="n"/>
    </row>
    <row r="149">
      <c r="A149" s="4" t="n"/>
      <c r="B149" s="50" t="n"/>
      <c r="C149" s="4" t="n"/>
      <c r="D149" s="81" t="n"/>
      <c r="E149" s="82" t="n"/>
      <c r="F149" s="4" t="n"/>
      <c r="G149" s="4" t="n"/>
      <c r="H149" s="4" t="n"/>
      <c r="I149" s="81" t="n"/>
      <c r="J149" s="82" t="n"/>
      <c r="K149" s="82" t="n"/>
      <c r="L149" s="82" t="n"/>
      <c r="M149" s="50" t="n"/>
      <c r="N149" s="4" t="n"/>
      <c r="O149" s="82" t="n"/>
      <c r="P149" s="50" t="n"/>
      <c r="Q149" s="4" t="n"/>
      <c r="R149" s="4" t="n"/>
      <c r="S149" s="4" t="n"/>
    </row>
    <row r="150">
      <c r="A150" s="4" t="n"/>
      <c r="B150" s="50" t="n"/>
      <c r="C150" s="4" t="n"/>
      <c r="D150" s="81" t="n"/>
      <c r="E150" s="82" t="n"/>
      <c r="F150" s="4" t="n"/>
      <c r="G150" s="4" t="n"/>
      <c r="H150" s="4" t="n"/>
      <c r="I150" s="81" t="n"/>
      <c r="J150" s="82" t="n"/>
      <c r="K150" s="82" t="n"/>
      <c r="L150" s="82" t="n"/>
      <c r="M150" s="50" t="n"/>
      <c r="N150" s="4" t="n"/>
      <c r="O150" s="82" t="n"/>
      <c r="P150" s="50" t="n"/>
      <c r="Q150" s="4" t="n"/>
      <c r="R150" s="4" t="n"/>
      <c r="S150" s="4" t="n"/>
    </row>
    <row r="151">
      <c r="A151" s="4" t="n"/>
      <c r="B151" s="50" t="n"/>
      <c r="C151" s="4" t="n"/>
      <c r="D151" s="81" t="n"/>
      <c r="E151" s="82" t="n"/>
      <c r="F151" s="4" t="n"/>
      <c r="G151" s="4" t="n"/>
      <c r="H151" s="4" t="n"/>
      <c r="I151" s="81" t="n"/>
      <c r="J151" s="82" t="n"/>
      <c r="K151" s="82" t="n"/>
      <c r="L151" s="82" t="n"/>
      <c r="M151" s="50" t="n"/>
      <c r="N151" s="4" t="n"/>
      <c r="O151" s="82" t="n"/>
      <c r="P151" s="50" t="n"/>
      <c r="Q151" s="4" t="n"/>
      <c r="R151" s="4" t="n"/>
      <c r="S151" s="4" t="n"/>
    </row>
    <row r="152">
      <c r="A152" s="4" t="n"/>
      <c r="B152" s="50" t="n"/>
      <c r="C152" s="4" t="n"/>
      <c r="D152" s="81" t="n"/>
      <c r="E152" s="82" t="n"/>
      <c r="F152" s="4" t="n"/>
      <c r="G152" s="4" t="n"/>
      <c r="H152" s="4" t="n"/>
      <c r="I152" s="81" t="n"/>
      <c r="J152" s="82" t="n"/>
      <c r="K152" s="82" t="n"/>
      <c r="L152" s="82" t="n"/>
      <c r="M152" s="50" t="n"/>
      <c r="N152" s="4" t="n"/>
      <c r="O152" s="82" t="n"/>
      <c r="P152" s="50" t="n"/>
      <c r="Q152" s="4" t="n"/>
      <c r="R152" s="4" t="n"/>
      <c r="S152" s="4" t="n"/>
    </row>
    <row r="153">
      <c r="A153" s="4" t="n"/>
      <c r="B153" s="50" t="n"/>
      <c r="C153" s="4" t="n"/>
      <c r="D153" s="81" t="n"/>
      <c r="E153" s="82" t="n"/>
      <c r="F153" s="4" t="n"/>
      <c r="G153" s="4" t="n"/>
      <c r="H153" s="4" t="n"/>
      <c r="I153" s="81" t="n"/>
      <c r="J153" s="82" t="n"/>
      <c r="K153" s="82" t="n"/>
      <c r="L153" s="82" t="n"/>
      <c r="M153" s="50" t="n"/>
      <c r="N153" s="4" t="n"/>
      <c r="O153" s="82" t="n"/>
      <c r="P153" s="50" t="n"/>
      <c r="Q153" s="4" t="n"/>
      <c r="R153" s="4" t="n"/>
      <c r="S153" s="4" t="n"/>
    </row>
    <row r="154">
      <c r="A154" s="4" t="n"/>
      <c r="B154" s="50" t="n"/>
      <c r="C154" s="4" t="n"/>
      <c r="D154" s="81" t="n"/>
      <c r="E154" s="82" t="n"/>
      <c r="F154" s="4" t="n"/>
      <c r="G154" s="4" t="n"/>
      <c r="H154" s="4" t="n"/>
      <c r="I154" s="81" t="n"/>
      <c r="J154" s="82" t="n"/>
      <c r="K154" s="82" t="n"/>
      <c r="L154" s="82" t="n"/>
      <c r="M154" s="50" t="n"/>
      <c r="N154" s="4" t="n"/>
      <c r="O154" s="82" t="n"/>
      <c r="P154" s="50" t="n"/>
      <c r="Q154" s="4" t="n"/>
      <c r="R154" s="4" t="n"/>
      <c r="S154" s="4" t="n"/>
    </row>
    <row r="155">
      <c r="A155" s="4" t="n"/>
      <c r="B155" s="50" t="n"/>
      <c r="C155" s="4" t="n"/>
      <c r="D155" s="81" t="n"/>
      <c r="E155" s="82" t="n"/>
      <c r="F155" s="4" t="n"/>
      <c r="G155" s="4" t="n"/>
      <c r="H155" s="4" t="n"/>
      <c r="I155" s="81" t="n"/>
      <c r="J155" s="82" t="n"/>
      <c r="K155" s="82" t="n"/>
      <c r="L155" s="82" t="n"/>
      <c r="M155" s="50" t="n"/>
      <c r="N155" s="4" t="n"/>
      <c r="O155" s="82" t="n"/>
      <c r="P155" s="50" t="n"/>
      <c r="Q155" s="4" t="n"/>
      <c r="R155" s="4" t="n"/>
      <c r="S155" s="4" t="n"/>
    </row>
    <row r="156">
      <c r="A156" s="4" t="n"/>
      <c r="B156" s="50" t="n"/>
      <c r="C156" s="4" t="n"/>
      <c r="D156" s="81" t="n"/>
      <c r="E156" s="82" t="n"/>
      <c r="F156" s="4" t="n"/>
      <c r="G156" s="4" t="n"/>
      <c r="H156" s="4" t="n"/>
      <c r="I156" s="81" t="n"/>
      <c r="J156" s="82" t="n"/>
      <c r="K156" s="82" t="n"/>
      <c r="L156" s="82" t="n"/>
      <c r="M156" s="50" t="n"/>
      <c r="N156" s="4" t="n"/>
      <c r="O156" s="82" t="n"/>
      <c r="P156" s="50" t="n"/>
      <c r="Q156" s="4" t="n"/>
      <c r="R156" s="4" t="n"/>
      <c r="S156" s="4" t="n"/>
    </row>
    <row r="157">
      <c r="A157" s="4" t="n"/>
      <c r="B157" s="50" t="n"/>
      <c r="C157" s="4" t="n"/>
      <c r="D157" s="81" t="n"/>
      <c r="E157" s="82" t="n"/>
      <c r="F157" s="4" t="n"/>
      <c r="G157" s="4" t="n"/>
      <c r="H157" s="4" t="n"/>
      <c r="I157" s="81" t="n"/>
      <c r="J157" s="82" t="n"/>
      <c r="K157" s="82" t="n"/>
      <c r="L157" s="82" t="n"/>
      <c r="M157" s="50" t="n"/>
      <c r="N157" s="4" t="n"/>
      <c r="O157" s="82" t="n"/>
      <c r="P157" s="50" t="n"/>
      <c r="Q157" s="4" t="n"/>
      <c r="R157" s="4" t="n"/>
      <c r="S157" s="4" t="n"/>
    </row>
    <row r="158">
      <c r="A158" s="4" t="n"/>
      <c r="B158" s="50" t="n"/>
      <c r="C158" s="4" t="n"/>
      <c r="D158" s="81" t="n"/>
      <c r="E158" s="82" t="n"/>
      <c r="F158" s="4" t="n"/>
      <c r="G158" s="4" t="n"/>
      <c r="H158" s="4" t="n"/>
      <c r="I158" s="81" t="n"/>
      <c r="J158" s="82" t="n"/>
      <c r="K158" s="82" t="n"/>
      <c r="L158" s="82" t="n"/>
      <c r="M158" s="50" t="n"/>
      <c r="N158" s="4" t="n"/>
      <c r="O158" s="82" t="n"/>
      <c r="P158" s="50" t="n"/>
      <c r="Q158" s="4" t="n"/>
      <c r="R158" s="4" t="n"/>
      <c r="S158" s="4" t="n"/>
    </row>
    <row r="159">
      <c r="A159" s="4" t="n"/>
      <c r="B159" s="50" t="n"/>
      <c r="C159" s="4" t="n"/>
      <c r="D159" s="81" t="n"/>
      <c r="E159" s="82" t="n"/>
      <c r="F159" s="4" t="n"/>
      <c r="G159" s="4" t="n"/>
      <c r="H159" s="4" t="n"/>
      <c r="I159" s="81" t="n"/>
      <c r="J159" s="82" t="n"/>
      <c r="K159" s="82" t="n"/>
      <c r="L159" s="82" t="n"/>
      <c r="M159" s="50" t="n"/>
      <c r="N159" s="4" t="n"/>
      <c r="O159" s="82" t="n"/>
      <c r="P159" s="50" t="n"/>
      <c r="Q159" s="4" t="n"/>
      <c r="R159" s="4" t="n"/>
      <c r="S159" s="4" t="n"/>
    </row>
    <row r="160">
      <c r="A160" s="4" t="n"/>
      <c r="B160" s="50" t="n"/>
      <c r="C160" s="4" t="n"/>
      <c r="D160" s="81" t="n"/>
      <c r="E160" s="82" t="n"/>
      <c r="F160" s="4" t="n"/>
      <c r="G160" s="4" t="n"/>
      <c r="H160" s="4" t="n"/>
      <c r="I160" s="81" t="n"/>
      <c r="J160" s="82" t="n"/>
      <c r="K160" s="82" t="n"/>
      <c r="L160" s="82" t="n"/>
      <c r="M160" s="50" t="n"/>
      <c r="N160" s="4" t="n"/>
      <c r="O160" s="82" t="n"/>
      <c r="P160" s="50" t="n"/>
      <c r="Q160" s="4" t="n"/>
      <c r="R160" s="4" t="n"/>
      <c r="S160" s="4" t="n"/>
    </row>
    <row r="161">
      <c r="A161" s="4" t="n"/>
      <c r="B161" s="50" t="n"/>
      <c r="C161" s="4" t="n"/>
      <c r="D161" s="81" t="n"/>
      <c r="E161" s="82" t="n"/>
      <c r="F161" s="4" t="n"/>
      <c r="G161" s="4" t="n"/>
      <c r="H161" s="4" t="n"/>
      <c r="I161" s="81" t="n"/>
      <c r="J161" s="82" t="n"/>
      <c r="K161" s="82" t="n"/>
      <c r="L161" s="82" t="n"/>
      <c r="M161" s="50" t="n"/>
      <c r="N161" s="4" t="n"/>
      <c r="O161" s="82" t="n"/>
      <c r="P161" s="50" t="n"/>
      <c r="Q161" s="4" t="n"/>
      <c r="R161" s="4" t="n"/>
      <c r="S161" s="4" t="n"/>
    </row>
    <row r="162">
      <c r="A162" s="4" t="n"/>
      <c r="B162" s="50" t="n"/>
      <c r="C162" s="4" t="n"/>
      <c r="D162" s="81" t="n"/>
      <c r="E162" s="82" t="n"/>
      <c r="F162" s="4" t="n"/>
      <c r="G162" s="4" t="n"/>
      <c r="H162" s="4" t="n"/>
      <c r="I162" s="81" t="n"/>
      <c r="J162" s="82" t="n"/>
      <c r="K162" s="82" t="n"/>
      <c r="L162" s="82" t="n"/>
      <c r="M162" s="50" t="n"/>
      <c r="N162" s="4" t="n"/>
      <c r="O162" s="82" t="n"/>
      <c r="P162" s="50" t="n"/>
      <c r="Q162" s="4" t="n"/>
      <c r="R162" s="4" t="n"/>
      <c r="S162" s="4" t="n"/>
    </row>
    <row r="163">
      <c r="A163" s="4" t="n"/>
      <c r="B163" s="50" t="n"/>
      <c r="C163" s="4" t="n"/>
      <c r="D163" s="81" t="n"/>
      <c r="E163" s="82" t="n"/>
      <c r="F163" s="4" t="n"/>
      <c r="G163" s="4" t="n"/>
      <c r="H163" s="4" t="n"/>
      <c r="I163" s="81" t="n"/>
      <c r="J163" s="82" t="n"/>
      <c r="K163" s="82" t="n"/>
      <c r="L163" s="82" t="n"/>
      <c r="M163" s="50" t="n"/>
      <c r="N163" s="4" t="n"/>
      <c r="O163" s="82" t="n"/>
      <c r="P163" s="50" t="n"/>
      <c r="Q163" s="4" t="n"/>
      <c r="R163" s="4" t="n"/>
      <c r="S163" s="4" t="n"/>
    </row>
    <row r="164">
      <c r="A164" s="4" t="n"/>
      <c r="B164" s="50" t="n"/>
      <c r="C164" s="4" t="n"/>
      <c r="D164" s="81" t="n"/>
      <c r="E164" s="82" t="n"/>
      <c r="F164" s="4" t="n"/>
      <c r="G164" s="4" t="n"/>
      <c r="H164" s="4" t="n"/>
      <c r="I164" s="81" t="n"/>
      <c r="J164" s="82" t="n"/>
      <c r="K164" s="82" t="n"/>
      <c r="L164" s="82" t="n"/>
      <c r="M164" s="50" t="n"/>
      <c r="N164" s="4" t="n"/>
      <c r="O164" s="82" t="n"/>
      <c r="P164" s="50" t="n"/>
      <c r="Q164" s="4" t="n"/>
      <c r="R164" s="4" t="n"/>
      <c r="S164" s="4" t="n"/>
    </row>
    <row r="165">
      <c r="A165" s="4" t="n"/>
      <c r="B165" s="50" t="n"/>
      <c r="C165" s="4" t="n"/>
      <c r="D165" s="81" t="n"/>
      <c r="E165" s="82" t="n"/>
      <c r="F165" s="4" t="n"/>
      <c r="G165" s="4" t="n"/>
      <c r="H165" s="4" t="n"/>
      <c r="I165" s="81" t="n"/>
      <c r="J165" s="82" t="n"/>
      <c r="K165" s="82" t="n"/>
      <c r="L165" s="82" t="n"/>
      <c r="M165" s="50" t="n"/>
      <c r="N165" s="4" t="n"/>
      <c r="O165" s="82" t="n"/>
      <c r="P165" s="50" t="n"/>
      <c r="Q165" s="4" t="n"/>
      <c r="R165" s="4" t="n"/>
      <c r="S165" s="4" t="n"/>
    </row>
    <row r="166">
      <c r="A166" s="4" t="n"/>
      <c r="B166" s="50" t="n"/>
      <c r="C166" s="4" t="n"/>
      <c r="D166" s="81" t="n"/>
      <c r="E166" s="82" t="n"/>
      <c r="F166" s="4" t="n"/>
      <c r="G166" s="4" t="n"/>
      <c r="H166" s="4" t="n"/>
      <c r="I166" s="81" t="n"/>
      <c r="J166" s="82" t="n"/>
      <c r="K166" s="82" t="n"/>
      <c r="L166" s="82" t="n"/>
      <c r="M166" s="50" t="n"/>
      <c r="N166" s="4" t="n"/>
      <c r="O166" s="82" t="n"/>
      <c r="P166" s="50" t="n"/>
      <c r="Q166" s="4" t="n"/>
      <c r="R166" s="4" t="n"/>
      <c r="S166" s="4" t="n"/>
    </row>
    <row r="167">
      <c r="A167" s="4" t="n"/>
      <c r="B167" s="50" t="n"/>
      <c r="C167" s="4" t="n"/>
      <c r="D167" s="81" t="n"/>
      <c r="E167" s="82" t="n"/>
      <c r="F167" s="4" t="n"/>
      <c r="G167" s="4" t="n"/>
      <c r="H167" s="4" t="n"/>
      <c r="I167" s="81" t="n"/>
      <c r="J167" s="82" t="n"/>
      <c r="K167" s="82" t="n"/>
      <c r="L167" s="82" t="n"/>
      <c r="M167" s="50" t="n"/>
      <c r="N167" s="4" t="n"/>
      <c r="O167" s="82" t="n"/>
      <c r="P167" s="50" t="n"/>
      <c r="Q167" s="4" t="n"/>
      <c r="R167" s="4" t="n"/>
      <c r="S167" s="4" t="n"/>
    </row>
    <row r="168">
      <c r="A168" s="4" t="n"/>
      <c r="B168" s="50" t="n"/>
      <c r="C168" s="4" t="n"/>
      <c r="D168" s="81" t="n"/>
      <c r="E168" s="82" t="n"/>
      <c r="F168" s="4" t="n"/>
      <c r="G168" s="4" t="n"/>
      <c r="H168" s="4" t="n"/>
      <c r="I168" s="81" t="n"/>
      <c r="J168" s="82" t="n"/>
      <c r="K168" s="82" t="n"/>
      <c r="L168" s="82" t="n"/>
      <c r="M168" s="50" t="n"/>
      <c r="N168" s="4" t="n"/>
      <c r="O168" s="82" t="n"/>
      <c r="P168" s="50" t="n"/>
      <c r="Q168" s="4" t="n"/>
      <c r="R168" s="4" t="n"/>
      <c r="S168" s="4" t="n"/>
    </row>
    <row r="169">
      <c r="A169" s="4" t="n"/>
      <c r="B169" s="50" t="n"/>
      <c r="C169" s="4" t="n"/>
      <c r="D169" s="81" t="n"/>
      <c r="E169" s="82" t="n"/>
      <c r="F169" s="4" t="n"/>
      <c r="G169" s="4" t="n"/>
      <c r="H169" s="4" t="n"/>
      <c r="I169" s="81" t="n"/>
      <c r="J169" s="82" t="n"/>
      <c r="K169" s="82" t="n"/>
      <c r="L169" s="82" t="n"/>
      <c r="M169" s="50" t="n"/>
      <c r="N169" s="4" t="n"/>
      <c r="O169" s="82" t="n"/>
      <c r="P169" s="50" t="n"/>
      <c r="Q169" s="4" t="n"/>
      <c r="R169" s="4" t="n"/>
      <c r="S169" s="4" t="n"/>
    </row>
    <row r="170">
      <c r="A170" s="4" t="n"/>
      <c r="B170" s="50" t="n"/>
      <c r="C170" s="4" t="n"/>
      <c r="D170" s="81" t="n"/>
      <c r="E170" s="82" t="n"/>
      <c r="F170" s="4" t="n"/>
      <c r="G170" s="4" t="n"/>
      <c r="H170" s="4" t="n"/>
      <c r="I170" s="81" t="n"/>
      <c r="J170" s="82" t="n"/>
      <c r="K170" s="82" t="n"/>
      <c r="L170" s="82" t="n"/>
      <c r="M170" s="50" t="n"/>
      <c r="N170" s="4" t="n"/>
      <c r="O170" s="82" t="n"/>
      <c r="P170" s="50" t="n"/>
      <c r="Q170" s="4" t="n"/>
      <c r="R170" s="4" t="n"/>
      <c r="S170" s="4" t="n"/>
    </row>
    <row r="171">
      <c r="A171" s="4" t="n"/>
      <c r="B171" s="50" t="n"/>
      <c r="C171" s="4" t="n"/>
      <c r="D171" s="81" t="n"/>
      <c r="E171" s="82" t="n"/>
      <c r="F171" s="4" t="n"/>
      <c r="G171" s="4" t="n"/>
      <c r="H171" s="4" t="n"/>
      <c r="I171" s="81" t="n"/>
      <c r="J171" s="82" t="n"/>
      <c r="K171" s="82" t="n"/>
      <c r="L171" s="82" t="n"/>
      <c r="M171" s="50" t="n"/>
      <c r="N171" s="4" t="n"/>
      <c r="O171" s="82" t="n"/>
      <c r="P171" s="50" t="n"/>
      <c r="Q171" s="4" t="n"/>
      <c r="R171" s="4" t="n"/>
      <c r="S171" s="4" t="n"/>
    </row>
    <row r="172">
      <c r="A172" s="4" t="n"/>
      <c r="B172" s="50" t="n"/>
      <c r="C172" s="4" t="n"/>
      <c r="D172" s="81" t="n"/>
      <c r="E172" s="82" t="n"/>
      <c r="F172" s="4" t="n"/>
      <c r="G172" s="4" t="n"/>
      <c r="H172" s="4" t="n"/>
      <c r="I172" s="81" t="n"/>
      <c r="J172" s="82" t="n"/>
      <c r="K172" s="82" t="n"/>
      <c r="L172" s="82" t="n"/>
      <c r="M172" s="50" t="n"/>
      <c r="N172" s="4" t="n"/>
      <c r="O172" s="82" t="n"/>
      <c r="P172" s="50" t="n"/>
      <c r="Q172" s="4" t="n"/>
      <c r="R172" s="4" t="n"/>
      <c r="S172" s="4" t="n"/>
    </row>
    <row r="173">
      <c r="A173" s="4" t="n"/>
      <c r="B173" s="50" t="n"/>
      <c r="C173" s="4" t="n"/>
      <c r="D173" s="81" t="n"/>
      <c r="E173" s="82" t="n"/>
      <c r="F173" s="4" t="n"/>
      <c r="G173" s="4" t="n"/>
      <c r="H173" s="4" t="n"/>
      <c r="I173" s="81" t="n"/>
      <c r="J173" s="82" t="n"/>
      <c r="K173" s="82" t="n"/>
      <c r="L173" s="82" t="n"/>
      <c r="M173" s="50" t="n"/>
      <c r="N173" s="4" t="n"/>
      <c r="O173" s="82" t="n"/>
      <c r="P173" s="50" t="n"/>
      <c r="Q173" s="4" t="n"/>
      <c r="R173" s="4" t="n"/>
      <c r="S173" s="4" t="n"/>
    </row>
    <row r="174">
      <c r="A174" s="4" t="n"/>
      <c r="B174" s="50" t="n"/>
      <c r="C174" s="4" t="n"/>
      <c r="D174" s="81" t="n"/>
      <c r="E174" s="82" t="n"/>
      <c r="F174" s="4" t="n"/>
      <c r="G174" s="4" t="n"/>
      <c r="H174" s="4" t="n"/>
      <c r="I174" s="81" t="n"/>
      <c r="J174" s="82" t="n"/>
      <c r="K174" s="82" t="n"/>
      <c r="L174" s="82" t="n"/>
      <c r="M174" s="50" t="n"/>
      <c r="N174" s="4" t="n"/>
      <c r="O174" s="82" t="n"/>
      <c r="P174" s="50" t="n"/>
      <c r="Q174" s="4" t="n"/>
      <c r="R174" s="4" t="n"/>
      <c r="S174" s="4" t="n"/>
    </row>
    <row r="175">
      <c r="A175" s="4" t="n"/>
      <c r="B175" s="50" t="n"/>
      <c r="C175" s="4" t="n"/>
      <c r="D175" s="81" t="n"/>
      <c r="E175" s="82" t="n"/>
      <c r="F175" s="4" t="n"/>
      <c r="G175" s="4" t="n"/>
      <c r="H175" s="4" t="n"/>
      <c r="I175" s="81" t="n"/>
      <c r="J175" s="82" t="n"/>
      <c r="K175" s="82" t="n"/>
      <c r="L175" s="82" t="n"/>
      <c r="M175" s="50" t="n"/>
      <c r="N175" s="4" t="n"/>
      <c r="O175" s="82" t="n"/>
      <c r="P175" s="50" t="n"/>
      <c r="Q175" s="4" t="n"/>
      <c r="R175" s="4" t="n"/>
      <c r="S175" s="4" t="n"/>
    </row>
    <row r="176">
      <c r="A176" s="4" t="n"/>
      <c r="B176" s="50" t="n"/>
      <c r="C176" s="4" t="n"/>
      <c r="D176" s="81" t="n"/>
      <c r="E176" s="82" t="n"/>
      <c r="F176" s="4" t="n"/>
      <c r="G176" s="4" t="n"/>
      <c r="H176" s="4" t="n"/>
      <c r="I176" s="81" t="n"/>
      <c r="J176" s="82" t="n"/>
      <c r="K176" s="82" t="n"/>
      <c r="L176" s="82" t="n"/>
      <c r="M176" s="50" t="n"/>
      <c r="N176" s="4" t="n"/>
      <c r="O176" s="82" t="n"/>
      <c r="P176" s="50" t="n"/>
      <c r="Q176" s="4" t="n"/>
      <c r="R176" s="4" t="n"/>
      <c r="S176" s="4" t="n"/>
    </row>
    <row r="177">
      <c r="A177" s="4" t="n"/>
      <c r="B177" s="50" t="n"/>
      <c r="C177" s="4" t="n"/>
      <c r="D177" s="81" t="n"/>
      <c r="E177" s="82" t="n"/>
      <c r="F177" s="4" t="n"/>
      <c r="G177" s="4" t="n"/>
      <c r="H177" s="4" t="n"/>
      <c r="I177" s="81" t="n"/>
      <c r="J177" s="82" t="n"/>
      <c r="K177" s="82" t="n"/>
      <c r="L177" s="82" t="n"/>
      <c r="M177" s="50" t="n"/>
      <c r="N177" s="4" t="n"/>
      <c r="O177" s="82" t="n"/>
      <c r="P177" s="50" t="n"/>
      <c r="Q177" s="4" t="n"/>
      <c r="R177" s="4" t="n"/>
      <c r="S177" s="4" t="n"/>
    </row>
    <row r="178">
      <c r="A178" s="4" t="n"/>
      <c r="B178" s="50" t="n"/>
      <c r="C178" s="4" t="n"/>
      <c r="D178" s="81" t="n"/>
      <c r="E178" s="82" t="n"/>
      <c r="F178" s="4" t="n"/>
      <c r="G178" s="4" t="n"/>
      <c r="H178" s="4" t="n"/>
      <c r="I178" s="81" t="n"/>
      <c r="J178" s="82" t="n"/>
      <c r="K178" s="82" t="n"/>
      <c r="L178" s="82" t="n"/>
      <c r="M178" s="50" t="n"/>
      <c r="N178" s="4" t="n"/>
      <c r="O178" s="82" t="n"/>
      <c r="P178" s="50" t="n"/>
      <c r="Q178" s="4" t="n"/>
      <c r="R178" s="4" t="n"/>
      <c r="S178" s="4" t="n"/>
    </row>
    <row r="179">
      <c r="A179" s="4" t="n"/>
      <c r="B179" s="50" t="n"/>
      <c r="C179" s="4" t="n"/>
      <c r="D179" s="81" t="n"/>
      <c r="E179" s="82" t="n"/>
      <c r="F179" s="4" t="n"/>
      <c r="G179" s="4" t="n"/>
      <c r="H179" s="4" t="n"/>
      <c r="I179" s="81" t="n"/>
      <c r="J179" s="82" t="n"/>
      <c r="K179" s="82" t="n"/>
      <c r="L179" s="82" t="n"/>
      <c r="M179" s="50" t="n"/>
      <c r="N179" s="4" t="n"/>
      <c r="O179" s="82" t="n"/>
      <c r="P179" s="50" t="n"/>
      <c r="Q179" s="4" t="n"/>
      <c r="R179" s="4" t="n"/>
      <c r="S179" s="4" t="n"/>
    </row>
    <row r="180">
      <c r="A180" s="4" t="n"/>
      <c r="B180" s="50" t="n"/>
      <c r="C180" s="4" t="n"/>
      <c r="D180" s="81" t="n"/>
      <c r="E180" s="82" t="n"/>
      <c r="F180" s="4" t="n"/>
      <c r="G180" s="4" t="n"/>
      <c r="H180" s="4" t="n"/>
      <c r="I180" s="81" t="n"/>
      <c r="J180" s="82" t="n"/>
      <c r="K180" s="82" t="n"/>
      <c r="L180" s="82" t="n"/>
      <c r="M180" s="50" t="n"/>
      <c r="N180" s="4" t="n"/>
      <c r="O180" s="82" t="n"/>
      <c r="P180" s="50" t="n"/>
      <c r="Q180" s="4" t="n"/>
      <c r="R180" s="4" t="n"/>
      <c r="S180" s="4" t="n"/>
    </row>
    <row r="181">
      <c r="A181" s="4" t="n"/>
      <c r="B181" s="50" t="n"/>
      <c r="C181" s="4" t="n"/>
      <c r="D181" s="81" t="n"/>
      <c r="E181" s="82" t="n"/>
      <c r="F181" s="4" t="n"/>
      <c r="G181" s="4" t="n"/>
      <c r="H181" s="4" t="n"/>
      <c r="I181" s="81" t="n"/>
      <c r="J181" s="82" t="n"/>
      <c r="K181" s="82" t="n"/>
      <c r="L181" s="82" t="n"/>
      <c r="M181" s="50" t="n"/>
      <c r="N181" s="4" t="n"/>
      <c r="O181" s="82" t="n"/>
      <c r="P181" s="50" t="n"/>
      <c r="Q181" s="4" t="n"/>
      <c r="R181" s="4" t="n"/>
      <c r="S181" s="4" t="n"/>
    </row>
    <row r="182">
      <c r="A182" s="4" t="n"/>
      <c r="B182" s="50" t="n"/>
      <c r="C182" s="4" t="n"/>
      <c r="D182" s="81" t="n"/>
      <c r="E182" s="82" t="n"/>
      <c r="F182" s="4" t="n"/>
      <c r="G182" s="4" t="n"/>
      <c r="H182" s="4" t="n"/>
      <c r="I182" s="81" t="n"/>
      <c r="J182" s="82" t="n"/>
      <c r="K182" s="82" t="n"/>
      <c r="L182" s="82" t="n"/>
      <c r="M182" s="50" t="n"/>
      <c r="N182" s="4" t="n"/>
      <c r="O182" s="82" t="n"/>
      <c r="P182" s="50" t="n"/>
      <c r="Q182" s="4" t="n"/>
      <c r="R182" s="4" t="n"/>
      <c r="S182" s="4" t="n"/>
    </row>
    <row r="183">
      <c r="A183" s="4" t="n"/>
      <c r="B183" s="50" t="n"/>
      <c r="C183" s="4" t="n"/>
      <c r="D183" s="81" t="n"/>
      <c r="E183" s="82" t="n"/>
      <c r="F183" s="4" t="n"/>
      <c r="G183" s="4" t="n"/>
      <c r="H183" s="4" t="n"/>
      <c r="I183" s="81" t="n"/>
      <c r="J183" s="82" t="n"/>
      <c r="K183" s="82" t="n"/>
      <c r="L183" s="82" t="n"/>
      <c r="M183" s="50" t="n"/>
      <c r="N183" s="4" t="n"/>
      <c r="O183" s="82" t="n"/>
      <c r="P183" s="50" t="n"/>
      <c r="Q183" s="4" t="n"/>
      <c r="R183" s="4" t="n"/>
      <c r="S183" s="4" t="n"/>
    </row>
    <row r="184">
      <c r="A184" s="4" t="n"/>
      <c r="B184" s="50" t="n"/>
      <c r="C184" s="4" t="n"/>
      <c r="D184" s="81" t="n"/>
      <c r="E184" s="82" t="n"/>
      <c r="F184" s="4" t="n"/>
      <c r="G184" s="4" t="n"/>
      <c r="H184" s="4" t="n"/>
      <c r="I184" s="81" t="n"/>
      <c r="J184" s="82" t="n"/>
      <c r="K184" s="82" t="n"/>
      <c r="L184" s="82" t="n"/>
      <c r="M184" s="50" t="n"/>
      <c r="N184" s="4" t="n"/>
      <c r="O184" s="82" t="n"/>
      <c r="P184" s="50" t="n"/>
      <c r="Q184" s="4" t="n"/>
      <c r="R184" s="4" t="n"/>
      <c r="S184" s="4" t="n"/>
    </row>
    <row r="185">
      <c r="A185" s="4" t="n"/>
      <c r="B185" s="50" t="n"/>
      <c r="C185" s="4" t="n"/>
      <c r="D185" s="81" t="n"/>
      <c r="E185" s="82" t="n"/>
      <c r="F185" s="4" t="n"/>
      <c r="G185" s="4" t="n"/>
      <c r="H185" s="4" t="n"/>
      <c r="I185" s="81" t="n"/>
      <c r="J185" s="82" t="n"/>
      <c r="K185" s="82" t="n"/>
      <c r="L185" s="82" t="n"/>
      <c r="M185" s="50" t="n"/>
      <c r="N185" s="4" t="n"/>
      <c r="O185" s="82" t="n"/>
      <c r="P185" s="50" t="n"/>
      <c r="Q185" s="4" t="n"/>
      <c r="R185" s="4" t="n"/>
      <c r="S185" s="4" t="n"/>
    </row>
    <row r="186">
      <c r="A186" s="4" t="n"/>
      <c r="B186" s="50" t="n"/>
      <c r="C186" s="4" t="n"/>
      <c r="D186" s="81" t="n"/>
      <c r="E186" s="82" t="n"/>
      <c r="F186" s="4" t="n"/>
      <c r="G186" s="4" t="n"/>
      <c r="H186" s="4" t="n"/>
      <c r="I186" s="81" t="n"/>
      <c r="J186" s="82" t="n"/>
      <c r="K186" s="82" t="n"/>
      <c r="L186" s="82" t="n"/>
      <c r="M186" s="50" t="n"/>
      <c r="N186" s="4" t="n"/>
      <c r="O186" s="82" t="n"/>
      <c r="P186" s="50" t="n"/>
      <c r="Q186" s="4" t="n"/>
      <c r="R186" s="4" t="n"/>
      <c r="S186" s="4" t="n"/>
    </row>
    <row r="187">
      <c r="A187" s="4" t="n"/>
      <c r="B187" s="50" t="n"/>
      <c r="C187" s="4" t="n"/>
      <c r="D187" s="81" t="n"/>
      <c r="E187" s="82" t="n"/>
      <c r="F187" s="4" t="n"/>
      <c r="G187" s="4" t="n"/>
      <c r="H187" s="4" t="n"/>
      <c r="I187" s="81" t="n"/>
      <c r="J187" s="82" t="n"/>
      <c r="K187" s="82" t="n"/>
      <c r="L187" s="82" t="n"/>
      <c r="M187" s="50" t="n"/>
      <c r="N187" s="4" t="n"/>
      <c r="O187" s="82" t="n"/>
      <c r="P187" s="50" t="n"/>
      <c r="Q187" s="4" t="n"/>
      <c r="R187" s="4" t="n"/>
      <c r="S187" s="4" t="n"/>
    </row>
    <row r="188">
      <c r="A188" s="4" t="n"/>
      <c r="B188" s="50" t="n"/>
      <c r="C188" s="4" t="n"/>
      <c r="D188" s="81" t="n"/>
      <c r="E188" s="82" t="n"/>
      <c r="F188" s="4" t="n"/>
      <c r="G188" s="4" t="n"/>
      <c r="H188" s="4" t="n"/>
      <c r="I188" s="81" t="n"/>
      <c r="J188" s="82" t="n"/>
      <c r="K188" s="82" t="n"/>
      <c r="L188" s="82" t="n"/>
      <c r="M188" s="50" t="n"/>
      <c r="N188" s="4" t="n"/>
      <c r="O188" s="82" t="n"/>
      <c r="P188" s="50" t="n"/>
      <c r="Q188" s="4" t="n"/>
      <c r="R188" s="4" t="n"/>
      <c r="S188" s="4" t="n"/>
    </row>
    <row r="189">
      <c r="A189" s="4" t="n"/>
      <c r="B189" s="50" t="n"/>
      <c r="C189" s="4" t="n"/>
      <c r="D189" s="81" t="n"/>
      <c r="E189" s="82" t="n"/>
      <c r="F189" s="4" t="n"/>
      <c r="G189" s="4" t="n"/>
      <c r="H189" s="4" t="n"/>
      <c r="I189" s="81" t="n"/>
      <c r="J189" s="82" t="n"/>
      <c r="K189" s="82" t="n"/>
      <c r="L189" s="82" t="n"/>
      <c r="M189" s="50" t="n"/>
      <c r="N189" s="4" t="n"/>
      <c r="O189" s="82" t="n"/>
      <c r="P189" s="50" t="n"/>
      <c r="Q189" s="4" t="n"/>
      <c r="R189" s="4" t="n"/>
      <c r="S189" s="4" t="n"/>
    </row>
    <row r="190">
      <c r="A190" s="4" t="n"/>
      <c r="B190" s="50" t="n"/>
      <c r="C190" s="4" t="n"/>
      <c r="D190" s="81" t="n"/>
      <c r="E190" s="82" t="n"/>
      <c r="F190" s="4" t="n"/>
      <c r="G190" s="4" t="n"/>
      <c r="H190" s="4" t="n"/>
      <c r="I190" s="81" t="n"/>
      <c r="J190" s="82" t="n"/>
      <c r="K190" s="82" t="n"/>
      <c r="L190" s="82" t="n"/>
      <c r="M190" s="50" t="n"/>
      <c r="N190" s="4" t="n"/>
      <c r="O190" s="82" t="n"/>
      <c r="P190" s="50" t="n"/>
      <c r="Q190" s="4" t="n"/>
      <c r="R190" s="4" t="n"/>
      <c r="S190" s="4" t="n"/>
    </row>
    <row r="191">
      <c r="A191" s="4" t="n"/>
      <c r="B191" s="50" t="n"/>
      <c r="C191" s="4" t="n"/>
      <c r="D191" s="81" t="n"/>
      <c r="E191" s="82" t="n"/>
      <c r="F191" s="4" t="n"/>
      <c r="G191" s="4" t="n"/>
      <c r="H191" s="4" t="n"/>
      <c r="I191" s="81" t="n"/>
      <c r="J191" s="82" t="n"/>
      <c r="K191" s="82" t="n"/>
      <c r="L191" s="82" t="n"/>
      <c r="M191" s="50" t="n"/>
      <c r="N191" s="4" t="n"/>
      <c r="O191" s="82" t="n"/>
      <c r="P191" s="50" t="n"/>
      <c r="Q191" s="4" t="n"/>
      <c r="R191" s="4" t="n"/>
      <c r="S191" s="4" t="n"/>
    </row>
    <row r="192">
      <c r="A192" s="4" t="n"/>
      <c r="B192" s="50" t="n"/>
      <c r="C192" s="4" t="n"/>
      <c r="D192" s="81" t="n"/>
      <c r="E192" s="82" t="n"/>
      <c r="F192" s="4" t="n"/>
      <c r="G192" s="4" t="n"/>
      <c r="H192" s="4" t="n"/>
      <c r="I192" s="81" t="n"/>
      <c r="J192" s="82" t="n"/>
      <c r="K192" s="82" t="n"/>
      <c r="L192" s="82" t="n"/>
      <c r="M192" s="50" t="n"/>
      <c r="N192" s="4" t="n"/>
      <c r="O192" s="82" t="n"/>
      <c r="P192" s="50" t="n"/>
      <c r="Q192" s="4" t="n"/>
      <c r="R192" s="4" t="n"/>
      <c r="S192" s="4" t="n"/>
    </row>
    <row r="193">
      <c r="A193" s="4" t="n"/>
      <c r="B193" s="50" t="n"/>
      <c r="C193" s="4" t="n"/>
      <c r="D193" s="81" t="n"/>
      <c r="E193" s="82" t="n"/>
      <c r="F193" s="4" t="n"/>
      <c r="G193" s="4" t="n"/>
      <c r="H193" s="4" t="n"/>
      <c r="I193" s="81" t="n"/>
      <c r="J193" s="82" t="n"/>
      <c r="K193" s="82" t="n"/>
      <c r="L193" s="82" t="n"/>
      <c r="M193" s="50" t="n"/>
      <c r="N193" s="4" t="n"/>
      <c r="O193" s="82" t="n"/>
      <c r="P193" s="50" t="n"/>
      <c r="Q193" s="4" t="n"/>
      <c r="R193" s="4" t="n"/>
      <c r="S193" s="4" t="n"/>
    </row>
    <row r="194">
      <c r="A194" s="4" t="n"/>
      <c r="B194" s="50" t="n"/>
      <c r="C194" s="4" t="n"/>
      <c r="D194" s="81" t="n"/>
      <c r="E194" s="82" t="n"/>
      <c r="F194" s="4" t="n"/>
      <c r="G194" s="4" t="n"/>
      <c r="H194" s="4" t="n"/>
      <c r="I194" s="81" t="n"/>
      <c r="J194" s="82" t="n"/>
      <c r="K194" s="82" t="n"/>
      <c r="L194" s="82" t="n"/>
      <c r="M194" s="50" t="n"/>
      <c r="N194" s="4" t="n"/>
      <c r="O194" s="82" t="n"/>
      <c r="P194" s="50" t="n"/>
      <c r="Q194" s="4" t="n"/>
      <c r="R194" s="4" t="n"/>
      <c r="S194" s="4" t="n"/>
    </row>
    <row r="195">
      <c r="A195" s="4" t="n"/>
      <c r="B195" s="50" t="n"/>
      <c r="C195" s="4" t="n"/>
      <c r="D195" s="81" t="n"/>
      <c r="E195" s="82" t="n"/>
      <c r="F195" s="4" t="n"/>
      <c r="G195" s="4" t="n"/>
      <c r="H195" s="4" t="n"/>
      <c r="I195" s="81" t="n"/>
      <c r="J195" s="82" t="n"/>
      <c r="K195" s="82" t="n"/>
      <c r="L195" s="82" t="n"/>
      <c r="M195" s="50" t="n"/>
      <c r="N195" s="4" t="n"/>
      <c r="O195" s="82" t="n"/>
      <c r="P195" s="50" t="n"/>
      <c r="Q195" s="4" t="n"/>
      <c r="R195" s="4" t="n"/>
      <c r="S195" s="4" t="n"/>
    </row>
    <row r="196">
      <c r="A196" s="4" t="n"/>
      <c r="B196" s="50" t="n"/>
      <c r="C196" s="4" t="n"/>
      <c r="D196" s="81" t="n"/>
      <c r="E196" s="82" t="n"/>
      <c r="F196" s="4" t="n"/>
      <c r="G196" s="4" t="n"/>
      <c r="H196" s="4" t="n"/>
      <c r="I196" s="81" t="n"/>
      <c r="J196" s="82" t="n"/>
      <c r="K196" s="82" t="n"/>
      <c r="L196" s="82" t="n"/>
      <c r="M196" s="50" t="n"/>
      <c r="N196" s="4" t="n"/>
      <c r="O196" s="82" t="n"/>
      <c r="P196" s="50" t="n"/>
      <c r="Q196" s="4" t="n"/>
      <c r="R196" s="4" t="n"/>
      <c r="S196" s="4" t="n"/>
    </row>
    <row r="197">
      <c r="A197" s="4" t="n"/>
      <c r="B197" s="50" t="n"/>
      <c r="C197" s="4" t="n"/>
      <c r="D197" s="81" t="n"/>
      <c r="E197" s="82" t="n"/>
      <c r="F197" s="4" t="n"/>
      <c r="G197" s="4" t="n"/>
      <c r="H197" s="4" t="n"/>
      <c r="I197" s="81" t="n"/>
      <c r="J197" s="82" t="n"/>
      <c r="K197" s="82" t="n"/>
      <c r="L197" s="82" t="n"/>
      <c r="M197" s="50" t="n"/>
      <c r="N197" s="4" t="n"/>
      <c r="O197" s="82" t="n"/>
      <c r="P197" s="50" t="n"/>
      <c r="Q197" s="4" t="n"/>
      <c r="R197" s="4" t="n"/>
      <c r="S197" s="4" t="n"/>
    </row>
    <row r="198">
      <c r="A198" s="4" t="n"/>
      <c r="B198" s="50" t="n"/>
      <c r="C198" s="4" t="n"/>
      <c r="D198" s="81" t="n"/>
      <c r="E198" s="82" t="n"/>
      <c r="F198" s="4" t="n"/>
      <c r="G198" s="4" t="n"/>
      <c r="H198" s="4" t="n"/>
      <c r="I198" s="81" t="n"/>
      <c r="J198" s="82" t="n"/>
      <c r="K198" s="82" t="n"/>
      <c r="L198" s="82" t="n"/>
      <c r="M198" s="50" t="n"/>
      <c r="N198" s="4" t="n"/>
      <c r="O198" s="82" t="n"/>
      <c r="P198" s="50" t="n"/>
      <c r="Q198" s="4" t="n"/>
      <c r="R198" s="4" t="n"/>
      <c r="S198" s="4" t="n"/>
    </row>
    <row r="199">
      <c r="A199" s="4" t="n"/>
      <c r="B199" s="50" t="n"/>
      <c r="C199" s="4" t="n"/>
      <c r="D199" s="81" t="n"/>
      <c r="E199" s="82" t="n"/>
      <c r="F199" s="4" t="n"/>
      <c r="G199" s="4" t="n"/>
      <c r="H199" s="4" t="n"/>
      <c r="I199" s="81" t="n"/>
      <c r="J199" s="82" t="n"/>
      <c r="K199" s="82" t="n"/>
      <c r="L199" s="82" t="n"/>
      <c r="M199" s="50" t="n"/>
      <c r="N199" s="4" t="n"/>
      <c r="O199" s="82" t="n"/>
      <c r="P199" s="50" t="n"/>
      <c r="Q199" s="4" t="n"/>
      <c r="R199" s="4" t="n"/>
      <c r="S199" s="4" t="n"/>
    </row>
    <row r="200">
      <c r="A200" s="4" t="n"/>
      <c r="B200" s="50" t="n"/>
      <c r="C200" s="4" t="n"/>
      <c r="D200" s="81" t="n"/>
      <c r="E200" s="82" t="n"/>
      <c r="F200" s="4" t="n"/>
      <c r="G200" s="4" t="n"/>
      <c r="H200" s="4" t="n"/>
      <c r="I200" s="81" t="n"/>
      <c r="J200" s="82" t="n"/>
      <c r="K200" s="82" t="n"/>
      <c r="L200" s="82" t="n"/>
      <c r="M200" s="50" t="n"/>
      <c r="N200" s="4" t="n"/>
      <c r="O200" s="82" t="n"/>
      <c r="P200" s="50" t="n"/>
      <c r="Q200" s="4" t="n"/>
      <c r="R200" s="4" t="n"/>
      <c r="S200" s="4" t="n"/>
    </row>
    <row r="201">
      <c r="A201" s="4" t="n"/>
      <c r="B201" s="50" t="n"/>
      <c r="C201" s="4" t="n"/>
      <c r="D201" s="81" t="n"/>
      <c r="E201" s="82" t="n"/>
      <c r="F201" s="4" t="n"/>
      <c r="G201" s="4" t="n"/>
      <c r="H201" s="4" t="n"/>
      <c r="I201" s="81" t="n"/>
      <c r="J201" s="82" t="n"/>
      <c r="K201" s="82" t="n"/>
      <c r="L201" s="82" t="n"/>
      <c r="M201" s="50" t="n"/>
      <c r="N201" s="4" t="n"/>
      <c r="O201" s="82" t="n"/>
      <c r="P201" s="50" t="n"/>
      <c r="Q201" s="4" t="n"/>
      <c r="R201" s="4" t="n"/>
      <c r="S201" s="4" t="n"/>
    </row>
    <row r="202">
      <c r="A202" s="4" t="n"/>
      <c r="B202" s="50" t="n"/>
      <c r="C202" s="4" t="n"/>
      <c r="D202" s="81" t="n"/>
      <c r="E202" s="82" t="n"/>
      <c r="F202" s="4" t="n"/>
      <c r="G202" s="4" t="n"/>
      <c r="H202" s="4" t="n"/>
      <c r="I202" s="81" t="n"/>
      <c r="J202" s="82" t="n"/>
      <c r="K202" s="82" t="n"/>
      <c r="L202" s="82" t="n"/>
      <c r="M202" s="50" t="n"/>
      <c r="N202" s="4" t="n"/>
      <c r="O202" s="82" t="n"/>
      <c r="P202" s="50" t="n"/>
      <c r="Q202" s="4" t="n"/>
      <c r="R202" s="4" t="n"/>
      <c r="S202" s="4" t="n"/>
    </row>
    <row r="203">
      <c r="A203" s="4" t="n"/>
      <c r="B203" s="50" t="n"/>
      <c r="C203" s="4" t="n"/>
      <c r="D203" s="81" t="n"/>
      <c r="E203" s="82" t="n"/>
      <c r="F203" s="4" t="n"/>
      <c r="G203" s="4" t="n"/>
      <c r="H203" s="4" t="n"/>
      <c r="I203" s="81" t="n"/>
      <c r="J203" s="82" t="n"/>
      <c r="K203" s="82" t="n"/>
      <c r="L203" s="82" t="n"/>
      <c r="M203" s="50" t="n"/>
      <c r="N203" s="4" t="n"/>
      <c r="O203" s="82" t="n"/>
      <c r="P203" s="50" t="n"/>
      <c r="Q203" s="4" t="n"/>
      <c r="R203" s="4" t="n"/>
      <c r="S203" s="4" t="n"/>
    </row>
    <row r="204">
      <c r="A204" s="4" t="n"/>
      <c r="B204" s="50" t="n"/>
      <c r="C204" s="4" t="n"/>
      <c r="D204" s="81" t="n"/>
      <c r="E204" s="82" t="n"/>
      <c r="F204" s="4" t="n"/>
      <c r="G204" s="4" t="n"/>
      <c r="H204" s="4" t="n"/>
      <c r="I204" s="81" t="n"/>
      <c r="J204" s="82" t="n"/>
      <c r="K204" s="82" t="n"/>
      <c r="L204" s="82" t="n"/>
      <c r="M204" s="50" t="n"/>
      <c r="N204" s="4" t="n"/>
      <c r="O204" s="82" t="n"/>
      <c r="P204" s="50" t="n"/>
      <c r="Q204" s="4" t="n"/>
      <c r="R204" s="4" t="n"/>
      <c r="S204" s="4" t="n"/>
    </row>
    <row r="205">
      <c r="A205" s="4" t="n"/>
      <c r="B205" s="50" t="n"/>
      <c r="C205" s="4" t="n"/>
      <c r="D205" s="81" t="n"/>
      <c r="E205" s="82" t="n"/>
      <c r="F205" s="4" t="n"/>
      <c r="G205" s="4" t="n"/>
      <c r="H205" s="4" t="n"/>
      <c r="I205" s="81" t="n"/>
      <c r="J205" s="82" t="n"/>
      <c r="K205" s="82" t="n"/>
      <c r="L205" s="82" t="n"/>
      <c r="M205" s="50" t="n"/>
      <c r="N205" s="4" t="n"/>
      <c r="O205" s="82" t="n"/>
      <c r="P205" s="50" t="n"/>
      <c r="Q205" s="4" t="n"/>
      <c r="R205" s="4" t="n"/>
      <c r="S205" s="4" t="n"/>
    </row>
    <row r="206">
      <c r="A206" s="4" t="n"/>
      <c r="B206" s="50" t="n"/>
      <c r="C206" s="4" t="n"/>
      <c r="D206" s="81" t="n"/>
      <c r="E206" s="82" t="n"/>
      <c r="F206" s="4" t="n"/>
      <c r="G206" s="4" t="n"/>
      <c r="H206" s="4" t="n"/>
      <c r="I206" s="81" t="n"/>
      <c r="J206" s="82" t="n"/>
      <c r="K206" s="82" t="n"/>
      <c r="L206" s="82" t="n"/>
      <c r="M206" s="50" t="n"/>
      <c r="N206" s="4" t="n"/>
      <c r="O206" s="82" t="n"/>
      <c r="P206" s="50" t="n"/>
      <c r="Q206" s="4" t="n"/>
      <c r="R206" s="4" t="n"/>
      <c r="S206" s="4" t="n"/>
    </row>
    <row r="207">
      <c r="A207" s="4" t="n"/>
      <c r="B207" s="50" t="n"/>
      <c r="C207" s="4" t="n"/>
      <c r="D207" s="81" t="n"/>
      <c r="E207" s="82" t="n"/>
      <c r="F207" s="4" t="n"/>
      <c r="G207" s="4" t="n"/>
      <c r="H207" s="4" t="n"/>
      <c r="I207" s="81" t="n"/>
      <c r="J207" s="82" t="n"/>
      <c r="K207" s="82" t="n"/>
      <c r="L207" s="82" t="n"/>
      <c r="M207" s="50" t="n"/>
      <c r="N207" s="4" t="n"/>
      <c r="O207" s="82" t="n"/>
      <c r="P207" s="50" t="n"/>
      <c r="Q207" s="4" t="n"/>
      <c r="R207" s="4" t="n"/>
      <c r="S207" s="4" t="n"/>
    </row>
    <row r="208">
      <c r="A208" s="4" t="n"/>
      <c r="B208" s="50" t="n"/>
      <c r="C208" s="4" t="n"/>
      <c r="D208" s="81" t="n"/>
      <c r="E208" s="82" t="n"/>
      <c r="F208" s="4" t="n"/>
      <c r="G208" s="4" t="n"/>
      <c r="H208" s="4" t="n"/>
      <c r="I208" s="81" t="n"/>
      <c r="J208" s="82" t="n"/>
      <c r="K208" s="82" t="n"/>
      <c r="L208" s="82" t="n"/>
      <c r="M208" s="50" t="n"/>
      <c r="N208" s="4" t="n"/>
      <c r="O208" s="82" t="n"/>
      <c r="P208" s="50" t="n"/>
      <c r="Q208" s="4" t="n"/>
      <c r="R208" s="4" t="n"/>
      <c r="S208" s="4" t="n"/>
    </row>
    <row r="209">
      <c r="A209" s="4" t="n"/>
      <c r="B209" s="50" t="n"/>
      <c r="C209" s="4" t="n"/>
      <c r="D209" s="81" t="n"/>
      <c r="E209" s="82" t="n"/>
      <c r="F209" s="4" t="n"/>
      <c r="G209" s="4" t="n"/>
      <c r="H209" s="4" t="n"/>
      <c r="I209" s="81" t="n"/>
      <c r="J209" s="82" t="n"/>
      <c r="K209" s="82" t="n"/>
      <c r="L209" s="82" t="n"/>
      <c r="M209" s="50" t="n"/>
      <c r="N209" s="4" t="n"/>
      <c r="O209" s="82" t="n"/>
      <c r="P209" s="50" t="n"/>
      <c r="Q209" s="4" t="n"/>
      <c r="R209" s="4" t="n"/>
      <c r="S209" s="4" t="n"/>
    </row>
    <row r="210">
      <c r="A210" s="4" t="n"/>
      <c r="B210" s="50" t="n"/>
      <c r="C210" s="4" t="n"/>
      <c r="D210" s="81" t="n"/>
      <c r="E210" s="82" t="n"/>
      <c r="F210" s="4" t="n"/>
      <c r="G210" s="4" t="n"/>
      <c r="H210" s="4" t="n"/>
      <c r="I210" s="81" t="n"/>
      <c r="J210" s="82" t="n"/>
      <c r="K210" s="82" t="n"/>
      <c r="L210" s="82" t="n"/>
      <c r="M210" s="50" t="n"/>
      <c r="N210" s="4" t="n"/>
      <c r="O210" s="82" t="n"/>
      <c r="P210" s="50" t="n"/>
      <c r="Q210" s="4" t="n"/>
      <c r="R210" s="4" t="n"/>
      <c r="S210" s="4" t="n"/>
    </row>
    <row r="211">
      <c r="A211" s="4" t="n"/>
      <c r="B211" s="50" t="n"/>
      <c r="C211" s="4" t="n"/>
      <c r="D211" s="81" t="n"/>
      <c r="E211" s="82" t="n"/>
      <c r="F211" s="4" t="n"/>
      <c r="G211" s="4" t="n"/>
      <c r="H211" s="4" t="n"/>
      <c r="I211" s="81" t="n"/>
      <c r="J211" s="82" t="n"/>
      <c r="K211" s="82" t="n"/>
      <c r="L211" s="82" t="n"/>
      <c r="M211" s="50" t="n"/>
      <c r="N211" s="4" t="n"/>
      <c r="O211" s="82" t="n"/>
      <c r="P211" s="50" t="n"/>
      <c r="Q211" s="4" t="n"/>
      <c r="R211" s="4" t="n"/>
      <c r="S211" s="4" t="n"/>
    </row>
    <row r="212">
      <c r="A212" s="4" t="n"/>
      <c r="B212" s="50" t="n"/>
      <c r="C212" s="4" t="n"/>
      <c r="D212" s="81" t="n"/>
      <c r="E212" s="82" t="n"/>
      <c r="F212" s="4" t="n"/>
      <c r="G212" s="4" t="n"/>
      <c r="H212" s="4" t="n"/>
      <c r="I212" s="81" t="n"/>
      <c r="J212" s="82" t="n"/>
      <c r="K212" s="82" t="n"/>
      <c r="L212" s="82" t="n"/>
      <c r="M212" s="50" t="n"/>
      <c r="N212" s="4" t="n"/>
      <c r="O212" s="82" t="n"/>
      <c r="P212" s="50" t="n"/>
      <c r="Q212" s="4" t="n"/>
      <c r="R212" s="4" t="n"/>
      <c r="S212" s="4" t="n"/>
    </row>
    <row r="213">
      <c r="A213" s="4" t="n"/>
      <c r="B213" s="50" t="n"/>
      <c r="C213" s="4" t="n"/>
      <c r="D213" s="81" t="n"/>
      <c r="E213" s="82" t="n"/>
      <c r="F213" s="4" t="n"/>
      <c r="G213" s="4" t="n"/>
      <c r="H213" s="4" t="n"/>
      <c r="I213" s="81" t="n"/>
      <c r="J213" s="82" t="n"/>
      <c r="K213" s="82" t="n"/>
      <c r="L213" s="82" t="n"/>
      <c r="M213" s="50" t="n"/>
      <c r="N213" s="4" t="n"/>
      <c r="O213" s="82" t="n"/>
      <c r="P213" s="50" t="n"/>
      <c r="Q213" s="4" t="n"/>
      <c r="R213" s="4" t="n"/>
      <c r="S213" s="4" t="n"/>
    </row>
    <row r="214">
      <c r="A214" s="4" t="n"/>
      <c r="B214" s="50" t="n"/>
      <c r="C214" s="4" t="n"/>
      <c r="D214" s="81" t="n"/>
      <c r="E214" s="82" t="n"/>
      <c r="F214" s="4" t="n"/>
      <c r="G214" s="4" t="n"/>
      <c r="H214" s="4" t="n"/>
      <c r="I214" s="81" t="n"/>
      <c r="J214" s="82" t="n"/>
      <c r="K214" s="82" t="n"/>
      <c r="L214" s="82" t="n"/>
      <c r="M214" s="50" t="n"/>
      <c r="N214" s="4" t="n"/>
      <c r="O214" s="82" t="n"/>
      <c r="P214" s="50" t="n"/>
      <c r="Q214" s="4" t="n"/>
      <c r="R214" s="4" t="n"/>
      <c r="S214" s="4" t="n"/>
    </row>
    <row r="215">
      <c r="A215" s="4" t="n"/>
      <c r="B215" s="50" t="n"/>
      <c r="C215" s="4" t="n"/>
      <c r="D215" s="81" t="n"/>
      <c r="E215" s="82" t="n"/>
      <c r="F215" s="4" t="n"/>
      <c r="G215" s="4" t="n"/>
      <c r="H215" s="4" t="n"/>
      <c r="I215" s="81" t="n"/>
      <c r="J215" s="82" t="n"/>
      <c r="K215" s="82" t="n"/>
      <c r="L215" s="82" t="n"/>
      <c r="M215" s="50" t="n"/>
      <c r="N215" s="4" t="n"/>
      <c r="O215" s="82" t="n"/>
      <c r="P215" s="50" t="n"/>
      <c r="Q215" s="4" t="n"/>
      <c r="R215" s="4" t="n"/>
      <c r="S215" s="4" t="n"/>
    </row>
    <row r="216">
      <c r="A216" s="4" t="n"/>
      <c r="B216" s="50" t="n"/>
      <c r="C216" s="4" t="n"/>
      <c r="D216" s="81" t="n"/>
      <c r="E216" s="82" t="n"/>
      <c r="F216" s="4" t="n"/>
      <c r="G216" s="4" t="n"/>
      <c r="H216" s="4" t="n"/>
      <c r="I216" s="81" t="n"/>
      <c r="J216" s="82" t="n"/>
      <c r="K216" s="82" t="n"/>
      <c r="L216" s="82" t="n"/>
      <c r="M216" s="50" t="n"/>
      <c r="N216" s="4" t="n"/>
      <c r="O216" s="82" t="n"/>
      <c r="P216" s="50" t="n"/>
      <c r="Q216" s="4" t="n"/>
      <c r="R216" s="4" t="n"/>
      <c r="S216" s="4" t="n"/>
    </row>
    <row r="217">
      <c r="A217" s="4" t="n"/>
      <c r="B217" s="50" t="n"/>
      <c r="C217" s="4" t="n"/>
      <c r="D217" s="81" t="n"/>
      <c r="E217" s="82" t="n"/>
      <c r="F217" s="4" t="n"/>
      <c r="G217" s="4" t="n"/>
      <c r="H217" s="4" t="n"/>
      <c r="I217" s="81" t="n"/>
      <c r="J217" s="82" t="n"/>
      <c r="K217" s="82" t="n"/>
      <c r="L217" s="82" t="n"/>
      <c r="M217" s="50" t="n"/>
      <c r="N217" s="4" t="n"/>
      <c r="O217" s="82" t="n"/>
      <c r="P217" s="50" t="n"/>
      <c r="Q217" s="4" t="n"/>
      <c r="R217" s="4" t="n"/>
      <c r="S217" s="4" t="n"/>
    </row>
    <row r="218">
      <c r="A218" s="4" t="n"/>
      <c r="B218" s="50" t="n"/>
      <c r="C218" s="4" t="n"/>
      <c r="D218" s="81" t="n"/>
      <c r="E218" s="82" t="n"/>
      <c r="F218" s="4" t="n"/>
      <c r="G218" s="4" t="n"/>
      <c r="H218" s="4" t="n"/>
      <c r="I218" s="81" t="n"/>
      <c r="J218" s="82" t="n"/>
      <c r="K218" s="82" t="n"/>
      <c r="L218" s="82" t="n"/>
      <c r="M218" s="50" t="n"/>
      <c r="N218" s="4" t="n"/>
      <c r="O218" s="82" t="n"/>
      <c r="P218" s="50" t="n"/>
      <c r="Q218" s="4" t="n"/>
      <c r="R218" s="4" t="n"/>
      <c r="S218" s="4" t="n"/>
    </row>
    <row r="219">
      <c r="A219" s="4" t="n"/>
      <c r="B219" s="50" t="n"/>
      <c r="C219" s="4" t="n"/>
      <c r="D219" s="81" t="n"/>
      <c r="E219" s="82" t="n"/>
      <c r="F219" s="4" t="n"/>
      <c r="G219" s="4" t="n"/>
      <c r="H219" s="4" t="n"/>
      <c r="I219" s="81" t="n"/>
      <c r="J219" s="82" t="n"/>
      <c r="K219" s="82" t="n"/>
      <c r="L219" s="82" t="n"/>
      <c r="M219" s="50" t="n"/>
      <c r="N219" s="4" t="n"/>
      <c r="O219" s="82" t="n"/>
      <c r="P219" s="50" t="n"/>
      <c r="Q219" s="4" t="n"/>
      <c r="R219" s="4" t="n"/>
      <c r="S219" s="4" t="n"/>
    </row>
    <row r="220">
      <c r="A220" s="4" t="n"/>
      <c r="B220" s="50" t="n"/>
      <c r="C220" s="4" t="n"/>
      <c r="D220" s="81" t="n"/>
      <c r="E220" s="82" t="n"/>
      <c r="F220" s="4" t="n"/>
      <c r="G220" s="4" t="n"/>
      <c r="H220" s="4" t="n"/>
      <c r="I220" s="81" t="n"/>
      <c r="J220" s="82" t="n"/>
      <c r="K220" s="82" t="n"/>
      <c r="L220" s="82" t="n"/>
      <c r="M220" s="50" t="n"/>
      <c r="N220" s="4" t="n"/>
      <c r="O220" s="82" t="n"/>
      <c r="P220" s="50" t="n"/>
      <c r="Q220" s="4" t="n"/>
      <c r="R220" s="4" t="n"/>
      <c r="S220" s="4" t="n"/>
    </row>
    <row r="221">
      <c r="A221" s="4" t="n"/>
      <c r="B221" s="50" t="n"/>
      <c r="C221" s="4" t="n"/>
      <c r="D221" s="81" t="n"/>
      <c r="E221" s="82" t="n"/>
      <c r="F221" s="4" t="n"/>
      <c r="G221" s="4" t="n"/>
      <c r="H221" s="4" t="n"/>
      <c r="I221" s="81" t="n"/>
      <c r="J221" s="82" t="n"/>
      <c r="K221" s="82" t="n"/>
      <c r="L221" s="82" t="n"/>
      <c r="M221" s="50" t="n"/>
      <c r="N221" s="4" t="n"/>
      <c r="O221" s="82" t="n"/>
      <c r="P221" s="50" t="n"/>
      <c r="Q221" s="4" t="n"/>
      <c r="R221" s="4" t="n"/>
      <c r="S221" s="4" t="n"/>
    </row>
    <row r="222">
      <c r="A222" s="4" t="n"/>
      <c r="B222" s="50" t="n"/>
      <c r="C222" s="4" t="n"/>
      <c r="D222" s="81" t="n"/>
      <c r="E222" s="82" t="n"/>
      <c r="F222" s="4" t="n"/>
      <c r="G222" s="4" t="n"/>
      <c r="H222" s="4" t="n"/>
      <c r="I222" s="81" t="n"/>
      <c r="J222" s="82" t="n"/>
      <c r="K222" s="82" t="n"/>
      <c r="L222" s="82" t="n"/>
      <c r="M222" s="50" t="n"/>
      <c r="N222" s="4" t="n"/>
      <c r="O222" s="82" t="n"/>
      <c r="P222" s="50" t="n"/>
      <c r="Q222" s="4" t="n"/>
      <c r="R222" s="4" t="n"/>
      <c r="S222" s="4" t="n"/>
    </row>
    <row r="223">
      <c r="A223" s="4" t="n"/>
      <c r="B223" s="50" t="n"/>
      <c r="C223" s="4" t="n"/>
      <c r="D223" s="81" t="n"/>
      <c r="E223" s="82" t="n"/>
      <c r="F223" s="4" t="n"/>
      <c r="G223" s="4" t="n"/>
      <c r="H223" s="4" t="n"/>
      <c r="I223" s="81" t="n"/>
      <c r="J223" s="82" t="n"/>
      <c r="K223" s="82" t="n"/>
      <c r="L223" s="82" t="n"/>
      <c r="M223" s="50" t="n"/>
      <c r="N223" s="4" t="n"/>
      <c r="O223" s="82" t="n"/>
      <c r="P223" s="50" t="n"/>
      <c r="Q223" s="4" t="n"/>
      <c r="R223" s="4" t="n"/>
      <c r="S223" s="4" t="n"/>
    </row>
    <row r="224">
      <c r="A224" s="4" t="n"/>
      <c r="B224" s="50" t="n"/>
      <c r="C224" s="4" t="n"/>
      <c r="D224" s="81" t="n"/>
      <c r="E224" s="82" t="n"/>
      <c r="F224" s="4" t="n"/>
      <c r="G224" s="4" t="n"/>
      <c r="H224" s="4" t="n"/>
      <c r="I224" s="81" t="n"/>
      <c r="J224" s="82" t="n"/>
      <c r="K224" s="82" t="n"/>
      <c r="L224" s="82" t="n"/>
      <c r="M224" s="50" t="n"/>
      <c r="N224" s="4" t="n"/>
      <c r="O224" s="82" t="n"/>
      <c r="P224" s="50" t="n"/>
      <c r="Q224" s="4" t="n"/>
      <c r="R224" s="4" t="n"/>
      <c r="S224" s="4" t="n"/>
    </row>
    <row r="225">
      <c r="A225" s="4" t="n"/>
      <c r="B225" s="50" t="n"/>
      <c r="C225" s="4" t="n"/>
      <c r="D225" s="81" t="n"/>
      <c r="E225" s="82" t="n"/>
      <c r="F225" s="4" t="n"/>
      <c r="G225" s="4" t="n"/>
      <c r="H225" s="4" t="n"/>
      <c r="I225" s="81" t="n"/>
      <c r="J225" s="82" t="n"/>
      <c r="K225" s="82" t="n"/>
      <c r="L225" s="82" t="n"/>
      <c r="M225" s="50" t="n"/>
      <c r="N225" s="4" t="n"/>
      <c r="O225" s="82" t="n"/>
      <c r="P225" s="50" t="n"/>
      <c r="Q225" s="4" t="n"/>
      <c r="R225" s="4" t="n"/>
      <c r="S225" s="4" t="n"/>
    </row>
    <row r="226">
      <c r="A226" s="4" t="n"/>
      <c r="B226" s="50" t="n"/>
      <c r="C226" s="4" t="n"/>
      <c r="D226" s="81" t="n"/>
      <c r="E226" s="82" t="n"/>
      <c r="F226" s="4" t="n"/>
      <c r="G226" s="4" t="n"/>
      <c r="H226" s="4" t="n"/>
      <c r="I226" s="81" t="n"/>
      <c r="J226" s="82" t="n"/>
      <c r="K226" s="82" t="n"/>
      <c r="L226" s="82" t="n"/>
      <c r="M226" s="50" t="n"/>
      <c r="N226" s="4" t="n"/>
      <c r="O226" s="82" t="n"/>
      <c r="P226" s="50" t="n"/>
      <c r="Q226" s="4" t="n"/>
      <c r="R226" s="4" t="n"/>
      <c r="S226" s="4" t="n"/>
    </row>
    <row r="227">
      <c r="A227" s="4" t="n"/>
      <c r="B227" s="50" t="n"/>
      <c r="C227" s="4" t="n"/>
      <c r="D227" s="81" t="n"/>
      <c r="E227" s="82" t="n"/>
      <c r="F227" s="4" t="n"/>
      <c r="G227" s="4" t="n"/>
      <c r="H227" s="4" t="n"/>
      <c r="I227" s="81" t="n"/>
      <c r="J227" s="82" t="n"/>
      <c r="K227" s="82" t="n"/>
      <c r="L227" s="82" t="n"/>
      <c r="M227" s="50" t="n"/>
      <c r="N227" s="4" t="n"/>
      <c r="O227" s="82" t="n"/>
      <c r="P227" s="50" t="n"/>
      <c r="Q227" s="4" t="n"/>
      <c r="R227" s="4" t="n"/>
      <c r="S227" s="4" t="n"/>
    </row>
    <row r="228">
      <c r="A228" s="4" t="n"/>
      <c r="B228" s="50" t="n"/>
      <c r="C228" s="4" t="n"/>
      <c r="D228" s="81" t="n"/>
      <c r="E228" s="82" t="n"/>
      <c r="F228" s="4" t="n"/>
      <c r="G228" s="4" t="n"/>
      <c r="H228" s="4" t="n"/>
      <c r="I228" s="81" t="n"/>
      <c r="J228" s="82" t="n"/>
      <c r="K228" s="82" t="n"/>
      <c r="L228" s="82" t="n"/>
      <c r="M228" s="50" t="n"/>
      <c r="N228" s="4" t="n"/>
      <c r="O228" s="82" t="n"/>
      <c r="P228" s="50" t="n"/>
      <c r="Q228" s="4" t="n"/>
      <c r="R228" s="4" t="n"/>
      <c r="S228" s="4" t="n"/>
    </row>
    <row r="229">
      <c r="A229" s="4" t="n"/>
      <c r="B229" s="50" t="n"/>
      <c r="C229" s="4" t="n"/>
      <c r="D229" s="81" t="n"/>
      <c r="E229" s="82" t="n"/>
      <c r="F229" s="4" t="n"/>
      <c r="G229" s="4" t="n"/>
      <c r="H229" s="4" t="n"/>
      <c r="I229" s="81" t="n"/>
      <c r="J229" s="82" t="n"/>
      <c r="K229" s="82" t="n"/>
      <c r="L229" s="82" t="n"/>
      <c r="M229" s="50" t="n"/>
      <c r="N229" s="4" t="n"/>
      <c r="O229" s="82" t="n"/>
      <c r="P229" s="50" t="n"/>
      <c r="Q229" s="4" t="n"/>
      <c r="R229" s="4" t="n"/>
      <c r="S229" s="4" t="n"/>
    </row>
    <row r="230">
      <c r="A230" s="4" t="n"/>
      <c r="B230" s="50" t="n"/>
      <c r="C230" s="4" t="n"/>
      <c r="D230" s="81" t="n"/>
      <c r="E230" s="82" t="n"/>
      <c r="F230" s="4" t="n"/>
      <c r="G230" s="4" t="n"/>
      <c r="H230" s="4" t="n"/>
      <c r="I230" s="81" t="n"/>
      <c r="J230" s="82" t="n"/>
      <c r="K230" s="82" t="n"/>
      <c r="L230" s="82" t="n"/>
      <c r="M230" s="50" t="n"/>
      <c r="N230" s="4" t="n"/>
      <c r="O230" s="82" t="n"/>
      <c r="P230" s="50" t="n"/>
      <c r="Q230" s="4" t="n"/>
      <c r="R230" s="4" t="n"/>
      <c r="S230" s="4" t="n"/>
    </row>
    <row r="231">
      <c r="A231" s="4" t="n"/>
      <c r="B231" s="50" t="n"/>
      <c r="C231" s="4" t="n"/>
      <c r="D231" s="81" t="n"/>
      <c r="E231" s="82" t="n"/>
      <c r="F231" s="4" t="n"/>
      <c r="G231" s="4" t="n"/>
      <c r="H231" s="4" t="n"/>
      <c r="I231" s="81" t="n"/>
      <c r="J231" s="82" t="n"/>
      <c r="K231" s="82" t="n"/>
      <c r="L231" s="82" t="n"/>
      <c r="M231" s="50" t="n"/>
      <c r="N231" s="4" t="n"/>
      <c r="O231" s="82" t="n"/>
      <c r="P231" s="50" t="n"/>
      <c r="Q231" s="4" t="n"/>
      <c r="R231" s="4" t="n"/>
      <c r="S231" s="4" t="n"/>
    </row>
    <row r="232">
      <c r="A232" s="4" t="n"/>
      <c r="B232" s="50" t="n"/>
      <c r="C232" s="4" t="n"/>
      <c r="D232" s="81" t="n"/>
      <c r="E232" s="82" t="n"/>
      <c r="F232" s="4" t="n"/>
      <c r="G232" s="4" t="n"/>
      <c r="H232" s="4" t="n"/>
      <c r="I232" s="81" t="n"/>
      <c r="J232" s="82" t="n"/>
      <c r="K232" s="82" t="n"/>
      <c r="L232" s="82" t="n"/>
      <c r="M232" s="50" t="n"/>
      <c r="N232" s="4" t="n"/>
      <c r="O232" s="82" t="n"/>
      <c r="P232" s="50" t="n"/>
      <c r="Q232" s="4" t="n"/>
      <c r="R232" s="4" t="n"/>
      <c r="S232" s="4" t="n"/>
    </row>
    <row r="233">
      <c r="A233" s="4" t="n"/>
      <c r="B233" s="50" t="n"/>
      <c r="C233" s="4" t="n"/>
      <c r="D233" s="81" t="n"/>
      <c r="E233" s="82" t="n"/>
      <c r="F233" s="4" t="n"/>
      <c r="G233" s="4" t="n"/>
      <c r="H233" s="4" t="n"/>
      <c r="I233" s="81" t="n"/>
      <c r="J233" s="82" t="n"/>
      <c r="K233" s="82" t="n"/>
      <c r="L233" s="82" t="n"/>
      <c r="M233" s="50" t="n"/>
      <c r="N233" s="4" t="n"/>
      <c r="O233" s="82" t="n"/>
      <c r="P233" s="50" t="n"/>
      <c r="Q233" s="4" t="n"/>
      <c r="R233" s="4" t="n"/>
      <c r="S233" s="4" t="n"/>
    </row>
    <row r="234">
      <c r="A234" s="4" t="n"/>
      <c r="B234" s="50" t="n"/>
      <c r="C234" s="4" t="n"/>
      <c r="D234" s="81" t="n"/>
      <c r="E234" s="82" t="n"/>
      <c r="F234" s="4" t="n"/>
      <c r="G234" s="4" t="n"/>
      <c r="H234" s="4" t="n"/>
      <c r="I234" s="81" t="n"/>
      <c r="J234" s="82" t="n"/>
      <c r="K234" s="82" t="n"/>
      <c r="L234" s="82" t="n"/>
      <c r="M234" s="50" t="n"/>
      <c r="N234" s="4" t="n"/>
      <c r="O234" s="82" t="n"/>
      <c r="P234" s="50" t="n"/>
      <c r="Q234" s="4" t="n"/>
      <c r="R234" s="4" t="n"/>
      <c r="S234" s="4" t="n"/>
    </row>
    <row r="235">
      <c r="A235" s="4" t="n"/>
      <c r="B235" s="50" t="n"/>
      <c r="C235" s="4" t="n"/>
      <c r="D235" s="81" t="n"/>
      <c r="E235" s="82" t="n"/>
      <c r="F235" s="4" t="n"/>
      <c r="G235" s="4" t="n"/>
      <c r="H235" s="4" t="n"/>
      <c r="I235" s="81" t="n"/>
      <c r="J235" s="82" t="n"/>
      <c r="K235" s="82" t="n"/>
      <c r="L235" s="82" t="n"/>
      <c r="M235" s="50" t="n"/>
      <c r="N235" s="4" t="n"/>
      <c r="O235" s="82" t="n"/>
      <c r="P235" s="50" t="n"/>
      <c r="Q235" s="4" t="n"/>
      <c r="R235" s="4" t="n"/>
      <c r="S235" s="4" t="n"/>
    </row>
    <row r="236">
      <c r="A236" s="4" t="n"/>
      <c r="B236" s="50" t="n"/>
      <c r="C236" s="4" t="n"/>
      <c r="D236" s="81" t="n"/>
      <c r="E236" s="82" t="n"/>
      <c r="F236" s="4" t="n"/>
      <c r="G236" s="4" t="n"/>
      <c r="H236" s="4" t="n"/>
      <c r="I236" s="81" t="n"/>
      <c r="J236" s="82" t="n"/>
      <c r="K236" s="82" t="n"/>
      <c r="L236" s="82" t="n"/>
      <c r="M236" s="50" t="n"/>
      <c r="N236" s="4" t="n"/>
      <c r="O236" s="82" t="n"/>
      <c r="P236" s="50" t="n"/>
      <c r="Q236" s="4" t="n"/>
      <c r="R236" s="4" t="n"/>
      <c r="S236" s="4" t="n"/>
    </row>
    <row r="237">
      <c r="A237" s="4" t="n"/>
      <c r="B237" s="50" t="n"/>
      <c r="C237" s="4" t="n"/>
      <c r="D237" s="81" t="n"/>
      <c r="E237" s="82" t="n"/>
      <c r="F237" s="4" t="n"/>
      <c r="G237" s="4" t="n"/>
      <c r="H237" s="4" t="n"/>
      <c r="I237" s="81" t="n"/>
      <c r="J237" s="82" t="n"/>
      <c r="K237" s="82" t="n"/>
      <c r="L237" s="82" t="n"/>
      <c r="M237" s="50" t="n"/>
      <c r="N237" s="4" t="n"/>
      <c r="O237" s="82" t="n"/>
      <c r="P237" s="50" t="n"/>
      <c r="Q237" s="4" t="n"/>
      <c r="R237" s="4" t="n"/>
      <c r="S237" s="4" t="n"/>
    </row>
    <row r="238">
      <c r="A238" s="4" t="n"/>
      <c r="B238" s="50" t="n"/>
      <c r="C238" s="4" t="n"/>
      <c r="D238" s="81" t="n"/>
      <c r="E238" s="82" t="n"/>
      <c r="F238" s="4" t="n"/>
      <c r="G238" s="4" t="n"/>
      <c r="H238" s="4" t="n"/>
      <c r="I238" s="81" t="n"/>
      <c r="J238" s="82" t="n"/>
      <c r="K238" s="82" t="n"/>
      <c r="L238" s="82" t="n"/>
      <c r="M238" s="50" t="n"/>
      <c r="N238" s="4" t="n"/>
      <c r="O238" s="82" t="n"/>
      <c r="P238" s="50" t="n"/>
      <c r="Q238" s="4" t="n"/>
      <c r="R238" s="4" t="n"/>
      <c r="S238" s="4" t="n"/>
    </row>
    <row r="239">
      <c r="A239" s="4" t="n"/>
      <c r="B239" s="50" t="n"/>
      <c r="C239" s="4" t="n"/>
      <c r="D239" s="81" t="n"/>
      <c r="E239" s="82" t="n"/>
      <c r="F239" s="4" t="n"/>
      <c r="G239" s="4" t="n"/>
      <c r="H239" s="4" t="n"/>
      <c r="I239" s="81" t="n"/>
      <c r="J239" s="82" t="n"/>
      <c r="K239" s="82" t="n"/>
      <c r="L239" s="82" t="n"/>
      <c r="M239" s="50" t="n"/>
      <c r="N239" s="4" t="n"/>
      <c r="O239" s="82" t="n"/>
      <c r="P239" s="50" t="n"/>
      <c r="Q239" s="4" t="n"/>
      <c r="R239" s="4" t="n"/>
      <c r="S239" s="4" t="n"/>
    </row>
    <row r="240">
      <c r="A240" s="4" t="n"/>
      <c r="B240" s="50" t="n"/>
      <c r="C240" s="4" t="n"/>
      <c r="D240" s="81" t="n"/>
      <c r="E240" s="82" t="n"/>
      <c r="F240" s="4" t="n"/>
      <c r="G240" s="4" t="n"/>
      <c r="H240" s="4" t="n"/>
      <c r="I240" s="81" t="n"/>
      <c r="J240" s="82" t="n"/>
      <c r="K240" s="82" t="n"/>
      <c r="L240" s="82" t="n"/>
      <c r="M240" s="50" t="n"/>
      <c r="N240" s="4" t="n"/>
      <c r="O240" s="82" t="n"/>
      <c r="P240" s="50" t="n"/>
      <c r="Q240" s="4" t="n"/>
      <c r="R240" s="4" t="n"/>
      <c r="S240" s="4" t="n"/>
    </row>
    <row r="241">
      <c r="A241" s="4" t="n"/>
      <c r="B241" s="50" t="n"/>
      <c r="C241" s="4" t="n"/>
      <c r="D241" s="81" t="n"/>
      <c r="E241" s="82" t="n"/>
      <c r="F241" s="4" t="n"/>
      <c r="G241" s="4" t="n"/>
      <c r="H241" s="4" t="n"/>
      <c r="I241" s="81" t="n"/>
      <c r="J241" s="82" t="n"/>
      <c r="K241" s="82" t="n"/>
      <c r="L241" s="82" t="n"/>
      <c r="M241" s="50" t="n"/>
      <c r="N241" s="4" t="n"/>
      <c r="O241" s="82" t="n"/>
      <c r="P241" s="50" t="n"/>
      <c r="Q241" s="4" t="n"/>
      <c r="R241" s="4" t="n"/>
      <c r="S241" s="4" t="n"/>
    </row>
    <row r="242">
      <c r="A242" s="4" t="n"/>
      <c r="B242" s="50" t="n"/>
      <c r="C242" s="4" t="n"/>
      <c r="D242" s="81" t="n"/>
      <c r="E242" s="82" t="n"/>
      <c r="F242" s="4" t="n"/>
      <c r="G242" s="4" t="n"/>
      <c r="H242" s="4" t="n"/>
      <c r="I242" s="81" t="n"/>
      <c r="J242" s="82" t="n"/>
      <c r="K242" s="82" t="n"/>
      <c r="L242" s="82" t="n"/>
      <c r="M242" s="50" t="n"/>
      <c r="N242" s="4" t="n"/>
      <c r="O242" s="82" t="n"/>
      <c r="P242" s="50" t="n"/>
      <c r="Q242" s="4" t="n"/>
      <c r="R242" s="4" t="n"/>
      <c r="S242" s="4" t="n"/>
    </row>
    <row r="243">
      <c r="A243" s="4" t="n"/>
      <c r="B243" s="50" t="n"/>
      <c r="C243" s="4" t="n"/>
      <c r="D243" s="81" t="n"/>
      <c r="E243" s="82" t="n"/>
      <c r="F243" s="4" t="n"/>
      <c r="G243" s="4" t="n"/>
      <c r="H243" s="4" t="n"/>
      <c r="I243" s="81" t="n"/>
      <c r="J243" s="82" t="n"/>
      <c r="K243" s="82" t="n"/>
      <c r="L243" s="82" t="n"/>
      <c r="M243" s="50" t="n"/>
      <c r="N243" s="4" t="n"/>
      <c r="O243" s="82" t="n"/>
      <c r="P243" s="50" t="n"/>
      <c r="Q243" s="4" t="n"/>
      <c r="R243" s="4" t="n"/>
      <c r="S243" s="4" t="n"/>
    </row>
    <row r="244">
      <c r="A244" s="4" t="n"/>
      <c r="B244" s="50" t="n"/>
      <c r="C244" s="4" t="n"/>
      <c r="D244" s="81" t="n"/>
      <c r="E244" s="82" t="n"/>
      <c r="F244" s="4" t="n"/>
      <c r="G244" s="4" t="n"/>
      <c r="H244" s="4" t="n"/>
      <c r="I244" s="81" t="n"/>
      <c r="J244" s="82" t="n"/>
      <c r="K244" s="82" t="n"/>
      <c r="L244" s="82" t="n"/>
      <c r="M244" s="50" t="n"/>
      <c r="N244" s="4" t="n"/>
      <c r="O244" s="82" t="n"/>
      <c r="P244" s="50" t="n"/>
      <c r="Q244" s="4" t="n"/>
      <c r="R244" s="4" t="n"/>
      <c r="S244" s="4" t="n"/>
    </row>
    <row r="245">
      <c r="A245" s="4" t="n"/>
      <c r="B245" s="50" t="n"/>
      <c r="C245" s="4" t="n"/>
      <c r="D245" s="81" t="n"/>
      <c r="E245" s="82" t="n"/>
      <c r="F245" s="4" t="n"/>
      <c r="G245" s="4" t="n"/>
      <c r="H245" s="4" t="n"/>
      <c r="I245" s="81" t="n"/>
      <c r="J245" s="82" t="n"/>
      <c r="K245" s="82" t="n"/>
      <c r="L245" s="82" t="n"/>
      <c r="M245" s="50" t="n"/>
      <c r="N245" s="4" t="n"/>
      <c r="O245" s="82" t="n"/>
      <c r="P245" s="50" t="n"/>
      <c r="Q245" s="4" t="n"/>
      <c r="R245" s="4" t="n"/>
      <c r="S245" s="4" t="n"/>
    </row>
    <row r="246">
      <c r="A246" s="4" t="n"/>
      <c r="B246" s="50" t="n"/>
      <c r="C246" s="4" t="n"/>
      <c r="D246" s="81" t="n"/>
      <c r="E246" s="82" t="n"/>
      <c r="F246" s="4" t="n"/>
      <c r="G246" s="4" t="n"/>
      <c r="H246" s="4" t="n"/>
      <c r="I246" s="81" t="n"/>
      <c r="J246" s="82" t="n"/>
      <c r="K246" s="82" t="n"/>
      <c r="L246" s="82" t="n"/>
      <c r="M246" s="50" t="n"/>
      <c r="N246" s="4" t="n"/>
      <c r="O246" s="82" t="n"/>
      <c r="P246" s="50" t="n"/>
      <c r="Q246" s="4" t="n"/>
      <c r="R246" s="4" t="n"/>
      <c r="S246" s="4" t="n"/>
    </row>
    <row r="247">
      <c r="A247" s="4" t="n"/>
      <c r="B247" s="50" t="n"/>
      <c r="C247" s="4" t="n"/>
      <c r="D247" s="81" t="n"/>
      <c r="E247" s="82" t="n"/>
      <c r="F247" s="4" t="n"/>
      <c r="G247" s="4" t="n"/>
      <c r="H247" s="4" t="n"/>
      <c r="I247" s="81" t="n"/>
      <c r="J247" s="82" t="n"/>
      <c r="K247" s="82" t="n"/>
      <c r="L247" s="82" t="n"/>
      <c r="M247" s="50" t="n"/>
      <c r="N247" s="4" t="n"/>
      <c r="O247" s="82" t="n"/>
      <c r="P247" s="50" t="n"/>
      <c r="Q247" s="4" t="n"/>
      <c r="R247" s="4" t="n"/>
      <c r="S247" s="4" t="n"/>
    </row>
    <row r="248">
      <c r="A248" s="4" t="n"/>
      <c r="B248" s="50" t="n"/>
      <c r="C248" s="4" t="n"/>
      <c r="D248" s="81" t="n"/>
      <c r="E248" s="82" t="n"/>
      <c r="F248" s="4" t="n"/>
      <c r="G248" s="4" t="n"/>
      <c r="H248" s="4" t="n"/>
      <c r="I248" s="81" t="n"/>
      <c r="J248" s="82" t="n"/>
      <c r="K248" s="82" t="n"/>
      <c r="L248" s="82" t="n"/>
      <c r="M248" s="50" t="n"/>
      <c r="N248" s="4" t="n"/>
      <c r="O248" s="82" t="n"/>
      <c r="P248" s="50" t="n"/>
      <c r="Q248" s="4" t="n"/>
      <c r="R248" s="4" t="n"/>
      <c r="S248" s="4" t="n"/>
    </row>
    <row r="249">
      <c r="A249" s="4" t="n"/>
      <c r="B249" s="50" t="n"/>
      <c r="C249" s="4" t="n"/>
      <c r="D249" s="81" t="n"/>
      <c r="E249" s="82" t="n"/>
      <c r="F249" s="4" t="n"/>
      <c r="G249" s="4" t="n"/>
      <c r="H249" s="4" t="n"/>
      <c r="I249" s="81" t="n"/>
      <c r="J249" s="82" t="n"/>
      <c r="K249" s="82" t="n"/>
      <c r="L249" s="82" t="n"/>
      <c r="M249" s="50" t="n"/>
      <c r="N249" s="4" t="n"/>
      <c r="O249" s="82" t="n"/>
      <c r="P249" s="50" t="n"/>
      <c r="Q249" s="4" t="n"/>
      <c r="R249" s="4" t="n"/>
      <c r="S249" s="4" t="n"/>
    </row>
    <row r="250">
      <c r="A250" s="4" t="n"/>
      <c r="B250" s="50" t="n"/>
      <c r="C250" s="4" t="n"/>
      <c r="D250" s="81" t="n"/>
      <c r="E250" s="82" t="n"/>
      <c r="F250" s="4" t="n"/>
      <c r="G250" s="4" t="n"/>
      <c r="H250" s="4" t="n"/>
      <c r="I250" s="81" t="n"/>
      <c r="J250" s="82" t="n"/>
      <c r="K250" s="82" t="n"/>
      <c r="L250" s="82" t="n"/>
      <c r="M250" s="50" t="n"/>
      <c r="N250" s="4" t="n"/>
      <c r="O250" s="82" t="n"/>
      <c r="P250" s="50" t="n"/>
      <c r="Q250" s="4" t="n"/>
      <c r="R250" s="4" t="n"/>
      <c r="S250" s="4" t="n"/>
    </row>
    <row r="251">
      <c r="A251" s="4" t="n"/>
      <c r="B251" s="50" t="n"/>
      <c r="C251" s="4" t="n"/>
      <c r="D251" s="81" t="n"/>
      <c r="E251" s="82" t="n"/>
      <c r="F251" s="4" t="n"/>
      <c r="G251" s="4" t="n"/>
      <c r="H251" s="4" t="n"/>
      <c r="I251" s="81" t="n"/>
      <c r="J251" s="82" t="n"/>
      <c r="K251" s="82" t="n"/>
      <c r="L251" s="82" t="n"/>
      <c r="M251" s="50" t="n"/>
      <c r="N251" s="4" t="n"/>
      <c r="O251" s="82" t="n"/>
      <c r="P251" s="50" t="n"/>
      <c r="Q251" s="4" t="n"/>
      <c r="R251" s="4" t="n"/>
      <c r="S251" s="4" t="n"/>
    </row>
    <row r="252">
      <c r="A252" s="4" t="n"/>
      <c r="B252" s="50" t="n"/>
      <c r="C252" s="4" t="n"/>
      <c r="D252" s="81" t="n"/>
      <c r="E252" s="82" t="n"/>
      <c r="F252" s="4" t="n"/>
      <c r="G252" s="4" t="n"/>
      <c r="H252" s="4" t="n"/>
      <c r="I252" s="81" t="n"/>
      <c r="J252" s="82" t="n"/>
      <c r="K252" s="82" t="n"/>
      <c r="L252" s="82" t="n"/>
      <c r="M252" s="50" t="n"/>
      <c r="N252" s="4" t="n"/>
      <c r="O252" s="82" t="n"/>
      <c r="P252" s="50" t="n"/>
      <c r="Q252" s="4" t="n"/>
      <c r="R252" s="4" t="n"/>
      <c r="S252" s="4" t="n"/>
    </row>
    <row r="253">
      <c r="A253" s="4" t="n"/>
      <c r="B253" s="50" t="n"/>
      <c r="C253" s="4" t="n"/>
      <c r="D253" s="81" t="n"/>
      <c r="E253" s="82" t="n"/>
      <c r="F253" s="4" t="n"/>
      <c r="G253" s="4" t="n"/>
      <c r="H253" s="4" t="n"/>
      <c r="I253" s="81" t="n"/>
      <c r="J253" s="82" t="n"/>
      <c r="K253" s="82" t="n"/>
      <c r="L253" s="82" t="n"/>
      <c r="M253" s="50" t="n"/>
      <c r="N253" s="4" t="n"/>
      <c r="O253" s="82" t="n"/>
      <c r="P253" s="50" t="n"/>
      <c r="Q253" s="4" t="n"/>
      <c r="R253" s="4" t="n"/>
      <c r="S253" s="4" t="n"/>
    </row>
    <row r="254">
      <c r="A254" s="4" t="n"/>
      <c r="B254" s="50" t="n"/>
      <c r="C254" s="4" t="n"/>
      <c r="D254" s="81" t="n"/>
      <c r="E254" s="82" t="n"/>
      <c r="F254" s="4" t="n"/>
      <c r="G254" s="4" t="n"/>
      <c r="H254" s="4" t="n"/>
      <c r="I254" s="81" t="n"/>
      <c r="J254" s="82" t="n"/>
      <c r="K254" s="82" t="n"/>
      <c r="L254" s="82" t="n"/>
      <c r="M254" s="50" t="n"/>
      <c r="N254" s="4" t="n"/>
      <c r="O254" s="82" t="n"/>
      <c r="P254" s="50" t="n"/>
      <c r="Q254" s="4" t="n"/>
      <c r="R254" s="4" t="n"/>
      <c r="S254" s="4" t="n"/>
    </row>
    <row r="255">
      <c r="A255" s="4" t="n"/>
      <c r="B255" s="50" t="n"/>
      <c r="C255" s="4" t="n"/>
      <c r="D255" s="81" t="n"/>
      <c r="E255" s="82" t="n"/>
      <c r="F255" s="4" t="n"/>
      <c r="G255" s="4" t="n"/>
      <c r="H255" s="4" t="n"/>
      <c r="I255" s="81" t="n"/>
      <c r="J255" s="82" t="n"/>
      <c r="K255" s="82" t="n"/>
      <c r="L255" s="82" t="n"/>
      <c r="M255" s="50" t="n"/>
      <c r="N255" s="4" t="n"/>
      <c r="O255" s="82" t="n"/>
      <c r="P255" s="50" t="n"/>
      <c r="Q255" s="4" t="n"/>
      <c r="R255" s="4" t="n"/>
      <c r="S255" s="4" t="n"/>
    </row>
    <row r="256">
      <c r="A256" s="4" t="n"/>
      <c r="B256" s="50" t="n"/>
      <c r="C256" s="4" t="n"/>
      <c r="D256" s="81" t="n"/>
      <c r="E256" s="82" t="n"/>
      <c r="F256" s="4" t="n"/>
      <c r="G256" s="4" t="n"/>
      <c r="H256" s="4" t="n"/>
      <c r="I256" s="81" t="n"/>
      <c r="J256" s="82" t="n"/>
      <c r="K256" s="82" t="n"/>
      <c r="L256" s="82" t="n"/>
      <c r="M256" s="50" t="n"/>
      <c r="N256" s="4" t="n"/>
      <c r="O256" s="82" t="n"/>
      <c r="P256" s="50" t="n"/>
      <c r="Q256" s="4" t="n"/>
      <c r="R256" s="4" t="n"/>
      <c r="S256" s="4" t="n"/>
    </row>
    <row r="257">
      <c r="A257" s="4" t="n"/>
      <c r="B257" s="50" t="n"/>
      <c r="C257" s="4" t="n"/>
      <c r="D257" s="81" t="n"/>
      <c r="E257" s="82" t="n"/>
      <c r="F257" s="4" t="n"/>
      <c r="G257" s="4" t="n"/>
      <c r="H257" s="4" t="n"/>
      <c r="I257" s="81" t="n"/>
      <c r="J257" s="82" t="n"/>
      <c r="K257" s="82" t="n"/>
      <c r="L257" s="82" t="n"/>
      <c r="M257" s="50" t="n"/>
      <c r="N257" s="4" t="n"/>
      <c r="O257" s="82" t="n"/>
      <c r="P257" s="50" t="n"/>
      <c r="Q257" s="4" t="n"/>
      <c r="R257" s="4" t="n"/>
      <c r="S257" s="4" t="n"/>
    </row>
    <row r="258">
      <c r="A258" s="4" t="n"/>
      <c r="B258" s="50" t="n"/>
      <c r="C258" s="4" t="n"/>
      <c r="D258" s="81" t="n"/>
      <c r="E258" s="82" t="n"/>
      <c r="F258" s="4" t="n"/>
      <c r="G258" s="4" t="n"/>
      <c r="H258" s="4" t="n"/>
      <c r="I258" s="81" t="n"/>
      <c r="J258" s="82" t="n"/>
      <c r="K258" s="82" t="n"/>
      <c r="L258" s="82" t="n"/>
      <c r="M258" s="50" t="n"/>
      <c r="N258" s="4" t="n"/>
      <c r="O258" s="82" t="n"/>
      <c r="P258" s="50" t="n"/>
      <c r="Q258" s="4" t="n"/>
      <c r="R258" s="4" t="n"/>
      <c r="S258" s="4" t="n"/>
    </row>
    <row r="259">
      <c r="A259" s="4" t="n"/>
      <c r="B259" s="50" t="n"/>
      <c r="C259" s="4" t="n"/>
      <c r="D259" s="81" t="n"/>
      <c r="E259" s="82" t="n"/>
      <c r="F259" s="4" t="n"/>
      <c r="G259" s="4" t="n"/>
      <c r="H259" s="4" t="n"/>
      <c r="I259" s="81" t="n"/>
      <c r="J259" s="82" t="n"/>
      <c r="K259" s="82" t="n"/>
      <c r="L259" s="82" t="n"/>
      <c r="M259" s="50" t="n"/>
      <c r="N259" s="4" t="n"/>
      <c r="O259" s="82" t="n"/>
      <c r="P259" s="50" t="n"/>
      <c r="Q259" s="4" t="n"/>
      <c r="R259" s="4" t="n"/>
      <c r="S259" s="4" t="n"/>
    </row>
    <row r="260">
      <c r="A260" s="4" t="n"/>
      <c r="B260" s="50" t="n"/>
      <c r="C260" s="4" t="n"/>
      <c r="D260" s="81" t="n"/>
      <c r="E260" s="82" t="n"/>
      <c r="F260" s="4" t="n"/>
      <c r="G260" s="4" t="n"/>
      <c r="H260" s="4" t="n"/>
      <c r="I260" s="81" t="n"/>
      <c r="J260" s="82" t="n"/>
      <c r="K260" s="82" t="n"/>
      <c r="L260" s="82" t="n"/>
      <c r="M260" s="50" t="n"/>
      <c r="N260" s="4" t="n"/>
      <c r="O260" s="82" t="n"/>
      <c r="P260" s="50" t="n"/>
      <c r="Q260" s="4" t="n"/>
      <c r="R260" s="4" t="n"/>
      <c r="S260" s="4" t="n"/>
    </row>
    <row r="261">
      <c r="A261" s="4" t="n"/>
      <c r="B261" s="50" t="n"/>
      <c r="C261" s="4" t="n"/>
      <c r="D261" s="81" t="n"/>
      <c r="E261" s="82" t="n"/>
      <c r="F261" s="4" t="n"/>
      <c r="G261" s="4" t="n"/>
      <c r="H261" s="4" t="n"/>
      <c r="I261" s="81" t="n"/>
      <c r="J261" s="82" t="n"/>
      <c r="K261" s="82" t="n"/>
      <c r="L261" s="82" t="n"/>
      <c r="M261" s="50" t="n"/>
      <c r="N261" s="4" t="n"/>
      <c r="O261" s="82" t="n"/>
      <c r="P261" s="50" t="n"/>
      <c r="Q261" s="4" t="n"/>
      <c r="R261" s="4" t="n"/>
      <c r="S261" s="4" t="n"/>
    </row>
    <row r="262">
      <c r="A262" s="4" t="n"/>
      <c r="B262" s="50" t="n"/>
      <c r="C262" s="4" t="n"/>
      <c r="D262" s="81" t="n"/>
      <c r="E262" s="82" t="n"/>
      <c r="F262" s="4" t="n"/>
      <c r="G262" s="4" t="n"/>
      <c r="H262" s="4" t="n"/>
      <c r="I262" s="81" t="n"/>
      <c r="J262" s="82" t="n"/>
      <c r="K262" s="82" t="n"/>
      <c r="L262" s="82" t="n"/>
      <c r="M262" s="50" t="n"/>
      <c r="N262" s="4" t="n"/>
      <c r="O262" s="82" t="n"/>
      <c r="P262" s="50" t="n"/>
      <c r="Q262" s="4" t="n"/>
      <c r="R262" s="4" t="n"/>
      <c r="S262" s="4" t="n"/>
    </row>
    <row r="263">
      <c r="A263" s="4" t="n"/>
      <c r="B263" s="50" t="n"/>
      <c r="C263" s="4" t="n"/>
      <c r="D263" s="81" t="n"/>
      <c r="E263" s="82" t="n"/>
      <c r="F263" s="4" t="n"/>
      <c r="G263" s="4" t="n"/>
      <c r="H263" s="4" t="n"/>
      <c r="I263" s="81" t="n"/>
      <c r="J263" s="82" t="n"/>
      <c r="K263" s="82" t="n"/>
      <c r="L263" s="82" t="n"/>
      <c r="M263" s="50" t="n"/>
      <c r="N263" s="4" t="n"/>
      <c r="O263" s="82" t="n"/>
      <c r="P263" s="50" t="n"/>
      <c r="Q263" s="4" t="n"/>
      <c r="R263" s="4" t="n"/>
      <c r="S263" s="4" t="n"/>
    </row>
    <row r="264">
      <c r="A264" s="4" t="n"/>
      <c r="B264" s="50" t="n"/>
      <c r="C264" s="4" t="n"/>
      <c r="D264" s="81" t="n"/>
      <c r="E264" s="82" t="n"/>
      <c r="F264" s="4" t="n"/>
      <c r="G264" s="4" t="n"/>
      <c r="H264" s="4" t="n"/>
      <c r="I264" s="81" t="n"/>
      <c r="J264" s="82" t="n"/>
      <c r="K264" s="82" t="n"/>
      <c r="L264" s="82" t="n"/>
      <c r="M264" s="50" t="n"/>
      <c r="N264" s="4" t="n"/>
      <c r="O264" s="82" t="n"/>
      <c r="P264" s="50" t="n"/>
      <c r="Q264" s="4" t="n"/>
      <c r="R264" s="4" t="n"/>
      <c r="S264" s="4" t="n"/>
    </row>
    <row r="265">
      <c r="A265" s="4" t="n"/>
      <c r="B265" s="50" t="n"/>
      <c r="C265" s="4" t="n"/>
      <c r="D265" s="81" t="n"/>
      <c r="E265" s="82" t="n"/>
      <c r="F265" s="4" t="n"/>
      <c r="G265" s="4" t="n"/>
      <c r="H265" s="4" t="n"/>
      <c r="I265" s="81" t="n"/>
      <c r="J265" s="82" t="n"/>
      <c r="K265" s="82" t="n"/>
      <c r="L265" s="82" t="n"/>
      <c r="M265" s="50" t="n"/>
      <c r="N265" s="4" t="n"/>
      <c r="O265" s="82" t="n"/>
      <c r="P265" s="50" t="n"/>
      <c r="Q265" s="4" t="n"/>
      <c r="R265" s="4" t="n"/>
      <c r="S265" s="4" t="n"/>
    </row>
    <row r="266">
      <c r="A266" s="4" t="n"/>
      <c r="B266" s="50" t="n"/>
      <c r="C266" s="4" t="n"/>
      <c r="D266" s="81" t="n"/>
      <c r="E266" s="82" t="n"/>
      <c r="F266" s="4" t="n"/>
      <c r="G266" s="4" t="n"/>
      <c r="H266" s="4" t="n"/>
      <c r="I266" s="81" t="n"/>
      <c r="J266" s="82" t="n"/>
      <c r="K266" s="82" t="n"/>
      <c r="L266" s="82" t="n"/>
      <c r="M266" s="50" t="n"/>
      <c r="N266" s="4" t="n"/>
      <c r="O266" s="82" t="n"/>
      <c r="P266" s="50" t="n"/>
      <c r="Q266" s="4" t="n"/>
      <c r="R266" s="4" t="n"/>
      <c r="S266" s="4" t="n"/>
    </row>
    <row r="267">
      <c r="A267" s="4" t="n"/>
      <c r="B267" s="50" t="n"/>
      <c r="C267" s="4" t="n"/>
      <c r="D267" s="81" t="n"/>
      <c r="E267" s="82" t="n"/>
      <c r="F267" s="4" t="n"/>
      <c r="G267" s="4" t="n"/>
      <c r="H267" s="4" t="n"/>
      <c r="I267" s="81" t="n"/>
      <c r="J267" s="82" t="n"/>
      <c r="K267" s="82" t="n"/>
      <c r="L267" s="82" t="n"/>
      <c r="M267" s="50" t="n"/>
      <c r="N267" s="4" t="n"/>
      <c r="O267" s="82" t="n"/>
      <c r="P267" s="50" t="n"/>
      <c r="Q267" s="4" t="n"/>
      <c r="R267" s="4" t="n"/>
      <c r="S267" s="4" t="n"/>
    </row>
    <row r="268">
      <c r="A268" s="4" t="n"/>
      <c r="B268" s="50" t="n"/>
      <c r="C268" s="4" t="n"/>
      <c r="D268" s="81" t="n"/>
      <c r="E268" s="82" t="n"/>
      <c r="F268" s="4" t="n"/>
      <c r="G268" s="4" t="n"/>
      <c r="H268" s="4" t="n"/>
      <c r="I268" s="81" t="n"/>
      <c r="J268" s="82" t="n"/>
      <c r="K268" s="82" t="n"/>
      <c r="L268" s="82" t="n"/>
      <c r="M268" s="50" t="n"/>
      <c r="N268" s="4" t="n"/>
      <c r="O268" s="82" t="n"/>
      <c r="P268" s="50" t="n"/>
      <c r="Q268" s="4" t="n"/>
      <c r="R268" s="4" t="n"/>
      <c r="S268" s="4" t="n"/>
    </row>
    <row r="269">
      <c r="A269" s="4" t="n"/>
      <c r="B269" s="50" t="n"/>
      <c r="C269" s="4" t="n"/>
      <c r="D269" s="81" t="n"/>
      <c r="E269" s="82" t="n"/>
      <c r="F269" s="4" t="n"/>
      <c r="G269" s="4" t="n"/>
      <c r="H269" s="4" t="n"/>
      <c r="I269" s="81" t="n"/>
      <c r="J269" s="82" t="n"/>
      <c r="K269" s="82" t="n"/>
      <c r="L269" s="82" t="n"/>
      <c r="M269" s="50" t="n"/>
      <c r="N269" s="4" t="n"/>
      <c r="O269" s="82" t="n"/>
      <c r="P269" s="50" t="n"/>
      <c r="Q269" s="4" t="n"/>
      <c r="R269" s="4" t="n"/>
      <c r="S269" s="4" t="n"/>
    </row>
    <row r="270">
      <c r="A270" s="4" t="n"/>
      <c r="B270" s="50" t="n"/>
      <c r="C270" s="4" t="n"/>
      <c r="D270" s="81" t="n"/>
      <c r="E270" s="82" t="n"/>
      <c r="F270" s="4" t="n"/>
      <c r="G270" s="4" t="n"/>
      <c r="H270" s="4" t="n"/>
      <c r="I270" s="81" t="n"/>
      <c r="J270" s="82" t="n"/>
      <c r="K270" s="82" t="n"/>
      <c r="L270" s="82" t="n"/>
      <c r="M270" s="50" t="n"/>
      <c r="N270" s="4" t="n"/>
      <c r="O270" s="82" t="n"/>
      <c r="P270" s="50" t="n"/>
      <c r="Q270" s="4" t="n"/>
      <c r="R270" s="4" t="n"/>
      <c r="S270" s="4" t="n"/>
    </row>
    <row r="271">
      <c r="A271" s="4" t="n"/>
      <c r="B271" s="50" t="n"/>
      <c r="C271" s="4" t="n"/>
      <c r="D271" s="81" t="n"/>
      <c r="E271" s="82" t="n"/>
      <c r="F271" s="4" t="n"/>
      <c r="G271" s="4" t="n"/>
      <c r="H271" s="4" t="n"/>
      <c r="I271" s="81" t="n"/>
      <c r="J271" s="82" t="n"/>
      <c r="K271" s="82" t="n"/>
      <c r="L271" s="82" t="n"/>
      <c r="M271" s="50" t="n"/>
      <c r="N271" s="4" t="n"/>
      <c r="O271" s="82" t="n"/>
      <c r="P271" s="50" t="n"/>
      <c r="Q271" s="4" t="n"/>
      <c r="R271" s="4" t="n"/>
      <c r="S271" s="4" t="n"/>
    </row>
    <row r="272">
      <c r="A272" s="4" t="n"/>
      <c r="B272" s="50" t="n"/>
      <c r="C272" s="4" t="n"/>
      <c r="D272" s="81" t="n"/>
      <c r="E272" s="82" t="n"/>
      <c r="F272" s="4" t="n"/>
      <c r="G272" s="4" t="n"/>
      <c r="H272" s="4" t="n"/>
      <c r="I272" s="81" t="n"/>
      <c r="J272" s="82" t="n"/>
      <c r="K272" s="82" t="n"/>
      <c r="L272" s="82" t="n"/>
      <c r="M272" s="50" t="n"/>
      <c r="N272" s="4" t="n"/>
      <c r="O272" s="82" t="n"/>
      <c r="P272" s="50" t="n"/>
      <c r="Q272" s="4" t="n"/>
      <c r="R272" s="4" t="n"/>
      <c r="S272" s="4" t="n"/>
    </row>
    <row r="273">
      <c r="A273" s="4" t="n"/>
      <c r="B273" s="50" t="n"/>
      <c r="C273" s="4" t="n"/>
      <c r="D273" s="81" t="n"/>
      <c r="E273" s="82" t="n"/>
      <c r="F273" s="4" t="n"/>
      <c r="G273" s="4" t="n"/>
      <c r="H273" s="4" t="n"/>
      <c r="I273" s="81" t="n"/>
      <c r="J273" s="82" t="n"/>
      <c r="K273" s="82" t="n"/>
      <c r="L273" s="82" t="n"/>
      <c r="M273" s="50" t="n"/>
      <c r="N273" s="4" t="n"/>
      <c r="O273" s="82" t="n"/>
      <c r="P273" s="50" t="n"/>
      <c r="Q273" s="4" t="n"/>
      <c r="R273" s="4" t="n"/>
      <c r="S273" s="4" t="n"/>
    </row>
    <row r="274">
      <c r="A274" s="4" t="n"/>
      <c r="B274" s="50" t="n"/>
      <c r="C274" s="4" t="n"/>
      <c r="D274" s="81" t="n"/>
      <c r="E274" s="82" t="n"/>
      <c r="F274" s="4" t="n"/>
      <c r="G274" s="4" t="n"/>
      <c r="H274" s="4" t="n"/>
      <c r="I274" s="81" t="n"/>
      <c r="J274" s="82" t="n"/>
      <c r="K274" s="82" t="n"/>
      <c r="L274" s="82" t="n"/>
      <c r="M274" s="50" t="n"/>
      <c r="N274" s="4" t="n"/>
      <c r="O274" s="82" t="n"/>
      <c r="P274" s="50" t="n"/>
      <c r="Q274" s="4" t="n"/>
      <c r="R274" s="4" t="n"/>
      <c r="S274" s="4" t="n"/>
    </row>
    <row r="275">
      <c r="A275" s="4" t="n"/>
      <c r="B275" s="50" t="n"/>
      <c r="C275" s="4" t="n"/>
      <c r="D275" s="81" t="n"/>
      <c r="E275" s="82" t="n"/>
      <c r="F275" s="4" t="n"/>
      <c r="G275" s="4" t="n"/>
      <c r="H275" s="4" t="n"/>
      <c r="I275" s="81" t="n"/>
      <c r="J275" s="82" t="n"/>
      <c r="K275" s="82" t="n"/>
      <c r="L275" s="82" t="n"/>
      <c r="M275" s="50" t="n"/>
      <c r="N275" s="4" t="n"/>
      <c r="O275" s="82" t="n"/>
      <c r="P275" s="50" t="n"/>
      <c r="Q275" s="4" t="n"/>
      <c r="R275" s="4" t="n"/>
      <c r="S275" s="4" t="n"/>
    </row>
    <row r="276">
      <c r="A276" s="4" t="n"/>
      <c r="B276" s="50" t="n"/>
      <c r="C276" s="4" t="n"/>
      <c r="D276" s="81" t="n"/>
      <c r="E276" s="82" t="n"/>
      <c r="F276" s="4" t="n"/>
      <c r="G276" s="4" t="n"/>
      <c r="H276" s="4" t="n"/>
      <c r="I276" s="81" t="n"/>
      <c r="J276" s="82" t="n"/>
      <c r="K276" s="82" t="n"/>
      <c r="L276" s="82" t="n"/>
      <c r="M276" s="50" t="n"/>
      <c r="N276" s="4" t="n"/>
      <c r="O276" s="82" t="n"/>
      <c r="P276" s="50" t="n"/>
      <c r="Q276" s="4" t="n"/>
      <c r="R276" s="4" t="n"/>
      <c r="S276" s="4" t="n"/>
    </row>
    <row r="277">
      <c r="A277" s="4" t="n"/>
      <c r="B277" s="50" t="n"/>
      <c r="C277" s="4" t="n"/>
      <c r="D277" s="81" t="n"/>
      <c r="E277" s="82" t="n"/>
      <c r="F277" s="4" t="n"/>
      <c r="G277" s="4" t="n"/>
      <c r="H277" s="4" t="n"/>
      <c r="I277" s="81" t="n"/>
      <c r="J277" s="82" t="n"/>
      <c r="K277" s="82" t="n"/>
      <c r="L277" s="82" t="n"/>
      <c r="M277" s="50" t="n"/>
      <c r="N277" s="4" t="n"/>
      <c r="O277" s="82" t="n"/>
      <c r="P277" s="50" t="n"/>
      <c r="Q277" s="4" t="n"/>
      <c r="R277" s="4" t="n"/>
      <c r="S277" s="4" t="n"/>
    </row>
    <row r="278">
      <c r="A278" s="4" t="n"/>
      <c r="B278" s="50" t="n"/>
      <c r="C278" s="4" t="n"/>
      <c r="D278" s="81" t="n"/>
      <c r="E278" s="82" t="n"/>
      <c r="F278" s="4" t="n"/>
      <c r="G278" s="4" t="n"/>
      <c r="H278" s="4" t="n"/>
      <c r="I278" s="81" t="n"/>
      <c r="J278" s="82" t="n"/>
      <c r="K278" s="82" t="n"/>
      <c r="L278" s="82" t="n"/>
      <c r="M278" s="50" t="n"/>
      <c r="N278" s="4" t="n"/>
      <c r="O278" s="82" t="n"/>
      <c r="P278" s="50" t="n"/>
      <c r="Q278" s="4" t="n"/>
      <c r="R278" s="4" t="n"/>
      <c r="S278" s="4" t="n"/>
    </row>
    <row r="279">
      <c r="A279" s="4" t="n"/>
      <c r="B279" s="50" t="n"/>
      <c r="C279" s="4" t="n"/>
      <c r="D279" s="81" t="n"/>
      <c r="E279" s="82" t="n"/>
      <c r="F279" s="4" t="n"/>
      <c r="G279" s="4" t="n"/>
      <c r="H279" s="4" t="n"/>
      <c r="I279" s="81" t="n"/>
      <c r="J279" s="82" t="n"/>
      <c r="K279" s="82" t="n"/>
      <c r="L279" s="82" t="n"/>
      <c r="M279" s="50" t="n"/>
      <c r="N279" s="4" t="n"/>
      <c r="O279" s="82" t="n"/>
      <c r="P279" s="50" t="n"/>
      <c r="Q279" s="4" t="n"/>
      <c r="R279" s="4" t="n"/>
      <c r="S279" s="4" t="n"/>
    </row>
    <row r="280">
      <c r="A280" s="4" t="n"/>
      <c r="B280" s="50" t="n"/>
      <c r="C280" s="4" t="n"/>
      <c r="D280" s="81" t="n"/>
      <c r="E280" s="82" t="n"/>
      <c r="F280" s="4" t="n"/>
      <c r="G280" s="4" t="n"/>
      <c r="H280" s="4" t="n"/>
      <c r="I280" s="81" t="n"/>
      <c r="J280" s="82" t="n"/>
      <c r="K280" s="82" t="n"/>
      <c r="L280" s="82" t="n"/>
      <c r="M280" s="50" t="n"/>
      <c r="N280" s="4" t="n"/>
      <c r="O280" s="82" t="n"/>
      <c r="P280" s="50" t="n"/>
      <c r="Q280" s="4" t="n"/>
      <c r="R280" s="4" t="n"/>
      <c r="S280" s="4" t="n"/>
    </row>
    <row r="281">
      <c r="A281" s="4" t="n"/>
      <c r="B281" s="50" t="n"/>
      <c r="C281" s="4" t="n"/>
      <c r="D281" s="81" t="n"/>
      <c r="E281" s="82" t="n"/>
      <c r="F281" s="4" t="n"/>
      <c r="G281" s="4" t="n"/>
      <c r="H281" s="4" t="n"/>
      <c r="I281" s="81" t="n"/>
      <c r="J281" s="82" t="n"/>
      <c r="K281" s="82" t="n"/>
      <c r="L281" s="82" t="n"/>
      <c r="M281" s="50" t="n"/>
      <c r="N281" s="4" t="n"/>
      <c r="O281" s="82" t="n"/>
      <c r="P281" s="50" t="n"/>
      <c r="Q281" s="4" t="n"/>
      <c r="R281" s="4" t="n"/>
      <c r="S281" s="4" t="n"/>
    </row>
    <row r="282">
      <c r="A282" s="4" t="n"/>
      <c r="B282" s="50" t="n"/>
      <c r="C282" s="4" t="n"/>
      <c r="D282" s="81" t="n"/>
      <c r="E282" s="82" t="n"/>
      <c r="F282" s="4" t="n"/>
      <c r="G282" s="4" t="n"/>
      <c r="H282" s="4" t="n"/>
      <c r="I282" s="81" t="n"/>
      <c r="J282" s="82" t="n"/>
      <c r="K282" s="82" t="n"/>
      <c r="L282" s="82" t="n"/>
      <c r="M282" s="50" t="n"/>
      <c r="N282" s="4" t="n"/>
      <c r="O282" s="82" t="n"/>
      <c r="P282" s="50" t="n"/>
      <c r="Q282" s="4" t="n"/>
      <c r="R282" s="4" t="n"/>
      <c r="S282" s="4" t="n"/>
    </row>
    <row r="283">
      <c r="A283" s="4" t="n"/>
      <c r="B283" s="50" t="n"/>
      <c r="C283" s="4" t="n"/>
      <c r="D283" s="81" t="n"/>
      <c r="E283" s="82" t="n"/>
      <c r="F283" s="4" t="n"/>
      <c r="G283" s="4" t="n"/>
      <c r="H283" s="4" t="n"/>
      <c r="I283" s="81" t="n"/>
      <c r="J283" s="82" t="n"/>
      <c r="K283" s="82" t="n"/>
      <c r="L283" s="82" t="n"/>
      <c r="M283" s="50" t="n"/>
      <c r="N283" s="4" t="n"/>
      <c r="O283" s="82" t="n"/>
      <c r="P283" s="50" t="n"/>
      <c r="Q283" s="4" t="n"/>
      <c r="R283" s="4" t="n"/>
      <c r="S283" s="4" t="n"/>
    </row>
    <row r="284">
      <c r="A284" s="4" t="n"/>
      <c r="B284" s="50" t="n"/>
      <c r="C284" s="4" t="n"/>
      <c r="D284" s="81" t="n"/>
      <c r="E284" s="82" t="n"/>
      <c r="F284" s="4" t="n"/>
      <c r="G284" s="4" t="n"/>
      <c r="H284" s="4" t="n"/>
      <c r="I284" s="81" t="n"/>
      <c r="J284" s="82" t="n"/>
      <c r="K284" s="82" t="n"/>
      <c r="L284" s="82" t="n"/>
      <c r="M284" s="50" t="n"/>
      <c r="N284" s="4" t="n"/>
      <c r="O284" s="82" t="n"/>
      <c r="P284" s="50" t="n"/>
      <c r="Q284" s="4" t="n"/>
      <c r="R284" s="4" t="n"/>
      <c r="S284" s="4" t="n"/>
    </row>
    <row r="285">
      <c r="A285" s="4" t="n"/>
      <c r="B285" s="50" t="n"/>
      <c r="C285" s="4" t="n"/>
      <c r="D285" s="81" t="n"/>
      <c r="E285" s="82" t="n"/>
      <c r="F285" s="4" t="n"/>
      <c r="G285" s="4" t="n"/>
      <c r="H285" s="4" t="n"/>
      <c r="I285" s="81" t="n"/>
      <c r="J285" s="82" t="n"/>
      <c r="K285" s="82" t="n"/>
      <c r="L285" s="82" t="n"/>
      <c r="M285" s="50" t="n"/>
      <c r="N285" s="4" t="n"/>
      <c r="O285" s="82" t="n"/>
      <c r="P285" s="50" t="n"/>
      <c r="Q285" s="4" t="n"/>
      <c r="R285" s="4" t="n"/>
      <c r="S285" s="4" t="n"/>
    </row>
    <row r="286">
      <c r="A286" s="4" t="n"/>
      <c r="B286" s="50" t="n"/>
      <c r="C286" s="4" t="n"/>
      <c r="D286" s="81" t="n"/>
      <c r="E286" s="82" t="n"/>
      <c r="F286" s="4" t="n"/>
      <c r="G286" s="4" t="n"/>
      <c r="H286" s="4" t="n"/>
      <c r="I286" s="81" t="n"/>
      <c r="J286" s="82" t="n"/>
      <c r="K286" s="82" t="n"/>
      <c r="L286" s="82" t="n"/>
      <c r="M286" s="50" t="n"/>
      <c r="N286" s="4" t="n"/>
      <c r="O286" s="82" t="n"/>
      <c r="P286" s="50" t="n"/>
      <c r="Q286" s="4" t="n"/>
      <c r="R286" s="4" t="n"/>
      <c r="S286" s="4" t="n"/>
    </row>
    <row r="287">
      <c r="A287" s="4" t="n"/>
      <c r="B287" s="50" t="n"/>
      <c r="C287" s="4" t="n"/>
      <c r="D287" s="81" t="n"/>
      <c r="E287" s="82" t="n"/>
      <c r="F287" s="4" t="n"/>
      <c r="G287" s="4" t="n"/>
      <c r="H287" s="4" t="n"/>
      <c r="I287" s="81" t="n"/>
      <c r="J287" s="82" t="n"/>
      <c r="K287" s="82" t="n"/>
      <c r="L287" s="82" t="n"/>
      <c r="M287" s="50" t="n"/>
      <c r="N287" s="4" t="n"/>
      <c r="O287" s="82" t="n"/>
      <c r="P287" s="50" t="n"/>
      <c r="Q287" s="4" t="n"/>
      <c r="R287" s="4" t="n"/>
      <c r="S287" s="4" t="n"/>
    </row>
    <row r="288">
      <c r="A288" s="4" t="n"/>
      <c r="B288" s="50" t="n"/>
      <c r="C288" s="4" t="n"/>
      <c r="D288" s="81" t="n"/>
      <c r="E288" s="82" t="n"/>
      <c r="F288" s="4" t="n"/>
      <c r="G288" s="4" t="n"/>
      <c r="H288" s="4" t="n"/>
      <c r="I288" s="81" t="n"/>
      <c r="J288" s="82" t="n"/>
      <c r="K288" s="82" t="n"/>
      <c r="L288" s="82" t="n"/>
      <c r="M288" s="50" t="n"/>
      <c r="N288" s="4" t="n"/>
      <c r="O288" s="82" t="n"/>
      <c r="P288" s="50" t="n"/>
      <c r="Q288" s="4" t="n"/>
      <c r="R288" s="4" t="n"/>
      <c r="S288" s="4" t="n"/>
    </row>
    <row r="289">
      <c r="A289" s="4" t="n"/>
      <c r="B289" s="50" t="n"/>
      <c r="C289" s="4" t="n"/>
      <c r="D289" s="81" t="n"/>
      <c r="E289" s="82" t="n"/>
      <c r="F289" s="4" t="n"/>
      <c r="G289" s="4" t="n"/>
      <c r="H289" s="4" t="n"/>
      <c r="I289" s="81" t="n"/>
      <c r="J289" s="82" t="n"/>
      <c r="K289" s="82" t="n"/>
      <c r="L289" s="82" t="n"/>
      <c r="M289" s="50" t="n"/>
      <c r="N289" s="4" t="n"/>
      <c r="O289" s="82" t="n"/>
      <c r="P289" s="50" t="n"/>
      <c r="Q289" s="4" t="n"/>
      <c r="R289" s="4" t="n"/>
      <c r="S289" s="4" t="n"/>
    </row>
    <row r="290">
      <c r="A290" s="4" t="n"/>
      <c r="B290" s="50" t="n"/>
      <c r="C290" s="4" t="n"/>
      <c r="D290" s="81" t="n"/>
      <c r="E290" s="82" t="n"/>
      <c r="F290" s="4" t="n"/>
      <c r="G290" s="4" t="n"/>
      <c r="H290" s="4" t="n"/>
      <c r="I290" s="81" t="n"/>
      <c r="J290" s="82" t="n"/>
      <c r="K290" s="82" t="n"/>
      <c r="L290" s="82" t="n"/>
      <c r="M290" s="50" t="n"/>
      <c r="N290" s="4" t="n"/>
      <c r="O290" s="82" t="n"/>
      <c r="P290" s="50" t="n"/>
      <c r="Q290" s="4" t="n"/>
      <c r="R290" s="4" t="n"/>
      <c r="S290" s="4" t="n"/>
    </row>
    <row r="291">
      <c r="A291" s="4" t="n"/>
      <c r="B291" s="50" t="n"/>
      <c r="C291" s="4" t="n"/>
      <c r="D291" s="81" t="n"/>
      <c r="E291" s="82" t="n"/>
      <c r="F291" s="4" t="n"/>
      <c r="G291" s="4" t="n"/>
      <c r="H291" s="4" t="n"/>
      <c r="I291" s="81" t="n"/>
      <c r="J291" s="82" t="n"/>
      <c r="K291" s="82" t="n"/>
      <c r="L291" s="82" t="n"/>
      <c r="M291" s="50" t="n"/>
      <c r="N291" s="4" t="n"/>
      <c r="O291" s="82" t="n"/>
      <c r="P291" s="50" t="n"/>
      <c r="Q291" s="4" t="n"/>
      <c r="R291" s="4" t="n"/>
      <c r="S291" s="4" t="n"/>
    </row>
    <row r="292">
      <c r="A292" s="4" t="n"/>
      <c r="B292" s="50" t="n"/>
      <c r="C292" s="4" t="n"/>
      <c r="D292" s="81" t="n"/>
      <c r="E292" s="82" t="n"/>
      <c r="F292" s="4" t="n"/>
      <c r="G292" s="4" t="n"/>
      <c r="H292" s="4" t="n"/>
      <c r="I292" s="81" t="n"/>
      <c r="J292" s="82" t="n"/>
      <c r="K292" s="82" t="n"/>
      <c r="L292" s="82" t="n"/>
      <c r="M292" s="50" t="n"/>
      <c r="N292" s="4" t="n"/>
      <c r="O292" s="82" t="n"/>
      <c r="P292" s="50" t="n"/>
      <c r="Q292" s="4" t="n"/>
      <c r="R292" s="4" t="n"/>
      <c r="S292" s="4" t="n"/>
    </row>
    <row r="293">
      <c r="A293" s="4" t="n"/>
      <c r="B293" s="50" t="n"/>
      <c r="C293" s="4" t="n"/>
      <c r="D293" s="81" t="n"/>
      <c r="E293" s="82" t="n"/>
      <c r="F293" s="4" t="n"/>
      <c r="G293" s="4" t="n"/>
      <c r="H293" s="4" t="n"/>
      <c r="I293" s="81" t="n"/>
      <c r="J293" s="82" t="n"/>
      <c r="K293" s="82" t="n"/>
      <c r="L293" s="82" t="n"/>
      <c r="M293" s="50" t="n"/>
      <c r="N293" s="4" t="n"/>
      <c r="O293" s="82" t="n"/>
      <c r="P293" s="50" t="n"/>
      <c r="Q293" s="4" t="n"/>
      <c r="R293" s="4" t="n"/>
      <c r="S293" s="4" t="n"/>
    </row>
    <row r="294">
      <c r="A294" s="4" t="n"/>
      <c r="B294" s="50" t="n"/>
      <c r="C294" s="4" t="n"/>
      <c r="D294" s="81" t="n"/>
      <c r="E294" s="82" t="n"/>
      <c r="F294" s="4" t="n"/>
      <c r="G294" s="4" t="n"/>
      <c r="H294" s="4" t="n"/>
      <c r="I294" s="81" t="n"/>
      <c r="J294" s="82" t="n"/>
      <c r="K294" s="82" t="n"/>
      <c r="L294" s="82" t="n"/>
      <c r="M294" s="50" t="n"/>
      <c r="N294" s="4" t="n"/>
      <c r="O294" s="82" t="n"/>
      <c r="P294" s="50" t="n"/>
      <c r="Q294" s="4" t="n"/>
      <c r="R294" s="4" t="n"/>
      <c r="S294" s="4" t="n"/>
    </row>
    <row r="295">
      <c r="A295" s="4" t="n"/>
      <c r="B295" s="50" t="n"/>
      <c r="C295" s="4" t="n"/>
      <c r="D295" s="81" t="n"/>
      <c r="E295" s="82" t="n"/>
      <c r="F295" s="4" t="n"/>
      <c r="G295" s="4" t="n"/>
      <c r="H295" s="4" t="n"/>
      <c r="I295" s="81" t="n"/>
      <c r="J295" s="82" t="n"/>
      <c r="K295" s="82" t="n"/>
      <c r="L295" s="82" t="n"/>
      <c r="M295" s="50" t="n"/>
      <c r="N295" s="4" t="n"/>
      <c r="O295" s="82" t="n"/>
      <c r="P295" s="50" t="n"/>
      <c r="Q295" s="4" t="n"/>
      <c r="R295" s="4" t="n"/>
      <c r="S295" s="4" t="n"/>
    </row>
    <row r="296">
      <c r="A296" s="4" t="n"/>
      <c r="B296" s="50" t="n"/>
      <c r="C296" s="4" t="n"/>
      <c r="D296" s="81" t="n"/>
      <c r="E296" s="82" t="n"/>
      <c r="F296" s="4" t="n"/>
      <c r="G296" s="4" t="n"/>
      <c r="H296" s="4" t="n"/>
      <c r="I296" s="81" t="n"/>
      <c r="J296" s="82" t="n"/>
      <c r="K296" s="82" t="n"/>
      <c r="L296" s="82" t="n"/>
      <c r="M296" s="50" t="n"/>
      <c r="N296" s="4" t="n"/>
      <c r="O296" s="82" t="n"/>
      <c r="P296" s="50" t="n"/>
      <c r="Q296" s="4" t="n"/>
      <c r="R296" s="4" t="n"/>
      <c r="S296" s="4" t="n"/>
    </row>
    <row r="297">
      <c r="A297" s="4" t="n"/>
      <c r="B297" s="50" t="n"/>
      <c r="C297" s="4" t="n"/>
      <c r="D297" s="81" t="n"/>
      <c r="E297" s="82" t="n"/>
      <c r="F297" s="4" t="n"/>
      <c r="G297" s="4" t="n"/>
      <c r="H297" s="4" t="n"/>
      <c r="I297" s="81" t="n"/>
      <c r="J297" s="82" t="n"/>
      <c r="K297" s="82" t="n"/>
      <c r="L297" s="82" t="n"/>
      <c r="M297" s="50" t="n"/>
      <c r="N297" s="4" t="n"/>
      <c r="O297" s="82" t="n"/>
      <c r="P297" s="50" t="n"/>
      <c r="Q297" s="4" t="n"/>
      <c r="R297" s="4" t="n"/>
      <c r="S297" s="4" t="n"/>
    </row>
    <row r="298">
      <c r="A298" s="4" t="n"/>
      <c r="B298" s="50" t="n"/>
      <c r="C298" s="4" t="n"/>
      <c r="D298" s="81" t="n"/>
      <c r="E298" s="82" t="n"/>
      <c r="F298" s="4" t="n"/>
      <c r="G298" s="4" t="n"/>
      <c r="H298" s="4" t="n"/>
      <c r="I298" s="81" t="n"/>
      <c r="J298" s="82" t="n"/>
      <c r="K298" s="82" t="n"/>
      <c r="L298" s="82" t="n"/>
      <c r="M298" s="50" t="n"/>
      <c r="N298" s="4" t="n"/>
      <c r="O298" s="82" t="n"/>
      <c r="P298" s="50" t="n"/>
      <c r="Q298" s="4" t="n"/>
      <c r="R298" s="4" t="n"/>
      <c r="S298" s="4" t="n"/>
    </row>
    <row r="299">
      <c r="A299" s="4" t="n"/>
      <c r="B299" s="50" t="n"/>
      <c r="C299" s="4" t="n"/>
      <c r="D299" s="81" t="n"/>
      <c r="E299" s="82" t="n"/>
      <c r="F299" s="4" t="n"/>
      <c r="G299" s="4" t="n"/>
      <c r="H299" s="4" t="n"/>
      <c r="I299" s="81" t="n"/>
      <c r="J299" s="82" t="n"/>
      <c r="K299" s="82" t="n"/>
      <c r="L299" s="82" t="n"/>
      <c r="M299" s="50" t="n"/>
      <c r="N299" s="4" t="n"/>
      <c r="O299" s="82" t="n"/>
      <c r="P299" s="50" t="n"/>
      <c r="Q299" s="4" t="n"/>
      <c r="R299" s="4" t="n"/>
      <c r="S299" s="4" t="n"/>
    </row>
    <row r="300">
      <c r="A300" s="4" t="n"/>
      <c r="B300" s="50" t="n"/>
      <c r="C300" s="4" t="n"/>
      <c r="D300" s="81" t="n"/>
      <c r="E300" s="82" t="n"/>
      <c r="F300" s="4" t="n"/>
      <c r="G300" s="4" t="n"/>
      <c r="H300" s="4" t="n"/>
      <c r="I300" s="81" t="n"/>
      <c r="J300" s="82" t="n"/>
      <c r="K300" s="82" t="n"/>
      <c r="L300" s="82" t="n"/>
      <c r="M300" s="50" t="n"/>
      <c r="N300" s="4" t="n"/>
      <c r="O300" s="82" t="n"/>
      <c r="P300" s="50" t="n"/>
      <c r="Q300" s="4" t="n"/>
      <c r="R300" s="4" t="n"/>
      <c r="S300" s="4" t="n"/>
    </row>
    <row r="301">
      <c r="A301" s="4" t="n"/>
      <c r="B301" s="50" t="n"/>
      <c r="C301" s="4" t="n"/>
      <c r="D301" s="81" t="n"/>
      <c r="E301" s="82" t="n"/>
      <c r="F301" s="4" t="n"/>
      <c r="G301" s="4" t="n"/>
      <c r="H301" s="4" t="n"/>
      <c r="I301" s="81" t="n"/>
      <c r="J301" s="82" t="n"/>
      <c r="K301" s="82" t="n"/>
      <c r="L301" s="82" t="n"/>
      <c r="M301" s="50" t="n"/>
      <c r="N301" s="4" t="n"/>
      <c r="O301" s="82" t="n"/>
      <c r="P301" s="50" t="n"/>
      <c r="Q301" s="4" t="n"/>
      <c r="R301" s="4" t="n"/>
      <c r="S301" s="4" t="n"/>
    </row>
    <row r="302">
      <c r="A302" s="4" t="n"/>
      <c r="B302" s="50" t="n"/>
      <c r="C302" s="4" t="n"/>
      <c r="D302" s="81" t="n"/>
      <c r="E302" s="82" t="n"/>
      <c r="F302" s="4" t="n"/>
      <c r="G302" s="4" t="n"/>
      <c r="H302" s="4" t="n"/>
      <c r="I302" s="81" t="n"/>
      <c r="J302" s="82" t="n"/>
      <c r="K302" s="82" t="n"/>
      <c r="L302" s="82" t="n"/>
      <c r="M302" s="50" t="n"/>
      <c r="N302" s="4" t="n"/>
      <c r="O302" s="82" t="n"/>
      <c r="P302" s="50" t="n"/>
      <c r="Q302" s="4" t="n"/>
      <c r="R302" s="4" t="n"/>
      <c r="S302" s="4" t="n"/>
    </row>
    <row r="303">
      <c r="A303" s="4" t="n"/>
      <c r="B303" s="50" t="n"/>
      <c r="C303" s="4" t="n"/>
      <c r="D303" s="81" t="n"/>
      <c r="E303" s="82" t="n"/>
      <c r="F303" s="4" t="n"/>
      <c r="G303" s="4" t="n"/>
      <c r="H303" s="4" t="n"/>
      <c r="I303" s="81" t="n"/>
      <c r="J303" s="82" t="n"/>
      <c r="K303" s="82" t="n"/>
      <c r="L303" s="82" t="n"/>
      <c r="M303" s="50" t="n"/>
      <c r="N303" s="4" t="n"/>
      <c r="O303" s="82" t="n"/>
      <c r="P303" s="50" t="n"/>
      <c r="Q303" s="4" t="n"/>
      <c r="R303" s="4" t="n"/>
      <c r="S303" s="4" t="n"/>
    </row>
    <row r="304">
      <c r="A304" s="4" t="n"/>
      <c r="B304" s="50" t="n"/>
      <c r="C304" s="4" t="n"/>
      <c r="D304" s="81" t="n"/>
      <c r="E304" s="82" t="n"/>
      <c r="F304" s="4" t="n"/>
      <c r="G304" s="4" t="n"/>
      <c r="H304" s="4" t="n"/>
      <c r="I304" s="81" t="n"/>
      <c r="J304" s="82" t="n"/>
      <c r="K304" s="82" t="n"/>
      <c r="L304" s="82" t="n"/>
      <c r="M304" s="50" t="n"/>
      <c r="N304" s="4" t="n"/>
      <c r="O304" s="82" t="n"/>
      <c r="P304" s="50" t="n"/>
      <c r="Q304" s="4" t="n"/>
      <c r="R304" s="4" t="n"/>
      <c r="S304" s="4" t="n"/>
    </row>
    <row r="305">
      <c r="A305" s="4" t="n"/>
      <c r="B305" s="50" t="n"/>
      <c r="C305" s="4" t="n"/>
      <c r="D305" s="81" t="n"/>
      <c r="E305" s="82" t="n"/>
      <c r="F305" s="4" t="n"/>
      <c r="G305" s="4" t="n"/>
      <c r="H305" s="4" t="n"/>
      <c r="I305" s="81" t="n"/>
      <c r="J305" s="82" t="n"/>
      <c r="K305" s="82" t="n"/>
      <c r="L305" s="82" t="n"/>
      <c r="M305" s="50" t="n"/>
      <c r="N305" s="4" t="n"/>
      <c r="O305" s="82" t="n"/>
      <c r="P305" s="50" t="n"/>
      <c r="Q305" s="4" t="n"/>
      <c r="R305" s="4" t="n"/>
      <c r="S305" s="4" t="n"/>
    </row>
    <row r="306">
      <c r="A306" s="4" t="n"/>
      <c r="B306" s="50" t="n"/>
      <c r="C306" s="4" t="n"/>
      <c r="D306" s="81" t="n"/>
      <c r="E306" s="82" t="n"/>
      <c r="F306" s="4" t="n"/>
      <c r="G306" s="4" t="n"/>
      <c r="H306" s="4" t="n"/>
      <c r="I306" s="81" t="n"/>
      <c r="J306" s="82" t="n"/>
      <c r="K306" s="82" t="n"/>
      <c r="L306" s="82" t="n"/>
      <c r="M306" s="50" t="n"/>
      <c r="N306" s="4" t="n"/>
      <c r="O306" s="82" t="n"/>
      <c r="P306" s="50" t="n"/>
      <c r="Q306" s="4" t="n"/>
      <c r="R306" s="4" t="n"/>
      <c r="S306" s="4" t="n"/>
    </row>
    <row r="307">
      <c r="A307" s="4" t="n"/>
      <c r="B307" s="50" t="n"/>
      <c r="C307" s="4" t="n"/>
      <c r="D307" s="81" t="n"/>
      <c r="E307" s="82" t="n"/>
      <c r="F307" s="4" t="n"/>
      <c r="G307" s="4" t="n"/>
      <c r="H307" s="4" t="n"/>
      <c r="I307" s="81" t="n"/>
      <c r="J307" s="82" t="n"/>
      <c r="K307" s="82" t="n"/>
      <c r="L307" s="82" t="n"/>
      <c r="M307" s="50" t="n"/>
      <c r="N307" s="4" t="n"/>
      <c r="O307" s="82" t="n"/>
      <c r="P307" s="50" t="n"/>
      <c r="Q307" s="4" t="n"/>
      <c r="R307" s="4" t="n"/>
      <c r="S307" s="4" t="n"/>
    </row>
    <row r="308">
      <c r="A308" s="4" t="n"/>
      <c r="B308" s="50" t="n"/>
      <c r="C308" s="4" t="n"/>
      <c r="D308" s="81" t="n"/>
      <c r="E308" s="82" t="n"/>
      <c r="F308" s="4" t="n"/>
      <c r="G308" s="4" t="n"/>
      <c r="H308" s="4" t="n"/>
      <c r="I308" s="81" t="n"/>
      <c r="J308" s="82" t="n"/>
      <c r="K308" s="82" t="n"/>
      <c r="L308" s="82" t="n"/>
      <c r="M308" s="50" t="n"/>
      <c r="N308" s="4" t="n"/>
      <c r="O308" s="82" t="n"/>
      <c r="P308" s="50" t="n"/>
      <c r="Q308" s="4" t="n"/>
      <c r="R308" s="4" t="n"/>
      <c r="S308" s="4" t="n"/>
    </row>
    <row r="309">
      <c r="A309" s="4" t="n"/>
      <c r="B309" s="50" t="n"/>
      <c r="C309" s="4" t="n"/>
      <c r="D309" s="81" t="n"/>
      <c r="E309" s="82" t="n"/>
      <c r="F309" s="4" t="n"/>
      <c r="G309" s="4" t="n"/>
      <c r="H309" s="4" t="n"/>
      <c r="I309" s="81" t="n"/>
      <c r="J309" s="82" t="n"/>
      <c r="K309" s="82" t="n"/>
      <c r="L309" s="82" t="n"/>
      <c r="M309" s="50" t="n"/>
      <c r="N309" s="4" t="n"/>
      <c r="O309" s="82" t="n"/>
      <c r="P309" s="50" t="n"/>
      <c r="Q309" s="4" t="n"/>
      <c r="R309" s="4" t="n"/>
      <c r="S309" s="4" t="n"/>
    </row>
    <row r="310">
      <c r="A310" s="4" t="n"/>
      <c r="B310" s="50" t="n"/>
      <c r="C310" s="4" t="n"/>
      <c r="D310" s="81" t="n"/>
      <c r="E310" s="82" t="n"/>
      <c r="F310" s="4" t="n"/>
      <c r="G310" s="4" t="n"/>
      <c r="H310" s="4" t="n"/>
      <c r="I310" s="81" t="n"/>
      <c r="J310" s="82" t="n"/>
      <c r="K310" s="82" t="n"/>
      <c r="L310" s="82" t="n"/>
      <c r="M310" s="50" t="n"/>
      <c r="N310" s="4" t="n"/>
      <c r="O310" s="82" t="n"/>
      <c r="P310" s="50" t="n"/>
      <c r="Q310" s="4" t="n"/>
      <c r="R310" s="4" t="n"/>
      <c r="S310" s="4" t="n"/>
    </row>
    <row r="311">
      <c r="A311" s="4" t="n"/>
      <c r="B311" s="50" t="n"/>
      <c r="C311" s="4" t="n"/>
      <c r="D311" s="81" t="n"/>
      <c r="E311" s="82" t="n"/>
      <c r="F311" s="4" t="n"/>
      <c r="G311" s="4" t="n"/>
      <c r="H311" s="4" t="n"/>
      <c r="I311" s="81" t="n"/>
      <c r="J311" s="82" t="n"/>
      <c r="K311" s="82" t="n"/>
      <c r="L311" s="82" t="n"/>
      <c r="M311" s="50" t="n"/>
      <c r="N311" s="4" t="n"/>
      <c r="O311" s="82" t="n"/>
      <c r="P311" s="50" t="n"/>
      <c r="Q311" s="4" t="n"/>
      <c r="R311" s="4" t="n"/>
      <c r="S311" s="4" t="n"/>
    </row>
    <row r="312">
      <c r="A312" s="4" t="n"/>
      <c r="B312" s="50" t="n"/>
      <c r="C312" s="4" t="n"/>
      <c r="D312" s="81" t="n"/>
      <c r="E312" s="82" t="n"/>
      <c r="F312" s="4" t="n"/>
      <c r="G312" s="4" t="n"/>
      <c r="H312" s="4" t="n"/>
      <c r="I312" s="81" t="n"/>
      <c r="J312" s="82" t="n"/>
      <c r="K312" s="82" t="n"/>
      <c r="L312" s="82" t="n"/>
      <c r="M312" s="50" t="n"/>
      <c r="N312" s="4" t="n"/>
      <c r="O312" s="82" t="n"/>
      <c r="P312" s="50" t="n"/>
      <c r="Q312" s="4" t="n"/>
      <c r="R312" s="4" t="n"/>
      <c r="S312" s="4" t="n"/>
    </row>
    <row r="313">
      <c r="A313" s="4" t="n"/>
      <c r="B313" s="50" t="n"/>
      <c r="C313" s="4" t="n"/>
      <c r="D313" s="81" t="n"/>
      <c r="E313" s="82" t="n"/>
      <c r="F313" s="4" t="n"/>
      <c r="G313" s="4" t="n"/>
      <c r="H313" s="4" t="n"/>
      <c r="I313" s="81" t="n"/>
      <c r="J313" s="82" t="n"/>
      <c r="K313" s="82" t="n"/>
      <c r="L313" s="82" t="n"/>
      <c r="M313" s="50" t="n"/>
      <c r="N313" s="4" t="n"/>
      <c r="O313" s="82" t="n"/>
      <c r="P313" s="50" t="n"/>
      <c r="Q313" s="4" t="n"/>
      <c r="R313" s="4" t="n"/>
      <c r="S313" s="4" t="n"/>
    </row>
    <row r="314">
      <c r="A314" s="4" t="n"/>
      <c r="B314" s="50" t="n"/>
      <c r="C314" s="4" t="n"/>
      <c r="D314" s="81" t="n"/>
      <c r="E314" s="82" t="n"/>
      <c r="F314" s="4" t="n"/>
      <c r="G314" s="4" t="n"/>
      <c r="H314" s="4" t="n"/>
      <c r="I314" s="81" t="n"/>
      <c r="J314" s="82" t="n"/>
      <c r="K314" s="82" t="n"/>
      <c r="L314" s="82" t="n"/>
      <c r="M314" s="50" t="n"/>
      <c r="N314" s="4" t="n"/>
      <c r="O314" s="82" t="n"/>
      <c r="P314" s="50" t="n"/>
      <c r="Q314" s="4" t="n"/>
      <c r="R314" s="4" t="n"/>
      <c r="S314" s="4" t="n"/>
    </row>
    <row r="315">
      <c r="A315" s="4" t="n"/>
      <c r="B315" s="50" t="n"/>
      <c r="C315" s="4" t="n"/>
      <c r="D315" s="81" t="n"/>
      <c r="E315" s="82" t="n"/>
      <c r="F315" s="4" t="n"/>
      <c r="G315" s="4" t="n"/>
      <c r="H315" s="4" t="n"/>
      <c r="I315" s="81" t="n"/>
      <c r="J315" s="82" t="n"/>
      <c r="K315" s="82" t="n"/>
      <c r="L315" s="82" t="n"/>
      <c r="M315" s="50" t="n"/>
      <c r="N315" s="4" t="n"/>
      <c r="O315" s="82" t="n"/>
      <c r="P315" s="50" t="n"/>
      <c r="Q315" s="4" t="n"/>
      <c r="R315" s="4" t="n"/>
      <c r="S315" s="4" t="n"/>
    </row>
    <row r="316">
      <c r="A316" s="4" t="n"/>
      <c r="B316" s="50" t="n"/>
      <c r="C316" s="4" t="n"/>
      <c r="D316" s="81" t="n"/>
      <c r="E316" s="82" t="n"/>
      <c r="F316" s="4" t="n"/>
      <c r="G316" s="4" t="n"/>
      <c r="H316" s="4" t="n"/>
      <c r="I316" s="81" t="n"/>
      <c r="J316" s="82" t="n"/>
      <c r="K316" s="82" t="n"/>
      <c r="L316" s="82" t="n"/>
      <c r="M316" s="50" t="n"/>
      <c r="N316" s="4" t="n"/>
      <c r="O316" s="82" t="n"/>
      <c r="P316" s="50" t="n"/>
      <c r="Q316" s="4" t="n"/>
      <c r="R316" s="4" t="n"/>
      <c r="S316" s="4" t="n"/>
    </row>
    <row r="317">
      <c r="A317" s="4" t="n"/>
      <c r="B317" s="50" t="n"/>
      <c r="C317" s="4" t="n"/>
      <c r="D317" s="81" t="n"/>
      <c r="E317" s="82" t="n"/>
      <c r="F317" s="4" t="n"/>
      <c r="G317" s="4" t="n"/>
      <c r="H317" s="4" t="n"/>
      <c r="I317" s="81" t="n"/>
      <c r="J317" s="82" t="n"/>
      <c r="K317" s="82" t="n"/>
      <c r="L317" s="82" t="n"/>
      <c r="M317" s="50" t="n"/>
      <c r="N317" s="4" t="n"/>
      <c r="O317" s="82" t="n"/>
      <c r="P317" s="50" t="n"/>
      <c r="Q317" s="4" t="n"/>
      <c r="R317" s="4" t="n"/>
      <c r="S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P5015">
    <cfRule type="expression" priority="4" dxfId="16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1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3" t="inlineStr">
        <is>
          <t>PREMISSAS (você edita)</t>
        </is>
      </c>
      <c r="C4" s="4" t="n"/>
      <c r="D4" s="4" t="n"/>
      <c r="E4" s="4" t="n"/>
      <c r="F4" s="53" t="inlineStr">
        <is>
          <t>PLANO 1 — HOJE</t>
        </is>
      </c>
      <c r="G4" s="4" t="n"/>
      <c r="H4" s="4" t="n"/>
      <c r="I4" s="4" t="n"/>
      <c r="J4" s="53" t="inlineStr">
        <is>
          <t>PLANO 2 — HOJE</t>
        </is>
      </c>
      <c r="K4" s="4" t="n"/>
      <c r="L4" s="4" t="n"/>
      <c r="M4" s="53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83" t="n"/>
      <c r="G5" s="83" t="n"/>
      <c r="H5" s="4" t="n"/>
      <c r="I5" s="4" t="n"/>
      <c r="J5" s="83" t="n"/>
      <c r="K5" s="83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84">
        <f>INDEX(tbCDI[CDI ao ano],MATCH(TODAY(),tbCDI[A partir de],1))</f>
        <v/>
      </c>
      <c r="D6" s="85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5">
        <f>SUM(tbInvestimentos[Saldo hoje])</f>
        <v/>
      </c>
      <c r="H6" s="4" t="n"/>
      <c r="I6" s="4" t="n"/>
      <c r="J6" s="23" t="inlineStr">
        <is>
          <t>Salário hoje (carreira)</t>
        </is>
      </c>
      <c r="K6" s="25">
        <f>IFERROR(LOOKUP(2,1/(tbCarreira[A partir de]&lt;=TODAY()),tbCarreira[Salário]),INDEX(tbCarreira[Salário],1))</f>
        <v/>
      </c>
      <c r="L6" s="4" t="n"/>
      <c r="M6" s="86" t="n"/>
      <c r="N6" s="19" t="inlineStr">
        <is>
          <t>Salário hoje</t>
        </is>
      </c>
      <c r="O6" s="87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88" t="n">
        <v>6000</v>
      </c>
      <c r="D7" s="85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89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5">
        <f>Alugueis</f>
        <v/>
      </c>
      <c r="L7" s="4" t="n"/>
      <c r="M7" s="86" t="n">
        <v>47484</v>
      </c>
      <c r="N7" s="19" t="inlineStr">
        <is>
          <t>Promoção (exemplo)</t>
        </is>
      </c>
      <c r="O7" s="87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88" t="n">
        <v>3000</v>
      </c>
      <c r="D8" s="85" t="inlineStr">
        <is>
          <t>Quanto pretende aplicar por mês.</t>
        </is>
      </c>
      <c r="E8" s="4" t="n"/>
      <c r="F8" s="23" t="inlineStr">
        <is>
          <t>IR médio real da carteira</t>
        </is>
      </c>
      <c r="G8" s="89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5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90" t="inlineStr">
        <is>
          <t>Planejado</t>
        </is>
      </c>
      <c r="D9" s="85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91">
        <f>((1+CDI)^(1/12)-1)*P1Pct</f>
        <v/>
      </c>
      <c r="H9" s="4" t="n"/>
      <c r="I9" s="4" t="n"/>
      <c r="J9" s="23" t="inlineStr">
        <is>
          <t>Renda durável hoje</t>
        </is>
      </c>
      <c r="K9" s="25">
        <f>K6+K7+K8</f>
        <v/>
      </c>
      <c r="L9" s="4" t="n"/>
      <c r="M9" s="33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88" t="n">
        <v>15000</v>
      </c>
      <c r="D10" s="85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91">
        <f>P1TaxaBruta*(1-P1IR)</f>
        <v/>
      </c>
      <c r="H10" s="4" t="n"/>
      <c r="I10" s="4" t="n"/>
      <c r="J10" s="23" t="inlineStr">
        <is>
          <t>Meta</t>
        </is>
      </c>
      <c r="K10" s="25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88" t="n">
        <v>0</v>
      </c>
      <c r="D11" s="85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5">
        <f>P1Total*P1Taxa</f>
        <v/>
      </c>
      <c r="H11" s="4" t="n"/>
      <c r="I11" s="4" t="n"/>
      <c r="J11" s="23" t="inlineStr">
        <is>
          <t>% da meta</t>
        </is>
      </c>
      <c r="K11" s="89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5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5">
        <f>IF(AporteModo="Média real",P1Media,AportePlanejado)</f>
        <v/>
      </c>
      <c r="H13" s="4" t="n"/>
      <c r="I13" s="4" t="n"/>
      <c r="J13" s="92" t="inlineStr">
        <is>
          <t>META ATINGIDA EM</t>
        </is>
      </c>
      <c r="K13" s="93">
        <f>IF(K9&gt;=MetaRenda,"JÁ ATINGIDA",IF(COUNTIF($R$28:$R$123,"META ✔")=0,"além de 8 anos",INDEX($J$28:$J$123,COUNTIF($R$28:$R$123,"&lt;&gt;META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40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5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5">
        <f>HYPERLINK("#'Mês'!A1","⌂  Mês")</f>
        <v/>
      </c>
      <c r="E15" s="4" t="n"/>
      <c r="F15" s="23" t="inlineStr">
        <is>
          <t>Falta juntar</t>
        </is>
      </c>
      <c r="G15" s="25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89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92" t="inlineStr">
        <is>
          <t>INDEPENDENTE EM</t>
        </is>
      </c>
      <c r="G18" s="93">
        <f>IF(P1Total&gt;=P1Alvo,"JÁ INDEPENDENTE",IF(COUNTIF($H$28:$H$75,"INDEPENDENTE")=0,"além de 48 meses",INDEX($B$28:$B$75,COUNTIF($H$28:$H$75,"&lt;&gt;INDEPENDENTE")+1)))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3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94" t="n">
        <v>43831</v>
      </c>
      <c r="C22" s="95" t="n">
        <v>0.139</v>
      </c>
      <c r="D22" s="96">
        <f>NETWORKDAYS(DATE(2000,1,1),tbCDI[[#This Row],[A partir de]])</f>
        <v/>
      </c>
      <c r="E22" s="96">
        <f>LN(1+tbCDI[[#This Row],[CDI ao ano]])/252</f>
        <v/>
      </c>
      <c r="F22" s="96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50" t="n"/>
      <c r="C23" s="97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50" t="n"/>
      <c r="C24" s="97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50" t="n"/>
      <c r="C25" s="97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98" t="inlineStr">
        <is>
          <t>PLANO 1 — PROJEÇÃO DE 48 MESES (juro líquido reinvestido + aporte todo mês)</t>
        </is>
      </c>
      <c r="C26" s="97" t="n"/>
      <c r="D26" s="4" t="n"/>
      <c r="E26" s="4" t="n"/>
      <c r="F26" s="4" t="n"/>
      <c r="G26" s="4" t="n"/>
      <c r="H26" s="4" t="n"/>
      <c r="I26" s="4" t="n"/>
      <c r="J26" s="53" t="inlineStr">
        <is>
          <t>PLANO 2 — PROJEÇÃO DE 96 MESES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4" customHeight="1">
      <c r="A27" s="4" t="n"/>
      <c r="B27" s="99" t="inlineStr">
        <is>
          <t>Mês</t>
        </is>
      </c>
      <c r="C27" s="100" t="inlineStr">
        <is>
          <t>Patrimônio no início</t>
        </is>
      </c>
      <c r="D27" s="14" t="inlineStr">
        <is>
          <t>Aporte</t>
        </is>
      </c>
      <c r="E27" s="14" t="inlineStr">
        <is>
          <t>Juro líquido</t>
        </is>
      </c>
      <c r="F27" s="14" t="inlineStr">
        <is>
          <t>Patrimônio no fim</t>
        </is>
      </c>
      <c r="G27" s="14" t="inlineStr">
        <is>
          <t>Juro ÷ renda a cobrir</t>
        </is>
      </c>
      <c r="H27" s="14" t="inlineStr">
        <is>
          <t>Situação</t>
        </is>
      </c>
      <c r="I27" s="4" t="n"/>
      <c r="J27" s="14" t="inlineStr">
        <is>
          <t>Mês</t>
        </is>
      </c>
      <c r="K27" s="14" t="inlineStr">
        <is>
          <t>Salário</t>
        </is>
      </c>
      <c r="L27" s="14" t="inlineStr">
        <is>
          <t>Aluguéis</t>
        </is>
      </c>
      <c r="M27" s="14" t="inlineStr">
        <is>
          <t>Patrimônio no início</t>
        </is>
      </c>
      <c r="N27" s="14" t="inlineStr">
        <is>
          <t>Aporte</t>
        </is>
      </c>
      <c r="O27" s="14" t="inlineStr">
        <is>
          <t>Juro líquido</t>
        </is>
      </c>
      <c r="P27" s="14" t="inlineStr">
        <is>
          <t>Renda durável</t>
        </is>
      </c>
      <c r="Q27" s="14" t="inlineStr">
        <is>
          <t>% da meta</t>
        </is>
      </c>
      <c r="R27" s="14" t="inlineStr">
        <is>
          <t>Situação</t>
        </is>
      </c>
      <c r="S27" s="4" t="n"/>
      <c r="T27" s="4" t="n"/>
    </row>
    <row r="28" ht="20" customHeight="1">
      <c r="A28" s="4" t="n"/>
      <c r="B28" s="86">
        <f>DATE(YEAR(TODAY()),MONTH(TODAY())+1,1)</f>
        <v/>
      </c>
      <c r="C28" s="21">
        <f>P1Total</f>
        <v/>
      </c>
      <c r="D28" s="21">
        <f>P1Aporte</f>
        <v/>
      </c>
      <c r="E28" s="21">
        <f>C28*P1Taxa</f>
        <v/>
      </c>
      <c r="F28" s="21">
        <f>C28+D28+E28</f>
        <v/>
      </c>
      <c r="G28" s="101">
        <f>IF(RendaCobrir&gt;0,E28/RendaCobrir,0)</f>
        <v/>
      </c>
      <c r="H28" s="19">
        <f>IF(E28&gt;=RendaCobrir,"INDEPENDENTE","")</f>
        <v/>
      </c>
      <c r="I28" s="4" t="n"/>
      <c r="J28" s="86">
        <f>DATE(YEAR(TODAY()),MONTH(TODAY())+1,1)</f>
        <v/>
      </c>
      <c r="K28" s="21">
        <f>IFERROR(LOOKUP(2,1/(tbCarreira[A partir de]&lt;=J28),tbCarreira[Salário]),INDEX(tbCarreira[Salário],1))</f>
        <v/>
      </c>
      <c r="L28" s="21">
        <f>Alugueis</f>
        <v/>
      </c>
      <c r="M28" s="21">
        <f>P1Total</f>
        <v/>
      </c>
      <c r="N28" s="21">
        <f>P1Aporte</f>
        <v/>
      </c>
      <c r="O28" s="21">
        <f>M28*P1Taxa</f>
        <v/>
      </c>
      <c r="P28" s="21">
        <f>K28+L28+O28</f>
        <v/>
      </c>
      <c r="Q28" s="101">
        <f>IF(MetaRenda&gt;0,P28/MetaRenda,0)</f>
        <v/>
      </c>
      <c r="R28" s="19">
        <f>IF(P28&gt;=MetaRenda,"META ✔","")</f>
        <v/>
      </c>
      <c r="S28" s="4" t="n"/>
      <c r="T28" s="4" t="n"/>
    </row>
    <row r="29" ht="20" customHeight="1">
      <c r="A29" s="4" t="n"/>
      <c r="B29" s="86">
        <f>DATE(YEAR(TODAY()),MONTH(TODAY())+2,1)</f>
        <v/>
      </c>
      <c r="C29" s="21">
        <f>F28</f>
        <v/>
      </c>
      <c r="D29" s="21">
        <f>P1Aporte</f>
        <v/>
      </c>
      <c r="E29" s="21">
        <f>C29*P1Taxa</f>
        <v/>
      </c>
      <c r="F29" s="21">
        <f>C29+D29+E29</f>
        <v/>
      </c>
      <c r="G29" s="101">
        <f>IF(RendaCobrir&gt;0,E29/RendaCobrir,0)</f>
        <v/>
      </c>
      <c r="H29" s="19">
        <f>IF(E29&gt;=RendaCobrir,"INDEPENDENTE","")</f>
        <v/>
      </c>
      <c r="I29" s="4" t="n"/>
      <c r="J29" s="86">
        <f>DATE(YEAR(TODAY()),MONTH(TODAY())+2,1)</f>
        <v/>
      </c>
      <c r="K29" s="21">
        <f>IFERROR(LOOKUP(2,1/(tbCarreira[A partir de]&lt;=J29),tbCarreira[Salário]),INDEX(tbCarreira[Salário],1))</f>
        <v/>
      </c>
      <c r="L29" s="21">
        <f>Alugueis</f>
        <v/>
      </c>
      <c r="M29" s="21">
        <f>M28+N28+O28</f>
        <v/>
      </c>
      <c r="N29" s="21">
        <f>P1Aporte</f>
        <v/>
      </c>
      <c r="O29" s="21">
        <f>M29*P1Taxa</f>
        <v/>
      </c>
      <c r="P29" s="21">
        <f>K29+L29+O29</f>
        <v/>
      </c>
      <c r="Q29" s="101">
        <f>IF(MetaRenda&gt;0,P29/MetaRenda,0)</f>
        <v/>
      </c>
      <c r="R29" s="19">
        <f>IF(P29&gt;=MetaRenda,"META ✔","")</f>
        <v/>
      </c>
      <c r="S29" s="4" t="n"/>
      <c r="T29" s="4" t="n"/>
    </row>
    <row r="30" ht="20" customHeight="1">
      <c r="A30" s="4" t="n"/>
      <c r="B30" s="86">
        <f>DATE(YEAR(TODAY()),MONTH(TODAY())+3,1)</f>
        <v/>
      </c>
      <c r="C30" s="21">
        <f>F29</f>
        <v/>
      </c>
      <c r="D30" s="21">
        <f>P1Aporte</f>
        <v/>
      </c>
      <c r="E30" s="21">
        <f>C30*P1Taxa</f>
        <v/>
      </c>
      <c r="F30" s="21">
        <f>C30+D30+E30</f>
        <v/>
      </c>
      <c r="G30" s="101">
        <f>IF(RendaCobrir&gt;0,E30/RendaCobrir,0)</f>
        <v/>
      </c>
      <c r="H30" s="19">
        <f>IF(E30&gt;=RendaCobrir,"INDEPENDENTE","")</f>
        <v/>
      </c>
      <c r="I30" s="4" t="n"/>
      <c r="J30" s="86">
        <f>DATE(YEAR(TODAY()),MONTH(TODAY())+3,1)</f>
        <v/>
      </c>
      <c r="K30" s="21">
        <f>IFERROR(LOOKUP(2,1/(tbCarreira[A partir de]&lt;=J30),tbCarreira[Salário]),INDEX(tbCarreira[Salário],1))</f>
        <v/>
      </c>
      <c r="L30" s="21">
        <f>Alugueis</f>
        <v/>
      </c>
      <c r="M30" s="21">
        <f>M29+N29+O29</f>
        <v/>
      </c>
      <c r="N30" s="21">
        <f>P1Aporte</f>
        <v/>
      </c>
      <c r="O30" s="21">
        <f>M30*P1Taxa</f>
        <v/>
      </c>
      <c r="P30" s="21">
        <f>K30+L30+O30</f>
        <v/>
      </c>
      <c r="Q30" s="101">
        <f>IF(MetaRenda&gt;0,P30/MetaRenda,0)</f>
        <v/>
      </c>
      <c r="R30" s="19">
        <f>IF(P30&gt;=MetaRenda,"META ✔","")</f>
        <v/>
      </c>
      <c r="S30" s="4" t="n"/>
      <c r="T30" s="4" t="n"/>
    </row>
    <row r="31" ht="20" customHeight="1">
      <c r="A31" s="4" t="n"/>
      <c r="B31" s="86">
        <f>DATE(YEAR(TODAY()),MONTH(TODAY())+4,1)</f>
        <v/>
      </c>
      <c r="C31" s="21">
        <f>F30</f>
        <v/>
      </c>
      <c r="D31" s="21">
        <f>P1Aporte</f>
        <v/>
      </c>
      <c r="E31" s="21">
        <f>C31*P1Taxa</f>
        <v/>
      </c>
      <c r="F31" s="21">
        <f>C31+D31+E31</f>
        <v/>
      </c>
      <c r="G31" s="101">
        <f>IF(RendaCobrir&gt;0,E31/RendaCobrir,0)</f>
        <v/>
      </c>
      <c r="H31" s="19">
        <f>IF(E31&gt;=RendaCobrir,"INDEPENDENTE","")</f>
        <v/>
      </c>
      <c r="I31" s="4" t="n"/>
      <c r="J31" s="86">
        <f>DATE(YEAR(TODAY()),MONTH(TODAY())+4,1)</f>
        <v/>
      </c>
      <c r="K31" s="21">
        <f>IFERROR(LOOKUP(2,1/(tbCarreira[A partir de]&lt;=J31),tbCarreira[Salário]),INDEX(tbCarreira[Salário],1))</f>
        <v/>
      </c>
      <c r="L31" s="21">
        <f>Alugueis</f>
        <v/>
      </c>
      <c r="M31" s="21">
        <f>M30+N30+O30</f>
        <v/>
      </c>
      <c r="N31" s="21">
        <f>P1Aporte</f>
        <v/>
      </c>
      <c r="O31" s="21">
        <f>M31*P1Taxa</f>
        <v/>
      </c>
      <c r="P31" s="21">
        <f>K31+L31+O31</f>
        <v/>
      </c>
      <c r="Q31" s="101">
        <f>IF(MetaRenda&gt;0,P31/MetaRenda,0)</f>
        <v/>
      </c>
      <c r="R31" s="19">
        <f>IF(P31&gt;=MetaRenda,"META ✔","")</f>
        <v/>
      </c>
      <c r="S31" s="4" t="n"/>
      <c r="T31" s="4" t="n"/>
    </row>
    <row r="32" ht="20" customHeight="1">
      <c r="A32" s="4" t="n"/>
      <c r="B32" s="86">
        <f>DATE(YEAR(TODAY()),MONTH(TODAY())+5,1)</f>
        <v/>
      </c>
      <c r="C32" s="21">
        <f>F31</f>
        <v/>
      </c>
      <c r="D32" s="21">
        <f>P1Aporte</f>
        <v/>
      </c>
      <c r="E32" s="21">
        <f>C32*P1Taxa</f>
        <v/>
      </c>
      <c r="F32" s="21">
        <f>C32+D32+E32</f>
        <v/>
      </c>
      <c r="G32" s="101">
        <f>IF(RendaCobrir&gt;0,E32/RendaCobrir,0)</f>
        <v/>
      </c>
      <c r="H32" s="19">
        <f>IF(E32&gt;=RendaCobrir,"INDEPENDENTE","")</f>
        <v/>
      </c>
      <c r="I32" s="4" t="n"/>
      <c r="J32" s="86">
        <f>DATE(YEAR(TODAY()),MONTH(TODAY())+5,1)</f>
        <v/>
      </c>
      <c r="K32" s="21">
        <f>IFERROR(LOOKUP(2,1/(tbCarreira[A partir de]&lt;=J32),tbCarreira[Salário]),INDEX(tbCarreira[Salário],1))</f>
        <v/>
      </c>
      <c r="L32" s="21">
        <f>Alugueis</f>
        <v/>
      </c>
      <c r="M32" s="21">
        <f>M31+N31+O31</f>
        <v/>
      </c>
      <c r="N32" s="21">
        <f>P1Aporte</f>
        <v/>
      </c>
      <c r="O32" s="21">
        <f>M32*P1Taxa</f>
        <v/>
      </c>
      <c r="P32" s="21">
        <f>K32+L32+O32</f>
        <v/>
      </c>
      <c r="Q32" s="101">
        <f>IF(MetaRenda&gt;0,P32/MetaRenda,0)</f>
        <v/>
      </c>
      <c r="R32" s="19">
        <f>IF(P32&gt;=MetaRenda,"META ✔","")</f>
        <v/>
      </c>
      <c r="S32" s="4" t="n"/>
      <c r="T32" s="4" t="n"/>
    </row>
    <row r="33" ht="20" customHeight="1">
      <c r="A33" s="4" t="n"/>
      <c r="B33" s="86">
        <f>DATE(YEAR(TODAY()),MONTH(TODAY())+6,1)</f>
        <v/>
      </c>
      <c r="C33" s="21">
        <f>F32</f>
        <v/>
      </c>
      <c r="D33" s="21">
        <f>P1Aporte</f>
        <v/>
      </c>
      <c r="E33" s="21">
        <f>C33*P1Taxa</f>
        <v/>
      </c>
      <c r="F33" s="21">
        <f>C33+D33+E33</f>
        <v/>
      </c>
      <c r="G33" s="101">
        <f>IF(RendaCobrir&gt;0,E33/RendaCobrir,0)</f>
        <v/>
      </c>
      <c r="H33" s="19">
        <f>IF(E33&gt;=RendaCobrir,"INDEPENDENTE","")</f>
        <v/>
      </c>
      <c r="I33" s="4" t="n"/>
      <c r="J33" s="86">
        <f>DATE(YEAR(TODAY()),MONTH(TODAY())+6,1)</f>
        <v/>
      </c>
      <c r="K33" s="21">
        <f>IFERROR(LOOKUP(2,1/(tbCarreira[A partir de]&lt;=J33),tbCarreira[Salário]),INDEX(tbCarreira[Salário],1))</f>
        <v/>
      </c>
      <c r="L33" s="21">
        <f>Alugueis</f>
        <v/>
      </c>
      <c r="M33" s="21">
        <f>M32+N32+O32</f>
        <v/>
      </c>
      <c r="N33" s="21">
        <f>P1Aporte</f>
        <v/>
      </c>
      <c r="O33" s="21">
        <f>M33*P1Taxa</f>
        <v/>
      </c>
      <c r="P33" s="21">
        <f>K33+L33+O33</f>
        <v/>
      </c>
      <c r="Q33" s="101">
        <f>IF(MetaRenda&gt;0,P33/MetaRenda,0)</f>
        <v/>
      </c>
      <c r="R33" s="19">
        <f>IF(P33&gt;=MetaRenda,"META ✔","")</f>
        <v/>
      </c>
      <c r="S33" s="4" t="n"/>
      <c r="T33" s="4" t="n"/>
    </row>
    <row r="34" ht="20" customHeight="1">
      <c r="A34" s="4" t="n"/>
      <c r="B34" s="86">
        <f>DATE(YEAR(TODAY()),MONTH(TODAY())+7,1)</f>
        <v/>
      </c>
      <c r="C34" s="21">
        <f>F33</f>
        <v/>
      </c>
      <c r="D34" s="21">
        <f>P1Aporte</f>
        <v/>
      </c>
      <c r="E34" s="21">
        <f>C34*P1Taxa</f>
        <v/>
      </c>
      <c r="F34" s="21">
        <f>C34+D34+E34</f>
        <v/>
      </c>
      <c r="G34" s="101">
        <f>IF(RendaCobrir&gt;0,E34/RendaCobrir,0)</f>
        <v/>
      </c>
      <c r="H34" s="19">
        <f>IF(E34&gt;=RendaCobrir,"INDEPENDENTE","")</f>
        <v/>
      </c>
      <c r="I34" s="4" t="n"/>
      <c r="J34" s="86">
        <f>DATE(YEAR(TODAY()),MONTH(TODAY())+7,1)</f>
        <v/>
      </c>
      <c r="K34" s="21">
        <f>IFERROR(LOOKUP(2,1/(tbCarreira[A partir de]&lt;=J34),tbCarreira[Salário]),INDEX(tbCarreira[Salário],1))</f>
        <v/>
      </c>
      <c r="L34" s="21">
        <f>Alugueis</f>
        <v/>
      </c>
      <c r="M34" s="21">
        <f>M33+N33+O33</f>
        <v/>
      </c>
      <c r="N34" s="21">
        <f>P1Aporte</f>
        <v/>
      </c>
      <c r="O34" s="21">
        <f>M34*P1Taxa</f>
        <v/>
      </c>
      <c r="P34" s="21">
        <f>K34+L34+O34</f>
        <v/>
      </c>
      <c r="Q34" s="101">
        <f>IF(MetaRenda&gt;0,P34/MetaRenda,0)</f>
        <v/>
      </c>
      <c r="R34" s="19">
        <f>IF(P34&gt;=MetaRenda,"META ✔","")</f>
        <v/>
      </c>
      <c r="S34" s="4" t="n"/>
      <c r="T34" s="4" t="n"/>
    </row>
    <row r="35" ht="20" customHeight="1">
      <c r="A35" s="4" t="n"/>
      <c r="B35" s="86">
        <f>DATE(YEAR(TODAY()),MONTH(TODAY())+8,1)</f>
        <v/>
      </c>
      <c r="C35" s="21">
        <f>F34</f>
        <v/>
      </c>
      <c r="D35" s="21">
        <f>P1Aporte</f>
        <v/>
      </c>
      <c r="E35" s="21">
        <f>C35*P1Taxa</f>
        <v/>
      </c>
      <c r="F35" s="21">
        <f>C35+D35+E35</f>
        <v/>
      </c>
      <c r="G35" s="101">
        <f>IF(RendaCobrir&gt;0,E35/RendaCobrir,0)</f>
        <v/>
      </c>
      <c r="H35" s="19">
        <f>IF(E35&gt;=RendaCobrir,"INDEPENDENTE","")</f>
        <v/>
      </c>
      <c r="I35" s="4" t="n"/>
      <c r="J35" s="86">
        <f>DATE(YEAR(TODAY()),MONTH(TODAY())+8,1)</f>
        <v/>
      </c>
      <c r="K35" s="21">
        <f>IFERROR(LOOKUP(2,1/(tbCarreira[A partir de]&lt;=J35),tbCarreira[Salário]),INDEX(tbCarreira[Salário],1))</f>
        <v/>
      </c>
      <c r="L35" s="21">
        <f>Alugueis</f>
        <v/>
      </c>
      <c r="M35" s="21">
        <f>M34+N34+O34</f>
        <v/>
      </c>
      <c r="N35" s="21">
        <f>P1Aporte</f>
        <v/>
      </c>
      <c r="O35" s="21">
        <f>M35*P1Taxa</f>
        <v/>
      </c>
      <c r="P35" s="21">
        <f>K35+L35+O35</f>
        <v/>
      </c>
      <c r="Q35" s="101">
        <f>IF(MetaRenda&gt;0,P35/MetaRenda,0)</f>
        <v/>
      </c>
      <c r="R35" s="19">
        <f>IF(P35&gt;=MetaRenda,"META ✔","")</f>
        <v/>
      </c>
      <c r="S35" s="4" t="n"/>
      <c r="T35" s="4" t="n"/>
    </row>
    <row r="36" ht="20" customHeight="1">
      <c r="A36" s="4" t="n"/>
      <c r="B36" s="86">
        <f>DATE(YEAR(TODAY()),MONTH(TODAY())+9,1)</f>
        <v/>
      </c>
      <c r="C36" s="21">
        <f>F35</f>
        <v/>
      </c>
      <c r="D36" s="21">
        <f>P1Aporte</f>
        <v/>
      </c>
      <c r="E36" s="21">
        <f>C36*P1Taxa</f>
        <v/>
      </c>
      <c r="F36" s="21">
        <f>C36+D36+E36</f>
        <v/>
      </c>
      <c r="G36" s="101">
        <f>IF(RendaCobrir&gt;0,E36/RendaCobrir,0)</f>
        <v/>
      </c>
      <c r="H36" s="19">
        <f>IF(E36&gt;=RendaCobrir,"INDEPENDENTE","")</f>
        <v/>
      </c>
      <c r="I36" s="4" t="n"/>
      <c r="J36" s="86">
        <f>DATE(YEAR(TODAY()),MONTH(TODAY())+9,1)</f>
        <v/>
      </c>
      <c r="K36" s="21">
        <f>IFERROR(LOOKUP(2,1/(tbCarreira[A partir de]&lt;=J36),tbCarreira[Salário]),INDEX(tbCarreira[Salário],1))</f>
        <v/>
      </c>
      <c r="L36" s="21">
        <f>Alugueis</f>
        <v/>
      </c>
      <c r="M36" s="21">
        <f>M35+N35+O35</f>
        <v/>
      </c>
      <c r="N36" s="21">
        <f>P1Aporte</f>
        <v/>
      </c>
      <c r="O36" s="21">
        <f>M36*P1Taxa</f>
        <v/>
      </c>
      <c r="P36" s="21">
        <f>K36+L36+O36</f>
        <v/>
      </c>
      <c r="Q36" s="101">
        <f>IF(MetaRenda&gt;0,P36/MetaRenda,0)</f>
        <v/>
      </c>
      <c r="R36" s="19">
        <f>IF(P36&gt;=MetaRenda,"META ✔","")</f>
        <v/>
      </c>
      <c r="S36" s="4" t="n"/>
      <c r="T36" s="4" t="n"/>
    </row>
    <row r="37" ht="20" customHeight="1">
      <c r="A37" s="4" t="n"/>
      <c r="B37" s="86">
        <f>DATE(YEAR(TODAY()),MONTH(TODAY())+10,1)</f>
        <v/>
      </c>
      <c r="C37" s="21">
        <f>F36</f>
        <v/>
      </c>
      <c r="D37" s="21">
        <f>P1Aporte</f>
        <v/>
      </c>
      <c r="E37" s="21">
        <f>C37*P1Taxa</f>
        <v/>
      </c>
      <c r="F37" s="21">
        <f>C37+D37+E37</f>
        <v/>
      </c>
      <c r="G37" s="101">
        <f>IF(RendaCobrir&gt;0,E37/RendaCobrir,0)</f>
        <v/>
      </c>
      <c r="H37" s="19">
        <f>IF(E37&gt;=RendaCobrir,"INDEPENDENTE","")</f>
        <v/>
      </c>
      <c r="I37" s="4" t="n"/>
      <c r="J37" s="86">
        <f>DATE(YEAR(TODAY()),MONTH(TODAY())+10,1)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M36+N36+O36</f>
        <v/>
      </c>
      <c r="N37" s="21">
        <f>P1Aporte</f>
        <v/>
      </c>
      <c r="O37" s="21">
        <f>M37*P1Taxa</f>
        <v/>
      </c>
      <c r="P37" s="21">
        <f>K37+L37+O37</f>
        <v/>
      </c>
      <c r="Q37" s="101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86">
        <f>DATE(YEAR(TODAY()),MONTH(TODAY())+11,1)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101">
        <f>IF(RendaCobrir&gt;0,E38/RendaCobrir,0)</f>
        <v/>
      </c>
      <c r="H38" s="19">
        <f>IF(E38&gt;=RendaCobrir,"INDEPENDENTE","")</f>
        <v/>
      </c>
      <c r="I38" s="4" t="n"/>
      <c r="J38" s="86">
        <f>DATE(YEAR(TODAY()),MONTH(TODAY())+11,1)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101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86">
        <f>DATE(YEAR(TODAY()),MONTH(TODAY())+12,1)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101">
        <f>IF(RendaCobrir&gt;0,E39/RendaCobrir,0)</f>
        <v/>
      </c>
      <c r="H39" s="19">
        <f>IF(E39&gt;=RendaCobrir,"INDEPENDENTE","")</f>
        <v/>
      </c>
      <c r="I39" s="4" t="n"/>
      <c r="J39" s="86">
        <f>DATE(YEAR(TODAY()),MONTH(TODAY())+12,1)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101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86">
        <f>DATE(YEAR(TODAY()),MONTH(TODAY())+13,1)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101">
        <f>IF(RendaCobrir&gt;0,E40/RendaCobrir,0)</f>
        <v/>
      </c>
      <c r="H40" s="19">
        <f>IF(E40&gt;=RendaCobrir,"INDEPENDENTE","")</f>
        <v/>
      </c>
      <c r="I40" s="4" t="n"/>
      <c r="J40" s="86">
        <f>DATE(YEAR(TODAY()),MONTH(TODAY())+13,1)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101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86">
        <f>DATE(YEAR(TODAY()),MONTH(TODAY())+14,1)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101">
        <f>IF(RendaCobrir&gt;0,E41/RendaCobrir,0)</f>
        <v/>
      </c>
      <c r="H41" s="19">
        <f>IF(E41&gt;=RendaCobrir,"INDEPENDENTE","")</f>
        <v/>
      </c>
      <c r="I41" s="4" t="n"/>
      <c r="J41" s="86">
        <f>DATE(YEAR(TODAY()),MONTH(TODAY())+14,1)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101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86">
        <f>DATE(YEAR(TODAY()),MONTH(TODAY())+15,1)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101">
        <f>IF(RendaCobrir&gt;0,E42/RendaCobrir,0)</f>
        <v/>
      </c>
      <c r="H42" s="19">
        <f>IF(E42&gt;=RendaCobrir,"INDEPENDENTE","")</f>
        <v/>
      </c>
      <c r="I42" s="4" t="n"/>
      <c r="J42" s="86">
        <f>DATE(YEAR(TODAY()),MONTH(TODAY())+15,1)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101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86">
        <f>DATE(YEAR(TODAY()),MONTH(TODAY())+16,1)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101">
        <f>IF(RendaCobrir&gt;0,E43/RendaCobrir,0)</f>
        <v/>
      </c>
      <c r="H43" s="19">
        <f>IF(E43&gt;=RendaCobrir,"INDEPENDENTE","")</f>
        <v/>
      </c>
      <c r="I43" s="4" t="n"/>
      <c r="J43" s="86">
        <f>DATE(YEAR(TODAY()),MONTH(TODAY())+16,1)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101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86">
        <f>DATE(YEAR(TODAY()),MONTH(TODAY())+17,1)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101">
        <f>IF(RendaCobrir&gt;0,E44/RendaCobrir,0)</f>
        <v/>
      </c>
      <c r="H44" s="19">
        <f>IF(E44&gt;=RendaCobrir,"INDEPENDENTE","")</f>
        <v/>
      </c>
      <c r="I44" s="4" t="n"/>
      <c r="J44" s="86">
        <f>DATE(YEAR(TODAY()),MONTH(TODAY())+17,1)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101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86">
        <f>DATE(YEAR(TODAY()),MONTH(TODAY())+18,1)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101">
        <f>IF(RendaCobrir&gt;0,E45/RendaCobrir,0)</f>
        <v/>
      </c>
      <c r="H45" s="19">
        <f>IF(E45&gt;=RendaCobrir,"INDEPENDENTE","")</f>
        <v/>
      </c>
      <c r="I45" s="4" t="n"/>
      <c r="J45" s="86">
        <f>DATE(YEAR(TODAY()),MONTH(TODAY())+18,1)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101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86">
        <f>DATE(YEAR(TODAY()),MONTH(TODAY())+19,1)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101">
        <f>IF(RendaCobrir&gt;0,E46/RendaCobrir,0)</f>
        <v/>
      </c>
      <c r="H46" s="19">
        <f>IF(E46&gt;=RendaCobrir,"INDEPENDENTE","")</f>
        <v/>
      </c>
      <c r="I46" s="4" t="n"/>
      <c r="J46" s="86">
        <f>DATE(YEAR(TODAY()),MONTH(TODAY())+19,1)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101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86">
        <f>DATE(YEAR(TODAY()),MONTH(TODAY())+20,1)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101">
        <f>IF(RendaCobrir&gt;0,E47/RendaCobrir,0)</f>
        <v/>
      </c>
      <c r="H47" s="19">
        <f>IF(E47&gt;=RendaCobrir,"INDEPENDENTE","")</f>
        <v/>
      </c>
      <c r="I47" s="4" t="n"/>
      <c r="J47" s="86">
        <f>DATE(YEAR(TODAY()),MONTH(TODAY())+20,1)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101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86">
        <f>DATE(YEAR(TODAY()),MONTH(TODAY())+21,1)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101">
        <f>IF(RendaCobrir&gt;0,E48/RendaCobrir,0)</f>
        <v/>
      </c>
      <c r="H48" s="19">
        <f>IF(E48&gt;=RendaCobrir,"INDEPENDENTE","")</f>
        <v/>
      </c>
      <c r="I48" s="4" t="n"/>
      <c r="J48" s="86">
        <f>DATE(YEAR(TODAY()),MONTH(TODAY())+21,1)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101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86">
        <f>DATE(YEAR(TODAY()),MONTH(TODAY())+22,1)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101">
        <f>IF(RendaCobrir&gt;0,E49/RendaCobrir,0)</f>
        <v/>
      </c>
      <c r="H49" s="19">
        <f>IF(E49&gt;=RendaCobrir,"INDEPENDENTE","")</f>
        <v/>
      </c>
      <c r="I49" s="4" t="n"/>
      <c r="J49" s="86">
        <f>DATE(YEAR(TODAY()),MONTH(TODAY())+22,1)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101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86">
        <f>DATE(YEAR(TODAY()),MONTH(TODAY())+23,1)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101">
        <f>IF(RendaCobrir&gt;0,E50/RendaCobrir,0)</f>
        <v/>
      </c>
      <c r="H50" s="19">
        <f>IF(E50&gt;=RendaCobrir,"INDEPENDENTE","")</f>
        <v/>
      </c>
      <c r="I50" s="4" t="n"/>
      <c r="J50" s="86">
        <f>DATE(YEAR(TODAY()),MONTH(TODAY())+23,1)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101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86">
        <f>DATE(YEAR(TODAY()),MONTH(TODAY())+24,1)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101">
        <f>IF(RendaCobrir&gt;0,E51/RendaCobrir,0)</f>
        <v/>
      </c>
      <c r="H51" s="19">
        <f>IF(E51&gt;=RendaCobrir,"INDEPENDENTE","")</f>
        <v/>
      </c>
      <c r="I51" s="4" t="n"/>
      <c r="J51" s="86">
        <f>DATE(YEAR(TODAY()),MONTH(TODAY())+24,1)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101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86">
        <f>DATE(YEAR(TODAY()),MONTH(TODAY())+25,1)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101">
        <f>IF(RendaCobrir&gt;0,E52/RendaCobrir,0)</f>
        <v/>
      </c>
      <c r="H52" s="19">
        <f>IF(E52&gt;=RendaCobrir,"INDEPENDENTE","")</f>
        <v/>
      </c>
      <c r="I52" s="4" t="n"/>
      <c r="J52" s="86">
        <f>DATE(YEAR(TODAY()),MONTH(TODAY())+25,1)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101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86">
        <f>DATE(YEAR(TODAY()),MONTH(TODAY())+26,1)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101">
        <f>IF(RendaCobrir&gt;0,E53/RendaCobrir,0)</f>
        <v/>
      </c>
      <c r="H53" s="19">
        <f>IF(E53&gt;=RendaCobrir,"INDEPENDENTE","")</f>
        <v/>
      </c>
      <c r="I53" s="4" t="n"/>
      <c r="J53" s="86">
        <f>DATE(YEAR(TODAY()),MONTH(TODAY())+26,1)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101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86">
        <f>DATE(YEAR(TODAY()),MONTH(TODAY())+27,1)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101">
        <f>IF(RendaCobrir&gt;0,E54/RendaCobrir,0)</f>
        <v/>
      </c>
      <c r="H54" s="19">
        <f>IF(E54&gt;=RendaCobrir,"INDEPENDENTE","")</f>
        <v/>
      </c>
      <c r="I54" s="4" t="n"/>
      <c r="J54" s="86">
        <f>DATE(YEAR(TODAY()),MONTH(TODAY())+27,1)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101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86">
        <f>DATE(YEAR(TODAY()),MONTH(TODAY())+28,1)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101">
        <f>IF(RendaCobrir&gt;0,E55/RendaCobrir,0)</f>
        <v/>
      </c>
      <c r="H55" s="19">
        <f>IF(E55&gt;=RendaCobrir,"INDEPENDENTE","")</f>
        <v/>
      </c>
      <c r="I55" s="4" t="n"/>
      <c r="J55" s="86">
        <f>DATE(YEAR(TODAY()),MONTH(TODAY())+28,1)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101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86">
        <f>DATE(YEAR(TODAY()),MONTH(TODAY())+29,1)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101">
        <f>IF(RendaCobrir&gt;0,E56/RendaCobrir,0)</f>
        <v/>
      </c>
      <c r="H56" s="19">
        <f>IF(E56&gt;=RendaCobrir,"INDEPENDENTE","")</f>
        <v/>
      </c>
      <c r="I56" s="4" t="n"/>
      <c r="J56" s="86">
        <f>DATE(YEAR(TODAY()),MONTH(TODAY())+29,1)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101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86">
        <f>DATE(YEAR(TODAY()),MONTH(TODAY())+30,1)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101">
        <f>IF(RendaCobrir&gt;0,E57/RendaCobrir,0)</f>
        <v/>
      </c>
      <c r="H57" s="19">
        <f>IF(E57&gt;=RendaCobrir,"INDEPENDENTE","")</f>
        <v/>
      </c>
      <c r="I57" s="4" t="n"/>
      <c r="J57" s="86">
        <f>DATE(YEAR(TODAY()),MONTH(TODAY())+30,1)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101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86">
        <f>DATE(YEAR(TODAY()),MONTH(TODAY())+31,1)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101">
        <f>IF(RendaCobrir&gt;0,E58/RendaCobrir,0)</f>
        <v/>
      </c>
      <c r="H58" s="19">
        <f>IF(E58&gt;=RendaCobrir,"INDEPENDENTE","")</f>
        <v/>
      </c>
      <c r="I58" s="4" t="n"/>
      <c r="J58" s="86">
        <f>DATE(YEAR(TODAY()),MONTH(TODAY())+31,1)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101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86">
        <f>DATE(YEAR(TODAY()),MONTH(TODAY())+32,1)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101">
        <f>IF(RendaCobrir&gt;0,E59/RendaCobrir,0)</f>
        <v/>
      </c>
      <c r="H59" s="19">
        <f>IF(E59&gt;=RendaCobrir,"INDEPENDENTE","")</f>
        <v/>
      </c>
      <c r="I59" s="4" t="n"/>
      <c r="J59" s="86">
        <f>DATE(YEAR(TODAY()),MONTH(TODAY())+32,1)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101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86">
        <f>DATE(YEAR(TODAY()),MONTH(TODAY())+33,1)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101">
        <f>IF(RendaCobrir&gt;0,E60/RendaCobrir,0)</f>
        <v/>
      </c>
      <c r="H60" s="19">
        <f>IF(E60&gt;=RendaCobrir,"INDEPENDENTE","")</f>
        <v/>
      </c>
      <c r="I60" s="4" t="n"/>
      <c r="J60" s="86">
        <f>DATE(YEAR(TODAY()),MONTH(TODAY())+33,1)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101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86">
        <f>DATE(YEAR(TODAY()),MONTH(TODAY())+34,1)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101">
        <f>IF(RendaCobrir&gt;0,E61/RendaCobrir,0)</f>
        <v/>
      </c>
      <c r="H61" s="19">
        <f>IF(E61&gt;=RendaCobrir,"INDEPENDENTE","")</f>
        <v/>
      </c>
      <c r="I61" s="4" t="n"/>
      <c r="J61" s="86">
        <f>DATE(YEAR(TODAY()),MONTH(TODAY())+34,1)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101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86">
        <f>DATE(YEAR(TODAY()),MONTH(TODAY())+35,1)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101">
        <f>IF(RendaCobrir&gt;0,E62/RendaCobrir,0)</f>
        <v/>
      </c>
      <c r="H62" s="19">
        <f>IF(E62&gt;=RendaCobrir,"INDEPENDENTE","")</f>
        <v/>
      </c>
      <c r="I62" s="4" t="n"/>
      <c r="J62" s="86">
        <f>DATE(YEAR(TODAY()),MONTH(TODAY())+35,1)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101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86">
        <f>DATE(YEAR(TODAY()),MONTH(TODAY())+36,1)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101">
        <f>IF(RendaCobrir&gt;0,E63/RendaCobrir,0)</f>
        <v/>
      </c>
      <c r="H63" s="19">
        <f>IF(E63&gt;=RendaCobrir,"INDEPENDENTE","")</f>
        <v/>
      </c>
      <c r="I63" s="4" t="n"/>
      <c r="J63" s="86">
        <f>DATE(YEAR(TODAY()),MONTH(TODAY())+36,1)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101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86">
        <f>DATE(YEAR(TODAY()),MONTH(TODAY())+37,1)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101">
        <f>IF(RendaCobrir&gt;0,E64/RendaCobrir,0)</f>
        <v/>
      </c>
      <c r="H64" s="19">
        <f>IF(E64&gt;=RendaCobrir,"INDEPENDENTE","")</f>
        <v/>
      </c>
      <c r="I64" s="4" t="n"/>
      <c r="J64" s="86">
        <f>DATE(YEAR(TODAY()),MONTH(TODAY())+37,1)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101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86">
        <f>DATE(YEAR(TODAY()),MONTH(TODAY())+38,1)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101">
        <f>IF(RendaCobrir&gt;0,E65/RendaCobrir,0)</f>
        <v/>
      </c>
      <c r="H65" s="19">
        <f>IF(E65&gt;=RendaCobrir,"INDEPENDENTE","")</f>
        <v/>
      </c>
      <c r="I65" s="4" t="n"/>
      <c r="J65" s="86">
        <f>DATE(YEAR(TODAY()),MONTH(TODAY())+38,1)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101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86">
        <f>DATE(YEAR(TODAY()),MONTH(TODAY())+39,1)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101">
        <f>IF(RendaCobrir&gt;0,E66/RendaCobrir,0)</f>
        <v/>
      </c>
      <c r="H66" s="19">
        <f>IF(E66&gt;=RendaCobrir,"INDEPENDENTE","")</f>
        <v/>
      </c>
      <c r="I66" s="4" t="n"/>
      <c r="J66" s="86">
        <f>DATE(YEAR(TODAY()),MONTH(TODAY())+39,1)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101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86">
        <f>DATE(YEAR(TODAY()),MONTH(TODAY())+40,1)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101">
        <f>IF(RendaCobrir&gt;0,E67/RendaCobrir,0)</f>
        <v/>
      </c>
      <c r="H67" s="19">
        <f>IF(E67&gt;=RendaCobrir,"INDEPENDENTE","")</f>
        <v/>
      </c>
      <c r="I67" s="4" t="n"/>
      <c r="J67" s="86">
        <f>DATE(YEAR(TODAY()),MONTH(TODAY())+40,1)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101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86">
        <f>DATE(YEAR(TODAY()),MONTH(TODAY())+41,1)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101">
        <f>IF(RendaCobrir&gt;0,E68/RendaCobrir,0)</f>
        <v/>
      </c>
      <c r="H68" s="19">
        <f>IF(E68&gt;=RendaCobrir,"INDEPENDENTE","")</f>
        <v/>
      </c>
      <c r="I68" s="4" t="n"/>
      <c r="J68" s="86">
        <f>DATE(YEAR(TODAY()),MONTH(TODAY())+41,1)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101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86">
        <f>DATE(YEAR(TODAY()),MONTH(TODAY())+42,1)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101">
        <f>IF(RendaCobrir&gt;0,E69/RendaCobrir,0)</f>
        <v/>
      </c>
      <c r="H69" s="19">
        <f>IF(E69&gt;=RendaCobrir,"INDEPENDENTE","")</f>
        <v/>
      </c>
      <c r="I69" s="4" t="n"/>
      <c r="J69" s="86">
        <f>DATE(YEAR(TODAY()),MONTH(TODAY())+42,1)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101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86">
        <f>DATE(YEAR(TODAY()),MONTH(TODAY())+43,1)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101">
        <f>IF(RendaCobrir&gt;0,E70/RendaCobrir,0)</f>
        <v/>
      </c>
      <c r="H70" s="19">
        <f>IF(E70&gt;=RendaCobrir,"INDEPENDENTE","")</f>
        <v/>
      </c>
      <c r="I70" s="4" t="n"/>
      <c r="J70" s="86">
        <f>DATE(YEAR(TODAY()),MONTH(TODAY())+43,1)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101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86">
        <f>DATE(YEAR(TODAY()),MONTH(TODAY())+44,1)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101">
        <f>IF(RendaCobrir&gt;0,E71/RendaCobrir,0)</f>
        <v/>
      </c>
      <c r="H71" s="19">
        <f>IF(E71&gt;=RendaCobrir,"INDEPENDENTE","")</f>
        <v/>
      </c>
      <c r="I71" s="4" t="n"/>
      <c r="J71" s="86">
        <f>DATE(YEAR(TODAY()),MONTH(TODAY())+44,1)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101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86">
        <f>DATE(YEAR(TODAY()),MONTH(TODAY())+45,1)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101">
        <f>IF(RendaCobrir&gt;0,E72/RendaCobrir,0)</f>
        <v/>
      </c>
      <c r="H72" s="19">
        <f>IF(E72&gt;=RendaCobrir,"INDEPENDENTE","")</f>
        <v/>
      </c>
      <c r="I72" s="4" t="n"/>
      <c r="J72" s="86">
        <f>DATE(YEAR(TODAY()),MONTH(TODAY())+45,1)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101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86">
        <f>DATE(YEAR(TODAY()),MONTH(TODAY())+46,1)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101">
        <f>IF(RendaCobrir&gt;0,E73/RendaCobrir,0)</f>
        <v/>
      </c>
      <c r="H73" s="19">
        <f>IF(E73&gt;=RendaCobrir,"INDEPENDENTE","")</f>
        <v/>
      </c>
      <c r="I73" s="4" t="n"/>
      <c r="J73" s="86">
        <f>DATE(YEAR(TODAY()),MONTH(TODAY())+46,1)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101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86">
        <f>DATE(YEAR(TODAY()),MONTH(TODAY())+47,1)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101">
        <f>IF(RendaCobrir&gt;0,E74/RendaCobrir,0)</f>
        <v/>
      </c>
      <c r="H74" s="19">
        <f>IF(E74&gt;=RendaCobrir,"INDEPENDENTE","")</f>
        <v/>
      </c>
      <c r="I74" s="4" t="n"/>
      <c r="J74" s="86">
        <f>DATE(YEAR(TODAY()),MONTH(TODAY())+47,1)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101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86">
        <f>DATE(YEAR(TODAY()),MONTH(TODAY())+48,1)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101">
        <f>IF(RendaCobrir&gt;0,E75/RendaCobrir,0)</f>
        <v/>
      </c>
      <c r="H75" s="19">
        <f>IF(E75&gt;=RendaCobrir,"INDEPENDENTE","")</f>
        <v/>
      </c>
      <c r="I75" s="4" t="n"/>
      <c r="J75" s="86">
        <f>DATE(YEAR(TODAY()),MONTH(TODAY())+48,1)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101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86">
        <f>DATE(YEAR(TODAY()),MONTH(TODAY())+49,1)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101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86">
        <f>DATE(YEAR(TODAY()),MONTH(TODAY())+50,1)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101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86">
        <f>DATE(YEAR(TODAY()),MONTH(TODAY())+51,1)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101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86">
        <f>DATE(YEAR(TODAY()),MONTH(TODAY())+52,1)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101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86">
        <f>DATE(YEAR(TODAY()),MONTH(TODAY())+53,1)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101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86">
        <f>DATE(YEAR(TODAY()),MONTH(TODAY())+54,1)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101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86">
        <f>DATE(YEAR(TODAY()),MONTH(TODAY())+55,1)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101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86">
        <f>DATE(YEAR(TODAY()),MONTH(TODAY())+56,1)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101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86">
        <f>DATE(YEAR(TODAY()),MONTH(TODAY())+57,1)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101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86">
        <f>DATE(YEAR(TODAY()),MONTH(TODAY())+58,1)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101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86">
        <f>DATE(YEAR(TODAY()),MONTH(TODAY())+59,1)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101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86">
        <f>DATE(YEAR(TODAY()),MONTH(TODAY())+60,1)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101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86">
        <f>DATE(YEAR(TODAY()),MONTH(TODAY())+61,1)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101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86">
        <f>DATE(YEAR(TODAY()),MONTH(TODAY())+62,1)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101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86">
        <f>DATE(YEAR(TODAY()),MONTH(TODAY())+63,1)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101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86">
        <f>DATE(YEAR(TODAY()),MONTH(TODAY())+64,1)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101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86">
        <f>DATE(YEAR(TODAY()),MONTH(TODAY())+65,1)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101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86">
        <f>DATE(YEAR(TODAY()),MONTH(TODAY())+66,1)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101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86">
        <f>DATE(YEAR(TODAY()),MONTH(TODAY())+67,1)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101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86">
        <f>DATE(YEAR(TODAY()),MONTH(TODAY())+68,1)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101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86">
        <f>DATE(YEAR(TODAY()),MONTH(TODAY())+69,1)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101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86">
        <f>DATE(YEAR(TODAY()),MONTH(TODAY())+70,1)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101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86">
        <f>DATE(YEAR(TODAY()),MONTH(TODAY())+71,1)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101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86">
        <f>DATE(YEAR(TODAY()),MONTH(TODAY())+72,1)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101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86">
        <f>DATE(YEAR(TODAY()),MONTH(TODAY())+73,1)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101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86">
        <f>DATE(YEAR(TODAY()),MONTH(TODAY())+74,1)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101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86">
        <f>DATE(YEAR(TODAY()),MONTH(TODAY())+75,1)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101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86">
        <f>DATE(YEAR(TODAY()),MONTH(TODAY())+76,1)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101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86">
        <f>DATE(YEAR(TODAY()),MONTH(TODAY())+77,1)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101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86">
        <f>DATE(YEAR(TODAY()),MONTH(TODAY())+78,1)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101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86">
        <f>DATE(YEAR(TODAY()),MONTH(TODAY())+79,1)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101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86">
        <f>DATE(YEAR(TODAY()),MONTH(TODAY())+80,1)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101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86">
        <f>DATE(YEAR(TODAY()),MONTH(TODAY())+81,1)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101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86">
        <f>DATE(YEAR(TODAY()),MONTH(TODAY())+82,1)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101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86">
        <f>DATE(YEAR(TODAY()),MONTH(TODAY())+83,1)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101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86">
        <f>DATE(YEAR(TODAY()),MONTH(TODAY())+84,1)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101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86">
        <f>DATE(YEAR(TODAY()),MONTH(TODAY())+85,1)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101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86">
        <f>DATE(YEAR(TODAY()),MONTH(TODAY())+86,1)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101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86">
        <f>DATE(YEAR(TODAY()),MONTH(TODAY())+87,1)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101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86">
        <f>DATE(YEAR(TODAY()),MONTH(TODAY())+88,1)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101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86">
        <f>DATE(YEAR(TODAY()),MONTH(TODAY())+89,1)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101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86">
        <f>DATE(YEAR(TODAY()),MONTH(TODAY())+90,1)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101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86">
        <f>DATE(YEAR(TODAY()),MONTH(TODAY())+91,1)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101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86">
        <f>DATE(YEAR(TODAY()),MONTH(TODAY())+92,1)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101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86">
        <f>DATE(YEAR(TODAY()),MONTH(TODAY())+93,1)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101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86">
        <f>DATE(YEAR(TODAY()),MONTH(TODAY())+94,1)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101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86">
        <f>DATE(YEAR(TODAY()),MONTH(TODAY())+95,1)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101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86">
        <f>DATE(YEAR(TODAY()),MONTH(TODAY())+96,1)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101">
        <f>IF(MetaRenda&gt;0,P123/MetaRenda,0)</f>
        <v/>
      </c>
      <c r="R123" s="19">
        <f>IF(P123&gt;=MetaRenda,"META ✔","")</f>
        <v/>
      </c>
      <c r="S123" s="4" t="n"/>
      <c r="T123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28:H75">
    <cfRule type="expression" priority="3" dxfId="5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28:R123">
    <cfRule type="expression" priority="6" dxfId="5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77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1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3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102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6">
        <f>IF(tbOrcamento[[#This Row],[Meta mensal]]&gt;0,tbOrcamento[[#This Row],[Realizado no mês selecionado]]/tbOrcamento[[#This Row],[Meta mensal]],0)</f>
        <v/>
      </c>
      <c r="G6" s="4" t="n"/>
      <c r="H6" s="103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6">
        <f>IF(tbOrcamento[[#This Row],[Meta mensal]]&gt;0,tbOrcamento[[#This Row],[Realizado no mês selecionado]]/tbOrcamento[[#This Row],[Meta mensal]],0)</f>
        <v/>
      </c>
      <c r="G7" s="4" t="n"/>
      <c r="H7" s="104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6">
        <f>IF(tbOrcamento[[#This Row],[Meta mensal]]&gt;0,tbOrcamento[[#This Row],[Realizado no mês selecionado]]/tbOrcamento[[#This Row],[Meta mensal]],0)</f>
        <v/>
      </c>
      <c r="G8" s="4" t="n"/>
      <c r="H8" s="105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6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6">
        <f>IF(tbOrcamento[[#This Row],[Meta mensal]]&gt;0,tbOrcamento[[#This Row],[Realizado no mês selecionado]]/tbOrcamento[[#This Row],[Meta mensal]],0)</f>
        <v/>
      </c>
      <c r="G10" s="4" t="n"/>
      <c r="H10" s="106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6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6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6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6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6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6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6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71" t="inlineStr">
        <is>
          <t>Total</t>
        </is>
      </c>
      <c r="C18" s="73">
        <f>SUBTOTAL(109,tbOrcamento[Meta mensal])</f>
        <v/>
      </c>
      <c r="D18" s="73">
        <f>SUBTOTAL(109,tbOrcamento[Realizado no mês selecionado])</f>
        <v/>
      </c>
      <c r="E18" s="73">
        <f>SUBTOTAL(109,tbOrcamento[Diferença])</f>
        <v/>
      </c>
      <c r="F18" s="72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3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107" t="inlineStr">
        <is>
          <t>Tendência</t>
        </is>
      </c>
      <c r="R22" s="4" t="n"/>
    </row>
    <row r="23" ht="22" customHeight="1">
      <c r="A23" s="4" t="n"/>
      <c r="B23" s="108" t="inlineStr">
        <is>
          <t>RECEITAS</t>
        </is>
      </c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  <c r="L23" s="109" t="n"/>
      <c r="M23" s="109" t="n"/>
      <c r="N23" s="109" t="n"/>
      <c r="O23" s="109" t="n"/>
      <c r="P23" s="109" t="n"/>
      <c r="Q23" s="109" t="n"/>
      <c r="R23" s="4" t="n"/>
    </row>
    <row r="24" ht="20" customHeight="1">
      <c r="A24" s="4" t="n"/>
      <c r="B24" s="19">
        <f>IF(1&lt;=Calc!$B$20,INDEX(Config!$B$6:$B$1000,1),"")</f>
        <v/>
      </c>
      <c r="C24" s="32">
        <f>IF($B24="",0,SUMIFS(tbLancamentos[Valor],tbLancamentos[Categoria],$B24,tbLancamentos[Tipo],"Receita",tbLancamentos[Conta no mês?],"sim",tbLancamentos[Mês],1,tbLancamentos[Ano],AnoSelecionado))</f>
        <v/>
      </c>
      <c r="D24" s="32">
        <f>IF($B24="",0,SUMIFS(tbLancamentos[Valor],tbLancamentos[Categoria],$B24,tbLancamentos[Tipo],"Receita",tbLancamentos[Conta no mês?],"sim",tbLancamentos[Mês],2,tbLancamentos[Ano],AnoSelecionado))</f>
        <v/>
      </c>
      <c r="E24" s="32">
        <f>IF($B24="",0,SUMIFS(tbLancamentos[Valor],tbLancamentos[Categoria],$B24,tbLancamentos[Tipo],"Receita",tbLancamentos[Conta no mês?],"sim",tbLancamentos[Mês],3,tbLancamentos[Ano],AnoSelecionado))</f>
        <v/>
      </c>
      <c r="F24" s="32">
        <f>IF($B24="",0,SUMIFS(tbLancamentos[Valor],tbLancamentos[Categoria],$B24,tbLancamentos[Tipo],"Receita",tbLancamentos[Conta no mês?],"sim",tbLancamentos[Mês],4,tbLancamentos[Ano],AnoSelecionado))</f>
        <v/>
      </c>
      <c r="G24" s="32">
        <f>IF($B24="",0,SUMIFS(tbLancamentos[Valor],tbLancamentos[Categoria],$B24,tbLancamentos[Tipo],"Receita",tbLancamentos[Conta no mês?],"sim",tbLancamentos[Mês],5,tbLancamentos[Ano],AnoSelecionado))</f>
        <v/>
      </c>
      <c r="H24" s="32">
        <f>IF($B24="",0,SUMIFS(tbLancamentos[Valor],tbLancamentos[Categoria],$B24,tbLancamentos[Tipo],"Receita",tbLancamentos[Conta no mês?],"sim",tbLancamentos[Mês],6,tbLancamentos[Ano],AnoSelecionado))</f>
        <v/>
      </c>
      <c r="I24" s="32">
        <f>IF($B24="",0,SUMIFS(tbLancamentos[Valor],tbLancamentos[Categoria],$B24,tbLancamentos[Tipo],"Receita",tbLancamentos[Conta no mês?],"sim",tbLancamentos[Mês],7,tbLancamentos[Ano],AnoSelecionado))</f>
        <v/>
      </c>
      <c r="J24" s="32">
        <f>IF($B24="",0,SUMIFS(tbLancamentos[Valor],tbLancamentos[Categoria],$B24,tbLancamentos[Tipo],"Receita",tbLancamentos[Conta no mês?],"sim",tbLancamentos[Mês],8,tbLancamentos[Ano],AnoSelecionado))</f>
        <v/>
      </c>
      <c r="K24" s="32">
        <f>IF($B24="",0,SUMIFS(tbLancamentos[Valor],tbLancamentos[Categoria],$B24,tbLancamentos[Tipo],"Receita",tbLancamentos[Conta no mês?],"sim",tbLancamentos[Mês],9,tbLancamentos[Ano],AnoSelecionado))</f>
        <v/>
      </c>
      <c r="L24" s="32">
        <f>IF($B24="",0,SUMIFS(tbLancamentos[Valor],tbLancamentos[Categoria],$B24,tbLancamentos[Tipo],"Receita",tbLancamentos[Conta no mês?],"sim",tbLancamentos[Mês],10,tbLancamentos[Ano],AnoSelecionado))</f>
        <v/>
      </c>
      <c r="M24" s="32">
        <f>IF($B24="",0,SUMIFS(tbLancamentos[Valor],tbLancamentos[Categoria],$B24,tbLancamentos[Tipo],"Receita",tbLancamentos[Conta no mês?],"sim",tbLancamentos[Mês],11,tbLancamentos[Ano],AnoSelecionado))</f>
        <v/>
      </c>
      <c r="N24" s="32">
        <f>IF($B24="",0,SUMIFS(tbLancamentos[Valor],tbLancamentos[Categoria],$B24,tbLancamentos[Tipo],"Receita",tbLancamentos[Conta no mês?],"sim",tbLancamentos[Mês],12,tbLancamentos[Ano],AnoSelecionado))</f>
        <v/>
      </c>
      <c r="O24" s="32">
        <f>SUM(C24:N24)</f>
        <v/>
      </c>
      <c r="P24" s="32">
        <f>IF(Calc!$B$26&gt;0,O24/Calc!$B$26,0)</f>
        <v/>
      </c>
      <c r="Q24" s="110" t="n"/>
      <c r="R24" s="4" t="n"/>
    </row>
    <row r="25" ht="20" customHeight="1">
      <c r="A25" s="4" t="n"/>
      <c r="B25" s="19">
        <f>IF(2&lt;=Calc!$B$20,INDEX(Config!$B$6:$B$1000,2),"")</f>
        <v/>
      </c>
      <c r="C25" s="32">
        <f>IF($B25="",0,SUMIFS(tbLancamentos[Valor],tbLancamentos[Categoria],$B25,tbLancamentos[Tipo],"Receita",tbLancamentos[Conta no mês?],"sim",tbLancamentos[Mês],1,tbLancamentos[Ano],AnoSelecionado))</f>
        <v/>
      </c>
      <c r="D25" s="32">
        <f>IF($B25="",0,SUMIFS(tbLancamentos[Valor],tbLancamentos[Categoria],$B25,tbLancamentos[Tipo],"Receita",tbLancamentos[Conta no mês?],"sim",tbLancamentos[Mês],2,tbLancamentos[Ano],AnoSelecionado))</f>
        <v/>
      </c>
      <c r="E25" s="32">
        <f>IF($B25="",0,SUMIFS(tbLancamentos[Valor],tbLancamentos[Categoria],$B25,tbLancamentos[Tipo],"Receita",tbLancamentos[Conta no mês?],"sim",tbLancamentos[Mês],3,tbLancamentos[Ano],AnoSelecionado))</f>
        <v/>
      </c>
      <c r="F25" s="32">
        <f>IF($B25="",0,SUMIFS(tbLancamentos[Valor],tbLancamentos[Categoria],$B25,tbLancamentos[Tipo],"Receita",tbLancamentos[Conta no mês?],"sim",tbLancamentos[Mês],4,tbLancamentos[Ano],AnoSelecionado))</f>
        <v/>
      </c>
      <c r="G25" s="32">
        <f>IF($B25="",0,SUMIFS(tbLancamentos[Valor],tbLancamentos[Categoria],$B25,tbLancamentos[Tipo],"Receita",tbLancamentos[Conta no mês?],"sim",tbLancamentos[Mês],5,tbLancamentos[Ano],AnoSelecionado))</f>
        <v/>
      </c>
      <c r="H25" s="32">
        <f>IF($B25="",0,SUMIFS(tbLancamentos[Valor],tbLancamentos[Categoria],$B25,tbLancamentos[Tipo],"Receita",tbLancamentos[Conta no mês?],"sim",tbLancamentos[Mês],6,tbLancamentos[Ano],AnoSelecionado))</f>
        <v/>
      </c>
      <c r="I25" s="32">
        <f>IF($B25="",0,SUMIFS(tbLancamentos[Valor],tbLancamentos[Categoria],$B25,tbLancamentos[Tipo],"Receita",tbLancamentos[Conta no mês?],"sim",tbLancamentos[Mês],7,tbLancamentos[Ano],AnoSelecionado))</f>
        <v/>
      </c>
      <c r="J25" s="32">
        <f>IF($B25="",0,SUMIFS(tbLancamentos[Valor],tbLancamentos[Categoria],$B25,tbLancamentos[Tipo],"Receita",tbLancamentos[Conta no mês?],"sim",tbLancamentos[Mês],8,tbLancamentos[Ano],AnoSelecionado))</f>
        <v/>
      </c>
      <c r="K25" s="32">
        <f>IF($B25="",0,SUMIFS(tbLancamentos[Valor],tbLancamentos[Categoria],$B25,tbLancamentos[Tipo],"Receita",tbLancamentos[Conta no mês?],"sim",tbLancamentos[Mês],9,tbLancamentos[Ano],AnoSelecionado))</f>
        <v/>
      </c>
      <c r="L25" s="32">
        <f>IF($B25="",0,SUMIFS(tbLancamentos[Valor],tbLancamentos[Categoria],$B25,tbLancamentos[Tipo],"Receita",tbLancamentos[Conta no mês?],"sim",tbLancamentos[Mês],10,tbLancamentos[Ano],AnoSelecionado))</f>
        <v/>
      </c>
      <c r="M25" s="32">
        <f>IF($B25="",0,SUMIFS(tbLancamentos[Valor],tbLancamentos[Categoria],$B25,tbLancamentos[Tipo],"Receita",tbLancamentos[Conta no mês?],"sim",tbLancamentos[Mês],11,tbLancamentos[Ano],AnoSelecionado))</f>
        <v/>
      </c>
      <c r="N25" s="32">
        <f>IF($B25="",0,SUMIFS(tbLancamentos[Valor],tbLancamentos[Categoria],$B25,tbLancamentos[Tipo],"Receita",tbLancamentos[Conta no mês?],"sim",tbLancamentos[Mês],12,tbLancamentos[Ano],AnoSelecionado))</f>
        <v/>
      </c>
      <c r="O25" s="32">
        <f>SUM(C25:N25)</f>
        <v/>
      </c>
      <c r="P25" s="32">
        <f>IF(Calc!$B$26&gt;0,O25/Calc!$B$26,0)</f>
        <v/>
      </c>
      <c r="Q25" s="110" t="n"/>
      <c r="R25" s="4" t="n"/>
    </row>
    <row r="26" ht="20" customHeight="1">
      <c r="A26" s="4" t="n"/>
      <c r="B26" s="19">
        <f>IF(3&lt;=Calc!$B$20,INDEX(Config!$B$6:$B$1000,3),"")</f>
        <v/>
      </c>
      <c r="C26" s="32">
        <f>IF($B26="",0,SUMIFS(tbLancamentos[Valor],tbLancamentos[Categoria],$B26,tbLancamentos[Tipo],"Receita",tbLancamentos[Conta no mês?],"sim",tbLancamentos[Mês],1,tbLancamentos[Ano],AnoSelecionado))</f>
        <v/>
      </c>
      <c r="D26" s="32">
        <f>IF($B26="",0,SUMIFS(tbLancamentos[Valor],tbLancamentos[Categoria],$B26,tbLancamentos[Tipo],"Receita",tbLancamentos[Conta no mês?],"sim",tbLancamentos[Mês],2,tbLancamentos[Ano],AnoSelecionado))</f>
        <v/>
      </c>
      <c r="E26" s="32">
        <f>IF($B26="",0,SUMIFS(tbLancamentos[Valor],tbLancamentos[Categoria],$B26,tbLancamentos[Tipo],"Receita",tbLancamentos[Conta no mês?],"sim",tbLancamentos[Mês],3,tbLancamentos[Ano],AnoSelecionado))</f>
        <v/>
      </c>
      <c r="F26" s="32">
        <f>IF($B26="",0,SUMIFS(tbLancamentos[Valor],tbLancamentos[Categoria],$B26,tbLancamentos[Tipo],"Receita",tbLancamentos[Conta no mês?],"sim",tbLancamentos[Mês],4,tbLancamentos[Ano],AnoSelecionado))</f>
        <v/>
      </c>
      <c r="G26" s="32">
        <f>IF($B26="",0,SUMIFS(tbLancamentos[Valor],tbLancamentos[Categoria],$B26,tbLancamentos[Tipo],"Receita",tbLancamentos[Conta no mês?],"sim",tbLancamentos[Mês],5,tbLancamentos[Ano],AnoSelecionado))</f>
        <v/>
      </c>
      <c r="H26" s="32">
        <f>IF($B26="",0,SUMIFS(tbLancamentos[Valor],tbLancamentos[Categoria],$B26,tbLancamentos[Tipo],"Receita",tbLancamentos[Conta no mês?],"sim",tbLancamentos[Mês],6,tbLancamentos[Ano],AnoSelecionado))</f>
        <v/>
      </c>
      <c r="I26" s="32">
        <f>IF($B26="",0,SUMIFS(tbLancamentos[Valor],tbLancamentos[Categoria],$B26,tbLancamentos[Tipo],"Receita",tbLancamentos[Conta no mês?],"sim",tbLancamentos[Mês],7,tbLancamentos[Ano],AnoSelecionado))</f>
        <v/>
      </c>
      <c r="J26" s="32">
        <f>IF($B26="",0,SUMIFS(tbLancamentos[Valor],tbLancamentos[Categoria],$B26,tbLancamentos[Tipo],"Receita",tbLancamentos[Conta no mês?],"sim",tbLancamentos[Mês],8,tbLancamentos[Ano],AnoSelecionado))</f>
        <v/>
      </c>
      <c r="K26" s="32">
        <f>IF($B26="",0,SUMIFS(tbLancamentos[Valor],tbLancamentos[Categoria],$B26,tbLancamentos[Tipo],"Receita",tbLancamentos[Conta no mês?],"sim",tbLancamentos[Mês],9,tbLancamentos[Ano],AnoSelecionado))</f>
        <v/>
      </c>
      <c r="L26" s="32">
        <f>IF($B26="",0,SUMIFS(tbLancamentos[Valor],tbLancamentos[Categoria],$B26,tbLancamentos[Tipo],"Receita",tbLancamentos[Conta no mês?],"sim",tbLancamentos[Mês],10,tbLancamentos[Ano],AnoSelecionado))</f>
        <v/>
      </c>
      <c r="M26" s="32">
        <f>IF($B26="",0,SUMIFS(tbLancamentos[Valor],tbLancamentos[Categoria],$B26,tbLancamentos[Tipo],"Receita",tbLancamentos[Conta no mês?],"sim",tbLancamentos[Mês],11,tbLancamentos[Ano],AnoSelecionado))</f>
        <v/>
      </c>
      <c r="N26" s="32">
        <f>IF($B26="",0,SUMIFS(tbLancamentos[Valor],tbLancamentos[Categoria],$B26,tbLancamentos[Tipo],"Receita",tbLancamentos[Conta no mês?],"sim",tbLancamentos[Mês],12,tbLancamentos[Ano],AnoSelecionado))</f>
        <v/>
      </c>
      <c r="O26" s="32">
        <f>SUM(C26:N26)</f>
        <v/>
      </c>
      <c r="P26" s="32">
        <f>IF(Calc!$B$26&gt;0,O26/Calc!$B$26,0)</f>
        <v/>
      </c>
      <c r="Q26" s="110" t="n"/>
      <c r="R26" s="4" t="n"/>
    </row>
    <row r="27" ht="20" customHeight="1">
      <c r="A27" s="4" t="n"/>
      <c r="B27" s="19">
        <f>IF(4&lt;=Calc!$B$20,INDEX(Config!$B$6:$B$1000,4),"")</f>
        <v/>
      </c>
      <c r="C27" s="32">
        <f>IF($B27="",0,SUMIFS(tbLancamentos[Valor],tbLancamentos[Categoria],$B27,tbLancamentos[Tipo],"Receita",tbLancamentos[Conta no mês?],"sim",tbLancamentos[Mês],1,tbLancamentos[Ano],AnoSelecionado))</f>
        <v/>
      </c>
      <c r="D27" s="32">
        <f>IF($B27="",0,SUMIFS(tbLancamentos[Valor],tbLancamentos[Categoria],$B27,tbLancamentos[Tipo],"Receita",tbLancamentos[Conta no mês?],"sim",tbLancamentos[Mês],2,tbLancamentos[Ano],AnoSelecionado))</f>
        <v/>
      </c>
      <c r="E27" s="32">
        <f>IF($B27="",0,SUMIFS(tbLancamentos[Valor],tbLancamentos[Categoria],$B27,tbLancamentos[Tipo],"Receita",tbLancamentos[Conta no mês?],"sim",tbLancamentos[Mês],3,tbLancamentos[Ano],AnoSelecionado))</f>
        <v/>
      </c>
      <c r="F27" s="32">
        <f>IF($B27="",0,SUMIFS(tbLancamentos[Valor],tbLancamentos[Categoria],$B27,tbLancamentos[Tipo],"Receita",tbLancamentos[Conta no mês?],"sim",tbLancamentos[Mês],4,tbLancamentos[Ano],AnoSelecionado))</f>
        <v/>
      </c>
      <c r="G27" s="32">
        <f>IF($B27="",0,SUMIFS(tbLancamentos[Valor],tbLancamentos[Categoria],$B27,tbLancamentos[Tipo],"Receita",tbLancamentos[Conta no mês?],"sim",tbLancamentos[Mês],5,tbLancamentos[Ano],AnoSelecionado))</f>
        <v/>
      </c>
      <c r="H27" s="32">
        <f>IF($B27="",0,SUMIFS(tbLancamentos[Valor],tbLancamentos[Categoria],$B27,tbLancamentos[Tipo],"Receita",tbLancamentos[Conta no mês?],"sim",tbLancamentos[Mês],6,tbLancamentos[Ano],AnoSelecionado))</f>
        <v/>
      </c>
      <c r="I27" s="32">
        <f>IF($B27="",0,SUMIFS(tbLancamentos[Valor],tbLancamentos[Categoria],$B27,tbLancamentos[Tipo],"Receita",tbLancamentos[Conta no mês?],"sim",tbLancamentos[Mês],7,tbLancamentos[Ano],AnoSelecionado))</f>
        <v/>
      </c>
      <c r="J27" s="32">
        <f>IF($B27="",0,SUMIFS(tbLancamentos[Valor],tbLancamentos[Categoria],$B27,tbLancamentos[Tipo],"Receita",tbLancamentos[Conta no mês?],"sim",tbLancamentos[Mês],8,tbLancamentos[Ano],AnoSelecionado))</f>
        <v/>
      </c>
      <c r="K27" s="32">
        <f>IF($B27="",0,SUMIFS(tbLancamentos[Valor],tbLancamentos[Categoria],$B27,tbLancamentos[Tipo],"Receita",tbLancamentos[Conta no mês?],"sim",tbLancamentos[Mês],9,tbLancamentos[Ano],AnoSelecionado))</f>
        <v/>
      </c>
      <c r="L27" s="32">
        <f>IF($B27="",0,SUMIFS(tbLancamentos[Valor],tbLancamentos[Categoria],$B27,tbLancamentos[Tipo],"Receita",tbLancamentos[Conta no mês?],"sim",tbLancamentos[Mês],10,tbLancamentos[Ano],AnoSelecionado))</f>
        <v/>
      </c>
      <c r="M27" s="32">
        <f>IF($B27="",0,SUMIFS(tbLancamentos[Valor],tbLancamentos[Categoria],$B27,tbLancamentos[Tipo],"Receita",tbLancamentos[Conta no mês?],"sim",tbLancamentos[Mês],11,tbLancamentos[Ano],AnoSelecionado))</f>
        <v/>
      </c>
      <c r="N27" s="32">
        <f>IF($B27="",0,SUMIFS(tbLancamentos[Valor],tbLancamentos[Categoria],$B27,tbLancamentos[Tipo],"Receita",tbLancamentos[Conta no mês?],"sim",tbLancamentos[Mês],12,tbLancamentos[Ano],AnoSelecionado))</f>
        <v/>
      </c>
      <c r="O27" s="32">
        <f>SUM(C27:N27)</f>
        <v/>
      </c>
      <c r="P27" s="32">
        <f>IF(Calc!$B$26&gt;0,O27/Calc!$B$26,0)</f>
        <v/>
      </c>
      <c r="Q27" s="110" t="n"/>
      <c r="R27" s="4" t="n"/>
    </row>
    <row r="28" ht="20" customHeight="1">
      <c r="A28" s="4" t="n"/>
      <c r="B28" s="19">
        <f>IF(5&lt;=Calc!$B$20,INDEX(Config!$B$6:$B$1000,5),"")</f>
        <v/>
      </c>
      <c r="C28" s="32">
        <f>IF($B28="",0,SUMIFS(tbLancamentos[Valor],tbLancamentos[Categoria],$B28,tbLancamentos[Tipo],"Receita",tbLancamentos[Conta no mês?],"sim",tbLancamentos[Mês],1,tbLancamentos[Ano],AnoSelecionado))</f>
        <v/>
      </c>
      <c r="D28" s="32">
        <f>IF($B28="",0,SUMIFS(tbLancamentos[Valor],tbLancamentos[Categoria],$B28,tbLancamentos[Tipo],"Receita",tbLancamentos[Conta no mês?],"sim",tbLancamentos[Mês],2,tbLancamentos[Ano],AnoSelecionado))</f>
        <v/>
      </c>
      <c r="E28" s="32">
        <f>IF($B28="",0,SUMIFS(tbLancamentos[Valor],tbLancamentos[Categoria],$B28,tbLancamentos[Tipo],"Receita",tbLancamentos[Conta no mês?],"sim",tbLancamentos[Mês],3,tbLancamentos[Ano],AnoSelecionado))</f>
        <v/>
      </c>
      <c r="F28" s="32">
        <f>IF($B28="",0,SUMIFS(tbLancamentos[Valor],tbLancamentos[Categoria],$B28,tbLancamentos[Tipo],"Receita",tbLancamentos[Conta no mês?],"sim",tbLancamentos[Mês],4,tbLancamentos[Ano],AnoSelecionado))</f>
        <v/>
      </c>
      <c r="G28" s="32">
        <f>IF($B28="",0,SUMIFS(tbLancamentos[Valor],tbLancamentos[Categoria],$B28,tbLancamentos[Tipo],"Receita",tbLancamentos[Conta no mês?],"sim",tbLancamentos[Mês],5,tbLancamentos[Ano],AnoSelecionado))</f>
        <v/>
      </c>
      <c r="H28" s="32">
        <f>IF($B28="",0,SUMIFS(tbLancamentos[Valor],tbLancamentos[Categoria],$B28,tbLancamentos[Tipo],"Receita",tbLancamentos[Conta no mês?],"sim",tbLancamentos[Mês],6,tbLancamentos[Ano],AnoSelecionado))</f>
        <v/>
      </c>
      <c r="I28" s="32">
        <f>IF($B28="",0,SUMIFS(tbLancamentos[Valor],tbLancamentos[Categoria],$B28,tbLancamentos[Tipo],"Receita",tbLancamentos[Conta no mês?],"sim",tbLancamentos[Mês],7,tbLancamentos[Ano],AnoSelecionado))</f>
        <v/>
      </c>
      <c r="J28" s="32">
        <f>IF($B28="",0,SUMIFS(tbLancamentos[Valor],tbLancamentos[Categoria],$B28,tbLancamentos[Tipo],"Receita",tbLancamentos[Conta no mês?],"sim",tbLancamentos[Mês],8,tbLancamentos[Ano],AnoSelecionado))</f>
        <v/>
      </c>
      <c r="K28" s="32">
        <f>IF($B28="",0,SUMIFS(tbLancamentos[Valor],tbLancamentos[Categoria],$B28,tbLancamentos[Tipo],"Receita",tbLancamentos[Conta no mês?],"sim",tbLancamentos[Mês],9,tbLancamentos[Ano],AnoSelecionado))</f>
        <v/>
      </c>
      <c r="L28" s="32">
        <f>IF($B28="",0,SUMIFS(tbLancamentos[Valor],tbLancamentos[Categoria],$B28,tbLancamentos[Tipo],"Receita",tbLancamentos[Conta no mês?],"sim",tbLancamentos[Mês],10,tbLancamentos[Ano],AnoSelecionado))</f>
        <v/>
      </c>
      <c r="M28" s="32">
        <f>IF($B28="",0,SUMIFS(tbLancamentos[Valor],tbLancamentos[Categoria],$B28,tbLancamentos[Tipo],"Receita",tbLancamentos[Conta no mês?],"sim",tbLancamentos[Mês],11,tbLancamentos[Ano],AnoSelecionado))</f>
        <v/>
      </c>
      <c r="N28" s="32">
        <f>IF($B28="",0,SUMIFS(tbLancamentos[Valor],tbLancamentos[Categoria],$B28,tbLancamentos[Tipo],"Receita",tbLancamentos[Conta no mês?],"sim",tbLancamentos[Mês],12,tbLancamentos[Ano],AnoSelecionado))</f>
        <v/>
      </c>
      <c r="O28" s="32">
        <f>SUM(C28:N28)</f>
        <v/>
      </c>
      <c r="P28" s="32">
        <f>IF(Calc!$B$26&gt;0,O28/Calc!$B$26,0)</f>
        <v/>
      </c>
      <c r="Q28" s="110" t="n"/>
      <c r="R28" s="4" t="n"/>
    </row>
    <row r="29" ht="20" customHeight="1">
      <c r="A29" s="4" t="n"/>
      <c r="B29" s="19">
        <f>IF(6&lt;=Calc!$B$20,INDEX(Config!$B$6:$B$1000,6),"")</f>
        <v/>
      </c>
      <c r="C29" s="32">
        <f>IF($B29="",0,SUMIFS(tbLancamentos[Valor],tbLancamentos[Categoria],$B29,tbLancamentos[Tipo],"Receita",tbLancamentos[Conta no mês?],"sim",tbLancamentos[Mês],1,tbLancamentos[Ano],AnoSelecionado))</f>
        <v/>
      </c>
      <c r="D29" s="32">
        <f>IF($B29="",0,SUMIFS(tbLancamentos[Valor],tbLancamentos[Categoria],$B29,tbLancamentos[Tipo],"Receita",tbLancamentos[Conta no mês?],"sim",tbLancamentos[Mês],2,tbLancamentos[Ano],AnoSelecionado))</f>
        <v/>
      </c>
      <c r="E29" s="32">
        <f>IF($B29="",0,SUMIFS(tbLancamentos[Valor],tbLancamentos[Categoria],$B29,tbLancamentos[Tipo],"Receita",tbLancamentos[Conta no mês?],"sim",tbLancamentos[Mês],3,tbLancamentos[Ano],AnoSelecionado))</f>
        <v/>
      </c>
      <c r="F29" s="32">
        <f>IF($B29="",0,SUMIFS(tbLancamentos[Valor],tbLancamentos[Categoria],$B29,tbLancamentos[Tipo],"Receita",tbLancamentos[Conta no mês?],"sim",tbLancamentos[Mês],4,tbLancamentos[Ano],AnoSelecionado))</f>
        <v/>
      </c>
      <c r="G29" s="32">
        <f>IF($B29="",0,SUMIFS(tbLancamentos[Valor],tbLancamentos[Categoria],$B29,tbLancamentos[Tipo],"Receita",tbLancamentos[Conta no mês?],"sim",tbLancamentos[Mês],5,tbLancamentos[Ano],AnoSelecionado))</f>
        <v/>
      </c>
      <c r="H29" s="32">
        <f>IF($B29="",0,SUMIFS(tbLancamentos[Valor],tbLancamentos[Categoria],$B29,tbLancamentos[Tipo],"Receita",tbLancamentos[Conta no mês?],"sim",tbLancamentos[Mês],6,tbLancamentos[Ano],AnoSelecionado))</f>
        <v/>
      </c>
      <c r="I29" s="32">
        <f>IF($B29="",0,SUMIFS(tbLancamentos[Valor],tbLancamentos[Categoria],$B29,tbLancamentos[Tipo],"Receita",tbLancamentos[Conta no mês?],"sim",tbLancamentos[Mês],7,tbLancamentos[Ano],AnoSelecionado))</f>
        <v/>
      </c>
      <c r="J29" s="32">
        <f>IF($B29="",0,SUMIFS(tbLancamentos[Valor],tbLancamentos[Categoria],$B29,tbLancamentos[Tipo],"Receita",tbLancamentos[Conta no mês?],"sim",tbLancamentos[Mês],8,tbLancamentos[Ano],AnoSelecionado))</f>
        <v/>
      </c>
      <c r="K29" s="32">
        <f>IF($B29="",0,SUMIFS(tbLancamentos[Valor],tbLancamentos[Categoria],$B29,tbLancamentos[Tipo],"Receita",tbLancamentos[Conta no mês?],"sim",tbLancamentos[Mês],9,tbLancamentos[Ano],AnoSelecionado))</f>
        <v/>
      </c>
      <c r="L29" s="32">
        <f>IF($B29="",0,SUMIFS(tbLancamentos[Valor],tbLancamentos[Categoria],$B29,tbLancamentos[Tipo],"Receita",tbLancamentos[Conta no mês?],"sim",tbLancamentos[Mês],10,tbLancamentos[Ano],AnoSelecionado))</f>
        <v/>
      </c>
      <c r="M29" s="32">
        <f>IF($B29="",0,SUMIFS(tbLancamentos[Valor],tbLancamentos[Categoria],$B29,tbLancamentos[Tipo],"Receita",tbLancamentos[Conta no mês?],"sim",tbLancamentos[Mês],11,tbLancamentos[Ano],AnoSelecionado))</f>
        <v/>
      </c>
      <c r="N29" s="32">
        <f>IF($B29="",0,SUMIFS(tbLancamentos[Valor],tbLancamentos[Categoria],$B29,tbLancamentos[Tipo],"Receita",tbLancamentos[Conta no mês?],"sim",tbLancamentos[Mês],12,tbLancamentos[Ano],AnoSelecionado))</f>
        <v/>
      </c>
      <c r="O29" s="32">
        <f>SUM(C29:N29)</f>
        <v/>
      </c>
      <c r="P29" s="32">
        <f>IF(Calc!$B$26&gt;0,O29/Calc!$B$26,0)</f>
        <v/>
      </c>
      <c r="Q29" s="110" t="n"/>
      <c r="R29" s="4" t="n"/>
    </row>
    <row r="30" ht="20" customHeight="1">
      <c r="A30" s="4" t="n"/>
      <c r="B30" s="19">
        <f>IF(7&lt;=Calc!$B$20,INDEX(Config!$B$6:$B$1000,7),"")</f>
        <v/>
      </c>
      <c r="C30" s="32">
        <f>IF($B30="",0,SUMIFS(tbLancamentos[Valor],tbLancamentos[Categoria],$B30,tbLancamentos[Tipo],"Receita",tbLancamentos[Conta no mês?],"sim",tbLancamentos[Mês],1,tbLancamentos[Ano],AnoSelecionado))</f>
        <v/>
      </c>
      <c r="D30" s="32">
        <f>IF($B30="",0,SUMIFS(tbLancamentos[Valor],tbLancamentos[Categoria],$B30,tbLancamentos[Tipo],"Receita",tbLancamentos[Conta no mês?],"sim",tbLancamentos[Mês],2,tbLancamentos[Ano],AnoSelecionado))</f>
        <v/>
      </c>
      <c r="E30" s="32">
        <f>IF($B30="",0,SUMIFS(tbLancamentos[Valor],tbLancamentos[Categoria],$B30,tbLancamentos[Tipo],"Receita",tbLancamentos[Conta no mês?],"sim",tbLancamentos[Mês],3,tbLancamentos[Ano],AnoSelecionado))</f>
        <v/>
      </c>
      <c r="F30" s="32">
        <f>IF($B30="",0,SUMIFS(tbLancamentos[Valor],tbLancamentos[Categoria],$B30,tbLancamentos[Tipo],"Receita",tbLancamentos[Conta no mês?],"sim",tbLancamentos[Mês],4,tbLancamentos[Ano],AnoSelecionado))</f>
        <v/>
      </c>
      <c r="G30" s="32">
        <f>IF($B30="",0,SUMIFS(tbLancamentos[Valor],tbLancamentos[Categoria],$B30,tbLancamentos[Tipo],"Receita",tbLancamentos[Conta no mês?],"sim",tbLancamentos[Mês],5,tbLancamentos[Ano],AnoSelecionado))</f>
        <v/>
      </c>
      <c r="H30" s="32">
        <f>IF($B30="",0,SUMIFS(tbLancamentos[Valor],tbLancamentos[Categoria],$B30,tbLancamentos[Tipo],"Receita",tbLancamentos[Conta no mês?],"sim",tbLancamentos[Mês],6,tbLancamentos[Ano],AnoSelecionado))</f>
        <v/>
      </c>
      <c r="I30" s="32">
        <f>IF($B30="",0,SUMIFS(tbLancamentos[Valor],tbLancamentos[Categoria],$B30,tbLancamentos[Tipo],"Receita",tbLancamentos[Conta no mês?],"sim",tbLancamentos[Mês],7,tbLancamentos[Ano],AnoSelecionado))</f>
        <v/>
      </c>
      <c r="J30" s="32">
        <f>IF($B30="",0,SUMIFS(tbLancamentos[Valor],tbLancamentos[Categoria],$B30,tbLancamentos[Tipo],"Receita",tbLancamentos[Conta no mês?],"sim",tbLancamentos[Mês],8,tbLancamentos[Ano],AnoSelecionado))</f>
        <v/>
      </c>
      <c r="K30" s="32">
        <f>IF($B30="",0,SUMIFS(tbLancamentos[Valor],tbLancamentos[Categoria],$B30,tbLancamentos[Tipo],"Receita",tbLancamentos[Conta no mês?],"sim",tbLancamentos[Mês],9,tbLancamentos[Ano],AnoSelecionado))</f>
        <v/>
      </c>
      <c r="L30" s="32">
        <f>IF($B30="",0,SUMIFS(tbLancamentos[Valor],tbLancamentos[Categoria],$B30,tbLancamentos[Tipo],"Receita",tbLancamentos[Conta no mês?],"sim",tbLancamentos[Mês],10,tbLancamentos[Ano],AnoSelecionado))</f>
        <v/>
      </c>
      <c r="M30" s="32">
        <f>IF($B30="",0,SUMIFS(tbLancamentos[Valor],tbLancamentos[Categoria],$B30,tbLancamentos[Tipo],"Receita",tbLancamentos[Conta no mês?],"sim",tbLancamentos[Mês],11,tbLancamentos[Ano],AnoSelecionado))</f>
        <v/>
      </c>
      <c r="N30" s="32">
        <f>IF($B30="",0,SUMIFS(tbLancamentos[Valor],tbLancamentos[Categoria],$B30,tbLancamentos[Tipo],"Receita",tbLancamentos[Conta no mês?],"sim",tbLancamentos[Mês],12,tbLancamentos[Ano],AnoSelecionado))</f>
        <v/>
      </c>
      <c r="O30" s="32">
        <f>SUM(C30:N30)</f>
        <v/>
      </c>
      <c r="P30" s="32">
        <f>IF(Calc!$B$26&gt;0,O30/Calc!$B$26,0)</f>
        <v/>
      </c>
      <c r="Q30" s="110" t="n"/>
      <c r="R30" s="4" t="n"/>
    </row>
    <row r="31">
      <c r="A31" s="4" t="n"/>
      <c r="B31" s="111" t="inlineStr">
        <is>
          <t>Total de receitas</t>
        </is>
      </c>
      <c r="C31" s="112">
        <f>SUM(C24:C30)</f>
        <v/>
      </c>
      <c r="D31" s="112">
        <f>SUM(D24:D30)</f>
        <v/>
      </c>
      <c r="E31" s="112">
        <f>SUM(E24:E30)</f>
        <v/>
      </c>
      <c r="F31" s="112">
        <f>SUM(F24:F30)</f>
        <v/>
      </c>
      <c r="G31" s="112">
        <f>SUM(G24:G30)</f>
        <v/>
      </c>
      <c r="H31" s="112">
        <f>SUM(H24:H30)</f>
        <v/>
      </c>
      <c r="I31" s="112">
        <f>SUM(I24:I30)</f>
        <v/>
      </c>
      <c r="J31" s="112">
        <f>SUM(J24:J30)</f>
        <v/>
      </c>
      <c r="K31" s="112">
        <f>SUM(K24:K30)</f>
        <v/>
      </c>
      <c r="L31" s="112">
        <f>SUM(L24:L30)</f>
        <v/>
      </c>
      <c r="M31" s="112">
        <f>SUM(M24:M30)</f>
        <v/>
      </c>
      <c r="N31" s="112">
        <f>SUM(N24:N30)</f>
        <v/>
      </c>
      <c r="O31" s="112">
        <f>SUM(O24:O30)</f>
        <v/>
      </c>
      <c r="P31" s="112">
        <f>IF(Calc!$B$26&gt;0,O31/Calc!$B$26,0)</f>
        <v/>
      </c>
      <c r="Q31" s="113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14" t="inlineStr">
        <is>
          <t>GASTOS</t>
        </is>
      </c>
      <c r="C33" s="115" t="n"/>
      <c r="D33" s="115" t="n"/>
      <c r="E33" s="115" t="n"/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4" t="n"/>
    </row>
    <row r="34" ht="20" customHeight="1">
      <c r="A34" s="4" t="n"/>
      <c r="B34" s="19">
        <f>IF(1&lt;=Calc!$B$21,INDEX(Config!$D$6:$D$1000,1),"")</f>
        <v/>
      </c>
      <c r="C34" s="32">
        <f>IF($B34="",0,SUMIFS(tbLancamentos[Valor],tbLancamentos[Categoria],$B34,tbLancamentos[Tipo],"&lt;&gt;Receita",tbLancamentos[Conta no mês?],"sim",tbLancamentos[Mês],1,tbLancamentos[Ano],AnoSelecionado))</f>
        <v/>
      </c>
      <c r="D34" s="32">
        <f>IF($B34="",0,SUMIFS(tbLancamentos[Valor],tbLancamentos[Categoria],$B34,tbLancamentos[Tipo],"&lt;&gt;Receita",tbLancamentos[Conta no mês?],"sim",tbLancamentos[Mês],2,tbLancamentos[Ano],AnoSelecionado))</f>
        <v/>
      </c>
      <c r="E34" s="32">
        <f>IF($B34="",0,SUMIFS(tbLancamentos[Valor],tbLancamentos[Categoria],$B34,tbLancamentos[Tipo],"&lt;&gt;Receita",tbLancamentos[Conta no mês?],"sim",tbLancamentos[Mês],3,tbLancamentos[Ano],AnoSelecionado))</f>
        <v/>
      </c>
      <c r="F34" s="32">
        <f>IF($B34="",0,SUMIFS(tbLancamentos[Valor],tbLancamentos[Categoria],$B34,tbLancamentos[Tipo],"&lt;&gt;Receita",tbLancamentos[Conta no mês?],"sim",tbLancamentos[Mês],4,tbLancamentos[Ano],AnoSelecionado))</f>
        <v/>
      </c>
      <c r="G34" s="32">
        <f>IF($B34="",0,SUMIFS(tbLancamentos[Valor],tbLancamentos[Categoria],$B34,tbLancamentos[Tipo],"&lt;&gt;Receita",tbLancamentos[Conta no mês?],"sim",tbLancamentos[Mês],5,tbLancamentos[Ano],AnoSelecionado))</f>
        <v/>
      </c>
      <c r="H34" s="32">
        <f>IF($B34="",0,SUMIFS(tbLancamentos[Valor],tbLancamentos[Categoria],$B34,tbLancamentos[Tipo],"&lt;&gt;Receita",tbLancamentos[Conta no mês?],"sim",tbLancamentos[Mês],6,tbLancamentos[Ano],AnoSelecionado))</f>
        <v/>
      </c>
      <c r="I34" s="32">
        <f>IF($B34="",0,SUMIFS(tbLancamentos[Valor],tbLancamentos[Categoria],$B34,tbLancamentos[Tipo],"&lt;&gt;Receita",tbLancamentos[Conta no mês?],"sim",tbLancamentos[Mês],7,tbLancamentos[Ano],AnoSelecionado))</f>
        <v/>
      </c>
      <c r="J34" s="32">
        <f>IF($B34="",0,SUMIFS(tbLancamentos[Valor],tbLancamentos[Categoria],$B34,tbLancamentos[Tipo],"&lt;&gt;Receita",tbLancamentos[Conta no mês?],"sim",tbLancamentos[Mês],8,tbLancamentos[Ano],AnoSelecionado))</f>
        <v/>
      </c>
      <c r="K34" s="32">
        <f>IF($B34="",0,SUMIFS(tbLancamentos[Valor],tbLancamentos[Categoria],$B34,tbLancamentos[Tipo],"&lt;&gt;Receita",tbLancamentos[Conta no mês?],"sim",tbLancamentos[Mês],9,tbLancamentos[Ano],AnoSelecionado))</f>
        <v/>
      </c>
      <c r="L34" s="32">
        <f>IF($B34="",0,SUMIFS(tbLancamentos[Valor],tbLancamentos[Categoria],$B34,tbLancamentos[Tipo],"&lt;&gt;Receita",tbLancamentos[Conta no mês?],"sim",tbLancamentos[Mês],10,tbLancamentos[Ano],AnoSelecionado))</f>
        <v/>
      </c>
      <c r="M34" s="32">
        <f>IF($B34="",0,SUMIFS(tbLancamentos[Valor],tbLancamentos[Categoria],$B34,tbLancamentos[Tipo],"&lt;&gt;Receita",tbLancamentos[Conta no mês?],"sim",tbLancamentos[Mês],11,tbLancamentos[Ano],AnoSelecionado))</f>
        <v/>
      </c>
      <c r="N34" s="32">
        <f>IF($B34="",0,SUMIFS(tbLancamentos[Valor],tbLancamentos[Categoria],$B34,tbLancamentos[Tipo],"&lt;&gt;Receita",tbLancamentos[Conta no mês?],"sim",tbLancamentos[Mês],12,tbLancamentos[Ano],AnoSelecionado))</f>
        <v/>
      </c>
      <c r="O34" s="32">
        <f>SUM(C34:N34)</f>
        <v/>
      </c>
      <c r="P34" s="32">
        <f>IF(Calc!$B$26&gt;0,O34/Calc!$B$26,0)</f>
        <v/>
      </c>
      <c r="Q34" s="110" t="n"/>
      <c r="R34" s="4" t="n"/>
    </row>
    <row r="35" ht="20" customHeight="1">
      <c r="A35" s="4" t="n"/>
      <c r="B35" s="19">
        <f>IF(2&lt;=Calc!$B$21,INDEX(Config!$D$6:$D$1000,2),"")</f>
        <v/>
      </c>
      <c r="C35" s="32">
        <f>IF($B35="",0,SUMIFS(tbLancamentos[Valor],tbLancamentos[Categoria],$B35,tbLancamentos[Tipo],"&lt;&gt;Receita",tbLancamentos[Conta no mês?],"sim",tbLancamentos[Mês],1,tbLancamentos[Ano],AnoSelecionado))</f>
        <v/>
      </c>
      <c r="D35" s="32">
        <f>IF($B35="",0,SUMIFS(tbLancamentos[Valor],tbLancamentos[Categoria],$B35,tbLancamentos[Tipo],"&lt;&gt;Receita",tbLancamentos[Conta no mês?],"sim",tbLancamentos[Mês],2,tbLancamentos[Ano],AnoSelecionado))</f>
        <v/>
      </c>
      <c r="E35" s="32">
        <f>IF($B35="",0,SUMIFS(tbLancamentos[Valor],tbLancamentos[Categoria],$B35,tbLancamentos[Tipo],"&lt;&gt;Receita",tbLancamentos[Conta no mês?],"sim",tbLancamentos[Mês],3,tbLancamentos[Ano],AnoSelecionado))</f>
        <v/>
      </c>
      <c r="F35" s="32">
        <f>IF($B35="",0,SUMIFS(tbLancamentos[Valor],tbLancamentos[Categoria],$B35,tbLancamentos[Tipo],"&lt;&gt;Receita",tbLancamentos[Conta no mês?],"sim",tbLancamentos[Mês],4,tbLancamentos[Ano],AnoSelecionado))</f>
        <v/>
      </c>
      <c r="G35" s="32">
        <f>IF($B35="",0,SUMIFS(tbLancamentos[Valor],tbLancamentos[Categoria],$B35,tbLancamentos[Tipo],"&lt;&gt;Receita",tbLancamentos[Conta no mês?],"sim",tbLancamentos[Mês],5,tbLancamentos[Ano],AnoSelecionado))</f>
        <v/>
      </c>
      <c r="H35" s="32">
        <f>IF($B35="",0,SUMIFS(tbLancamentos[Valor],tbLancamentos[Categoria],$B35,tbLancamentos[Tipo],"&lt;&gt;Receita",tbLancamentos[Conta no mês?],"sim",tbLancamentos[Mês],6,tbLancamentos[Ano],AnoSelecionado))</f>
        <v/>
      </c>
      <c r="I35" s="32">
        <f>IF($B35="",0,SUMIFS(tbLancamentos[Valor],tbLancamentos[Categoria],$B35,tbLancamentos[Tipo],"&lt;&gt;Receita",tbLancamentos[Conta no mês?],"sim",tbLancamentos[Mês],7,tbLancamentos[Ano],AnoSelecionado))</f>
        <v/>
      </c>
      <c r="J35" s="32">
        <f>IF($B35="",0,SUMIFS(tbLancamentos[Valor],tbLancamentos[Categoria],$B35,tbLancamentos[Tipo],"&lt;&gt;Receita",tbLancamentos[Conta no mês?],"sim",tbLancamentos[Mês],8,tbLancamentos[Ano],AnoSelecionado))</f>
        <v/>
      </c>
      <c r="K35" s="32">
        <f>IF($B35="",0,SUMIFS(tbLancamentos[Valor],tbLancamentos[Categoria],$B35,tbLancamentos[Tipo],"&lt;&gt;Receita",tbLancamentos[Conta no mês?],"sim",tbLancamentos[Mês],9,tbLancamentos[Ano],AnoSelecionado))</f>
        <v/>
      </c>
      <c r="L35" s="32">
        <f>IF($B35="",0,SUMIFS(tbLancamentos[Valor],tbLancamentos[Categoria],$B35,tbLancamentos[Tipo],"&lt;&gt;Receita",tbLancamentos[Conta no mês?],"sim",tbLancamentos[Mês],10,tbLancamentos[Ano],AnoSelecionado))</f>
        <v/>
      </c>
      <c r="M35" s="32">
        <f>IF($B35="",0,SUMIFS(tbLancamentos[Valor],tbLancamentos[Categoria],$B35,tbLancamentos[Tipo],"&lt;&gt;Receita",tbLancamentos[Conta no mês?],"sim",tbLancamentos[Mês],11,tbLancamentos[Ano],AnoSelecionado))</f>
        <v/>
      </c>
      <c r="N35" s="32">
        <f>IF($B35="",0,SUMIFS(tbLancamentos[Valor],tbLancamentos[Categoria],$B35,tbLancamentos[Tipo],"&lt;&gt;Receita",tbLancamentos[Conta no mês?],"sim",tbLancamentos[Mês],12,tbLancamentos[Ano],AnoSelecionado))</f>
        <v/>
      </c>
      <c r="O35" s="32">
        <f>SUM(C35:N35)</f>
        <v/>
      </c>
      <c r="P35" s="32">
        <f>IF(Calc!$B$26&gt;0,O35/Calc!$B$26,0)</f>
        <v/>
      </c>
      <c r="Q35" s="110" t="n"/>
      <c r="R35" s="4" t="n"/>
    </row>
    <row r="36" ht="20" customHeight="1">
      <c r="A36" s="4" t="n"/>
      <c r="B36" s="19">
        <f>IF(3&lt;=Calc!$B$21,INDEX(Config!$D$6:$D$1000,3),"")</f>
        <v/>
      </c>
      <c r="C36" s="32">
        <f>IF($B36="",0,SUMIFS(tbLancamentos[Valor],tbLancamentos[Categoria],$B36,tbLancamentos[Tipo],"&lt;&gt;Receita",tbLancamentos[Conta no mês?],"sim",tbLancamentos[Mês],1,tbLancamentos[Ano],AnoSelecionado))</f>
        <v/>
      </c>
      <c r="D36" s="32">
        <f>IF($B36="",0,SUMIFS(tbLancamentos[Valor],tbLancamentos[Categoria],$B36,tbLancamentos[Tipo],"&lt;&gt;Receita",tbLancamentos[Conta no mês?],"sim",tbLancamentos[Mês],2,tbLancamentos[Ano],AnoSelecionado))</f>
        <v/>
      </c>
      <c r="E36" s="32">
        <f>IF($B36="",0,SUMIFS(tbLancamentos[Valor],tbLancamentos[Categoria],$B36,tbLancamentos[Tipo],"&lt;&gt;Receita",tbLancamentos[Conta no mês?],"sim",tbLancamentos[Mês],3,tbLancamentos[Ano],AnoSelecionado))</f>
        <v/>
      </c>
      <c r="F36" s="32">
        <f>IF($B36="",0,SUMIFS(tbLancamentos[Valor],tbLancamentos[Categoria],$B36,tbLancamentos[Tipo],"&lt;&gt;Receita",tbLancamentos[Conta no mês?],"sim",tbLancamentos[Mês],4,tbLancamentos[Ano],AnoSelecionado))</f>
        <v/>
      </c>
      <c r="G36" s="32">
        <f>IF($B36="",0,SUMIFS(tbLancamentos[Valor],tbLancamentos[Categoria],$B36,tbLancamentos[Tipo],"&lt;&gt;Receita",tbLancamentos[Conta no mês?],"sim",tbLancamentos[Mês],5,tbLancamentos[Ano],AnoSelecionado))</f>
        <v/>
      </c>
      <c r="H36" s="32">
        <f>IF($B36="",0,SUMIFS(tbLancamentos[Valor],tbLancamentos[Categoria],$B36,tbLancamentos[Tipo],"&lt;&gt;Receita",tbLancamentos[Conta no mês?],"sim",tbLancamentos[Mês],6,tbLancamentos[Ano],AnoSelecionado))</f>
        <v/>
      </c>
      <c r="I36" s="32">
        <f>IF($B36="",0,SUMIFS(tbLancamentos[Valor],tbLancamentos[Categoria],$B36,tbLancamentos[Tipo],"&lt;&gt;Receita",tbLancamentos[Conta no mês?],"sim",tbLancamentos[Mês],7,tbLancamentos[Ano],AnoSelecionado))</f>
        <v/>
      </c>
      <c r="J36" s="32">
        <f>IF($B36="",0,SUMIFS(tbLancamentos[Valor],tbLancamentos[Categoria],$B36,tbLancamentos[Tipo],"&lt;&gt;Receita",tbLancamentos[Conta no mês?],"sim",tbLancamentos[Mês],8,tbLancamentos[Ano],AnoSelecionado))</f>
        <v/>
      </c>
      <c r="K36" s="32">
        <f>IF($B36="",0,SUMIFS(tbLancamentos[Valor],tbLancamentos[Categoria],$B36,tbLancamentos[Tipo],"&lt;&gt;Receita",tbLancamentos[Conta no mês?],"sim",tbLancamentos[Mês],9,tbLancamentos[Ano],AnoSelecionado))</f>
        <v/>
      </c>
      <c r="L36" s="32">
        <f>IF($B36="",0,SUMIFS(tbLancamentos[Valor],tbLancamentos[Categoria],$B36,tbLancamentos[Tipo],"&lt;&gt;Receita",tbLancamentos[Conta no mês?],"sim",tbLancamentos[Mês],10,tbLancamentos[Ano],AnoSelecionado))</f>
        <v/>
      </c>
      <c r="M36" s="32">
        <f>IF($B36="",0,SUMIFS(tbLancamentos[Valor],tbLancamentos[Categoria],$B36,tbLancamentos[Tipo],"&lt;&gt;Receita",tbLancamentos[Conta no mês?],"sim",tbLancamentos[Mês],11,tbLancamentos[Ano],AnoSelecionado))</f>
        <v/>
      </c>
      <c r="N36" s="32">
        <f>IF($B36="",0,SUMIFS(tbLancamentos[Valor],tbLancamentos[Categoria],$B36,tbLancamentos[Tipo],"&lt;&gt;Receita",tbLancamentos[Conta no mês?],"sim",tbLancamentos[Mês],12,tbLancamentos[Ano],AnoSelecionado))</f>
        <v/>
      </c>
      <c r="O36" s="32">
        <f>SUM(C36:N36)</f>
        <v/>
      </c>
      <c r="P36" s="32">
        <f>IF(Calc!$B$26&gt;0,O36/Calc!$B$26,0)</f>
        <v/>
      </c>
      <c r="Q36" s="110" t="n"/>
      <c r="R36" s="4" t="n"/>
    </row>
    <row r="37" ht="20" customHeight="1">
      <c r="A37" s="4" t="n"/>
      <c r="B37" s="19">
        <f>IF(4&lt;=Calc!$B$21,INDEX(Config!$D$6:$D$1000,4),"")</f>
        <v/>
      </c>
      <c r="C37" s="32">
        <f>IF($B37="",0,SUMIFS(tbLancamentos[Valor],tbLancamentos[Categoria],$B37,tbLancamentos[Tipo],"&lt;&gt;Receita",tbLancamentos[Conta no mês?],"sim",tbLancamentos[Mês],1,tbLancamentos[Ano],AnoSelecionado))</f>
        <v/>
      </c>
      <c r="D37" s="32">
        <f>IF($B37="",0,SUMIFS(tbLancamentos[Valor],tbLancamentos[Categoria],$B37,tbLancamentos[Tipo],"&lt;&gt;Receita",tbLancamentos[Conta no mês?],"sim",tbLancamentos[Mês],2,tbLancamentos[Ano],AnoSelecionado))</f>
        <v/>
      </c>
      <c r="E37" s="32">
        <f>IF($B37="",0,SUMIFS(tbLancamentos[Valor],tbLancamentos[Categoria],$B37,tbLancamentos[Tipo],"&lt;&gt;Receita",tbLancamentos[Conta no mês?],"sim",tbLancamentos[Mês],3,tbLancamentos[Ano],AnoSelecionado))</f>
        <v/>
      </c>
      <c r="F37" s="32">
        <f>IF($B37="",0,SUMIFS(tbLancamentos[Valor],tbLancamentos[Categoria],$B37,tbLancamentos[Tipo],"&lt;&gt;Receita",tbLancamentos[Conta no mês?],"sim",tbLancamentos[Mês],4,tbLancamentos[Ano],AnoSelecionado))</f>
        <v/>
      </c>
      <c r="G37" s="32">
        <f>IF($B37="",0,SUMIFS(tbLancamentos[Valor],tbLancamentos[Categoria],$B37,tbLancamentos[Tipo],"&lt;&gt;Receita",tbLancamentos[Conta no mês?],"sim",tbLancamentos[Mês],5,tbLancamentos[Ano],AnoSelecionado))</f>
        <v/>
      </c>
      <c r="H37" s="32">
        <f>IF($B37="",0,SUMIFS(tbLancamentos[Valor],tbLancamentos[Categoria],$B37,tbLancamentos[Tipo],"&lt;&gt;Receita",tbLancamentos[Conta no mês?],"sim",tbLancamentos[Mês],6,tbLancamentos[Ano],AnoSelecionado))</f>
        <v/>
      </c>
      <c r="I37" s="32">
        <f>IF($B37="",0,SUMIFS(tbLancamentos[Valor],tbLancamentos[Categoria],$B37,tbLancamentos[Tipo],"&lt;&gt;Receita",tbLancamentos[Conta no mês?],"sim",tbLancamentos[Mês],7,tbLancamentos[Ano],AnoSelecionado))</f>
        <v/>
      </c>
      <c r="J37" s="32">
        <f>IF($B37="",0,SUMIFS(tbLancamentos[Valor],tbLancamentos[Categoria],$B37,tbLancamentos[Tipo],"&lt;&gt;Receita",tbLancamentos[Conta no mês?],"sim",tbLancamentos[Mês],8,tbLancamentos[Ano],AnoSelecionado))</f>
        <v/>
      </c>
      <c r="K37" s="32">
        <f>IF($B37="",0,SUMIFS(tbLancamentos[Valor],tbLancamentos[Categoria],$B37,tbLancamentos[Tipo],"&lt;&gt;Receita",tbLancamentos[Conta no mês?],"sim",tbLancamentos[Mês],9,tbLancamentos[Ano],AnoSelecionado))</f>
        <v/>
      </c>
      <c r="L37" s="32">
        <f>IF($B37="",0,SUMIFS(tbLancamentos[Valor],tbLancamentos[Categoria],$B37,tbLancamentos[Tipo],"&lt;&gt;Receita",tbLancamentos[Conta no mês?],"sim",tbLancamentos[Mês],10,tbLancamentos[Ano],AnoSelecionado))</f>
        <v/>
      </c>
      <c r="M37" s="32">
        <f>IF($B37="",0,SUMIFS(tbLancamentos[Valor],tbLancamentos[Categoria],$B37,tbLancamentos[Tipo],"&lt;&gt;Receita",tbLancamentos[Conta no mês?],"sim",tbLancamentos[Mês],11,tbLancamentos[Ano],AnoSelecionado))</f>
        <v/>
      </c>
      <c r="N37" s="32">
        <f>IF($B37="",0,SUMIFS(tbLancamentos[Valor],tbLancamentos[Categoria],$B37,tbLancamentos[Tipo],"&lt;&gt;Receita",tbLancamentos[Conta no mês?],"sim",tbLancamentos[Mês],12,tbLancamentos[Ano],AnoSelecionado))</f>
        <v/>
      </c>
      <c r="O37" s="32">
        <f>SUM(C37:N37)</f>
        <v/>
      </c>
      <c r="P37" s="32">
        <f>IF(Calc!$B$26&gt;0,O37/Calc!$B$26,0)</f>
        <v/>
      </c>
      <c r="Q37" s="110" t="n"/>
      <c r="R37" s="4" t="n"/>
    </row>
    <row r="38" ht="20" customHeight="1">
      <c r="A38" s="4" t="n"/>
      <c r="B38" s="19">
        <f>IF(5&lt;=Calc!$B$21,INDEX(Config!$D$6:$D$1000,5),"")</f>
        <v/>
      </c>
      <c r="C38" s="32">
        <f>IF($B38="",0,SUMIFS(tbLancamentos[Valor],tbLancamentos[Categoria],$B38,tbLancamentos[Tipo],"&lt;&gt;Receita",tbLancamentos[Conta no mês?],"sim",tbLancamentos[Mês],1,tbLancamentos[Ano],AnoSelecionado))</f>
        <v/>
      </c>
      <c r="D38" s="32">
        <f>IF($B38="",0,SUMIFS(tbLancamentos[Valor],tbLancamentos[Categoria],$B38,tbLancamentos[Tipo],"&lt;&gt;Receita",tbLancamentos[Conta no mês?],"sim",tbLancamentos[Mês],2,tbLancamentos[Ano],AnoSelecionado))</f>
        <v/>
      </c>
      <c r="E38" s="32">
        <f>IF($B38="",0,SUMIFS(tbLancamentos[Valor],tbLancamentos[Categoria],$B38,tbLancamentos[Tipo],"&lt;&gt;Receita",tbLancamentos[Conta no mês?],"sim",tbLancamentos[Mês],3,tbLancamentos[Ano],AnoSelecionado))</f>
        <v/>
      </c>
      <c r="F38" s="32">
        <f>IF($B38="",0,SUMIFS(tbLancamentos[Valor],tbLancamentos[Categoria],$B38,tbLancamentos[Tipo],"&lt;&gt;Receita",tbLancamentos[Conta no mês?],"sim",tbLancamentos[Mês],4,tbLancamentos[Ano],AnoSelecionado))</f>
        <v/>
      </c>
      <c r="G38" s="32">
        <f>IF($B38="",0,SUMIFS(tbLancamentos[Valor],tbLancamentos[Categoria],$B38,tbLancamentos[Tipo],"&lt;&gt;Receita",tbLancamentos[Conta no mês?],"sim",tbLancamentos[Mês],5,tbLancamentos[Ano],AnoSelecionado))</f>
        <v/>
      </c>
      <c r="H38" s="32">
        <f>IF($B38="",0,SUMIFS(tbLancamentos[Valor],tbLancamentos[Categoria],$B38,tbLancamentos[Tipo],"&lt;&gt;Receita",tbLancamentos[Conta no mês?],"sim",tbLancamentos[Mês],6,tbLancamentos[Ano],AnoSelecionado))</f>
        <v/>
      </c>
      <c r="I38" s="32">
        <f>IF($B38="",0,SUMIFS(tbLancamentos[Valor],tbLancamentos[Categoria],$B38,tbLancamentos[Tipo],"&lt;&gt;Receita",tbLancamentos[Conta no mês?],"sim",tbLancamentos[Mês],7,tbLancamentos[Ano],AnoSelecionado))</f>
        <v/>
      </c>
      <c r="J38" s="32">
        <f>IF($B38="",0,SUMIFS(tbLancamentos[Valor],tbLancamentos[Categoria],$B38,tbLancamentos[Tipo],"&lt;&gt;Receita",tbLancamentos[Conta no mês?],"sim",tbLancamentos[Mês],8,tbLancamentos[Ano],AnoSelecionado))</f>
        <v/>
      </c>
      <c r="K38" s="32">
        <f>IF($B38="",0,SUMIFS(tbLancamentos[Valor],tbLancamentos[Categoria],$B38,tbLancamentos[Tipo],"&lt;&gt;Receita",tbLancamentos[Conta no mês?],"sim",tbLancamentos[Mês],9,tbLancamentos[Ano],AnoSelecionado))</f>
        <v/>
      </c>
      <c r="L38" s="32">
        <f>IF($B38="",0,SUMIFS(tbLancamentos[Valor],tbLancamentos[Categoria],$B38,tbLancamentos[Tipo],"&lt;&gt;Receita",tbLancamentos[Conta no mês?],"sim",tbLancamentos[Mês],10,tbLancamentos[Ano],AnoSelecionado))</f>
        <v/>
      </c>
      <c r="M38" s="32">
        <f>IF($B38="",0,SUMIFS(tbLancamentos[Valor],tbLancamentos[Categoria],$B38,tbLancamentos[Tipo],"&lt;&gt;Receita",tbLancamentos[Conta no mês?],"sim",tbLancamentos[Mês],11,tbLancamentos[Ano],AnoSelecionado))</f>
        <v/>
      </c>
      <c r="N38" s="32">
        <f>IF($B38="",0,SUMIFS(tbLancamentos[Valor],tbLancamentos[Categoria],$B38,tbLancamentos[Tipo],"&lt;&gt;Receita",tbLancamentos[Conta no mês?],"sim",tbLancamentos[Mês],12,tbLancamentos[Ano],AnoSelecionado))</f>
        <v/>
      </c>
      <c r="O38" s="32">
        <f>SUM(C38:N38)</f>
        <v/>
      </c>
      <c r="P38" s="32">
        <f>IF(Calc!$B$26&gt;0,O38/Calc!$B$26,0)</f>
        <v/>
      </c>
      <c r="Q38" s="110" t="n"/>
      <c r="R38" s="4" t="n"/>
    </row>
    <row r="39" ht="20" customHeight="1">
      <c r="A39" s="4" t="n"/>
      <c r="B39" s="19">
        <f>IF(6&lt;=Calc!$B$21,INDEX(Config!$D$6:$D$1000,6),"")</f>
        <v/>
      </c>
      <c r="C39" s="32">
        <f>IF($B39="",0,SUMIFS(tbLancamentos[Valor],tbLancamentos[Categoria],$B39,tbLancamentos[Tipo],"&lt;&gt;Receita",tbLancamentos[Conta no mês?],"sim",tbLancamentos[Mês],1,tbLancamentos[Ano],AnoSelecionado))</f>
        <v/>
      </c>
      <c r="D39" s="32">
        <f>IF($B39="",0,SUMIFS(tbLancamentos[Valor],tbLancamentos[Categoria],$B39,tbLancamentos[Tipo],"&lt;&gt;Receita",tbLancamentos[Conta no mês?],"sim",tbLancamentos[Mês],2,tbLancamentos[Ano],AnoSelecionado))</f>
        <v/>
      </c>
      <c r="E39" s="32">
        <f>IF($B39="",0,SUMIFS(tbLancamentos[Valor],tbLancamentos[Categoria],$B39,tbLancamentos[Tipo],"&lt;&gt;Receita",tbLancamentos[Conta no mês?],"sim",tbLancamentos[Mês],3,tbLancamentos[Ano],AnoSelecionado))</f>
        <v/>
      </c>
      <c r="F39" s="32">
        <f>IF($B39="",0,SUMIFS(tbLancamentos[Valor],tbLancamentos[Categoria],$B39,tbLancamentos[Tipo],"&lt;&gt;Receita",tbLancamentos[Conta no mês?],"sim",tbLancamentos[Mês],4,tbLancamentos[Ano],AnoSelecionado))</f>
        <v/>
      </c>
      <c r="G39" s="32">
        <f>IF($B39="",0,SUMIFS(tbLancamentos[Valor],tbLancamentos[Categoria],$B39,tbLancamentos[Tipo],"&lt;&gt;Receita",tbLancamentos[Conta no mês?],"sim",tbLancamentos[Mês],5,tbLancamentos[Ano],AnoSelecionado))</f>
        <v/>
      </c>
      <c r="H39" s="32">
        <f>IF($B39="",0,SUMIFS(tbLancamentos[Valor],tbLancamentos[Categoria],$B39,tbLancamentos[Tipo],"&lt;&gt;Receita",tbLancamentos[Conta no mês?],"sim",tbLancamentos[Mês],6,tbLancamentos[Ano],AnoSelecionado))</f>
        <v/>
      </c>
      <c r="I39" s="32">
        <f>IF($B39="",0,SUMIFS(tbLancamentos[Valor],tbLancamentos[Categoria],$B39,tbLancamentos[Tipo],"&lt;&gt;Receita",tbLancamentos[Conta no mês?],"sim",tbLancamentos[Mês],7,tbLancamentos[Ano],AnoSelecionado))</f>
        <v/>
      </c>
      <c r="J39" s="32">
        <f>IF($B39="",0,SUMIFS(tbLancamentos[Valor],tbLancamentos[Categoria],$B39,tbLancamentos[Tipo],"&lt;&gt;Receita",tbLancamentos[Conta no mês?],"sim",tbLancamentos[Mês],8,tbLancamentos[Ano],AnoSelecionado))</f>
        <v/>
      </c>
      <c r="K39" s="32">
        <f>IF($B39="",0,SUMIFS(tbLancamentos[Valor],tbLancamentos[Categoria],$B39,tbLancamentos[Tipo],"&lt;&gt;Receita",tbLancamentos[Conta no mês?],"sim",tbLancamentos[Mês],9,tbLancamentos[Ano],AnoSelecionado))</f>
        <v/>
      </c>
      <c r="L39" s="32">
        <f>IF($B39="",0,SUMIFS(tbLancamentos[Valor],tbLancamentos[Categoria],$B39,tbLancamentos[Tipo],"&lt;&gt;Receita",tbLancamentos[Conta no mês?],"sim",tbLancamentos[Mês],10,tbLancamentos[Ano],AnoSelecionado))</f>
        <v/>
      </c>
      <c r="M39" s="32">
        <f>IF($B39="",0,SUMIFS(tbLancamentos[Valor],tbLancamentos[Categoria],$B39,tbLancamentos[Tipo],"&lt;&gt;Receita",tbLancamentos[Conta no mês?],"sim",tbLancamentos[Mês],11,tbLancamentos[Ano],AnoSelecionado))</f>
        <v/>
      </c>
      <c r="N39" s="32">
        <f>IF($B39="",0,SUMIFS(tbLancamentos[Valor],tbLancamentos[Categoria],$B39,tbLancamentos[Tipo],"&lt;&gt;Receita",tbLancamentos[Conta no mês?],"sim",tbLancamentos[Mês],12,tbLancamentos[Ano],AnoSelecionado))</f>
        <v/>
      </c>
      <c r="O39" s="32">
        <f>SUM(C39:N39)</f>
        <v/>
      </c>
      <c r="P39" s="32">
        <f>IF(Calc!$B$26&gt;0,O39/Calc!$B$26,0)</f>
        <v/>
      </c>
      <c r="Q39" s="110" t="n"/>
      <c r="R39" s="4" t="n"/>
    </row>
    <row r="40" ht="20" customHeight="1">
      <c r="A40" s="4" t="n"/>
      <c r="B40" s="19">
        <f>IF(7&lt;=Calc!$B$21,INDEX(Config!$D$6:$D$1000,7),"")</f>
        <v/>
      </c>
      <c r="C40" s="32">
        <f>IF($B40="",0,SUMIFS(tbLancamentos[Valor],tbLancamentos[Categoria],$B40,tbLancamentos[Tipo],"&lt;&gt;Receita",tbLancamentos[Conta no mês?],"sim",tbLancamentos[Mês],1,tbLancamentos[Ano],AnoSelecionado))</f>
        <v/>
      </c>
      <c r="D40" s="32">
        <f>IF($B40="",0,SUMIFS(tbLancamentos[Valor],tbLancamentos[Categoria],$B40,tbLancamentos[Tipo],"&lt;&gt;Receita",tbLancamentos[Conta no mês?],"sim",tbLancamentos[Mês],2,tbLancamentos[Ano],AnoSelecionado))</f>
        <v/>
      </c>
      <c r="E40" s="32">
        <f>IF($B40="",0,SUMIFS(tbLancamentos[Valor],tbLancamentos[Categoria],$B40,tbLancamentos[Tipo],"&lt;&gt;Receita",tbLancamentos[Conta no mês?],"sim",tbLancamentos[Mês],3,tbLancamentos[Ano],AnoSelecionado))</f>
        <v/>
      </c>
      <c r="F40" s="32">
        <f>IF($B40="",0,SUMIFS(tbLancamentos[Valor],tbLancamentos[Categoria],$B40,tbLancamentos[Tipo],"&lt;&gt;Receita",tbLancamentos[Conta no mês?],"sim",tbLancamentos[Mês],4,tbLancamentos[Ano],AnoSelecionado))</f>
        <v/>
      </c>
      <c r="G40" s="32">
        <f>IF($B40="",0,SUMIFS(tbLancamentos[Valor],tbLancamentos[Categoria],$B40,tbLancamentos[Tipo],"&lt;&gt;Receita",tbLancamentos[Conta no mês?],"sim",tbLancamentos[Mês],5,tbLancamentos[Ano],AnoSelecionado))</f>
        <v/>
      </c>
      <c r="H40" s="32">
        <f>IF($B40="",0,SUMIFS(tbLancamentos[Valor],tbLancamentos[Categoria],$B40,tbLancamentos[Tipo],"&lt;&gt;Receita",tbLancamentos[Conta no mês?],"sim",tbLancamentos[Mês],6,tbLancamentos[Ano],AnoSelecionado))</f>
        <v/>
      </c>
      <c r="I40" s="32">
        <f>IF($B40="",0,SUMIFS(tbLancamentos[Valor],tbLancamentos[Categoria],$B40,tbLancamentos[Tipo],"&lt;&gt;Receita",tbLancamentos[Conta no mês?],"sim",tbLancamentos[Mês],7,tbLancamentos[Ano],AnoSelecionado))</f>
        <v/>
      </c>
      <c r="J40" s="32">
        <f>IF($B40="",0,SUMIFS(tbLancamentos[Valor],tbLancamentos[Categoria],$B40,tbLancamentos[Tipo],"&lt;&gt;Receita",tbLancamentos[Conta no mês?],"sim",tbLancamentos[Mês],8,tbLancamentos[Ano],AnoSelecionado))</f>
        <v/>
      </c>
      <c r="K40" s="32">
        <f>IF($B40="",0,SUMIFS(tbLancamentos[Valor],tbLancamentos[Categoria],$B40,tbLancamentos[Tipo],"&lt;&gt;Receita",tbLancamentos[Conta no mês?],"sim",tbLancamentos[Mês],9,tbLancamentos[Ano],AnoSelecionado))</f>
        <v/>
      </c>
      <c r="L40" s="32">
        <f>IF($B40="",0,SUMIFS(tbLancamentos[Valor],tbLancamentos[Categoria],$B40,tbLancamentos[Tipo],"&lt;&gt;Receita",tbLancamentos[Conta no mês?],"sim",tbLancamentos[Mês],10,tbLancamentos[Ano],AnoSelecionado))</f>
        <v/>
      </c>
      <c r="M40" s="32">
        <f>IF($B40="",0,SUMIFS(tbLancamentos[Valor],tbLancamentos[Categoria],$B40,tbLancamentos[Tipo],"&lt;&gt;Receita",tbLancamentos[Conta no mês?],"sim",tbLancamentos[Mês],11,tbLancamentos[Ano],AnoSelecionado))</f>
        <v/>
      </c>
      <c r="N40" s="32">
        <f>IF($B40="",0,SUMIFS(tbLancamentos[Valor],tbLancamentos[Categoria],$B40,tbLancamentos[Tipo],"&lt;&gt;Receita",tbLancamentos[Conta no mês?],"sim",tbLancamentos[Mês],12,tbLancamentos[Ano],AnoSelecionado))</f>
        <v/>
      </c>
      <c r="O40" s="32">
        <f>SUM(C40:N40)</f>
        <v/>
      </c>
      <c r="P40" s="32">
        <f>IF(Calc!$B$26&gt;0,O40/Calc!$B$26,0)</f>
        <v/>
      </c>
      <c r="Q40" s="110" t="n"/>
      <c r="R40" s="4" t="n"/>
    </row>
    <row r="41" ht="20" customHeight="1">
      <c r="A41" s="4" t="n"/>
      <c r="B41" s="19">
        <f>IF(8&lt;=Calc!$B$21,INDEX(Config!$D$6:$D$1000,8),"")</f>
        <v/>
      </c>
      <c r="C41" s="32">
        <f>IF($B41="",0,SUMIFS(tbLancamentos[Valor],tbLancamentos[Categoria],$B41,tbLancamentos[Tipo],"&lt;&gt;Receita",tbLancamentos[Conta no mês?],"sim",tbLancamentos[Mês],1,tbLancamentos[Ano],AnoSelecionado))</f>
        <v/>
      </c>
      <c r="D41" s="32">
        <f>IF($B41="",0,SUMIFS(tbLancamentos[Valor],tbLancamentos[Categoria],$B41,tbLancamentos[Tipo],"&lt;&gt;Receita",tbLancamentos[Conta no mês?],"sim",tbLancamentos[Mês],2,tbLancamentos[Ano],AnoSelecionado))</f>
        <v/>
      </c>
      <c r="E41" s="32">
        <f>IF($B41="",0,SUMIFS(tbLancamentos[Valor],tbLancamentos[Categoria],$B41,tbLancamentos[Tipo],"&lt;&gt;Receita",tbLancamentos[Conta no mês?],"sim",tbLancamentos[Mês],3,tbLancamentos[Ano],AnoSelecionado))</f>
        <v/>
      </c>
      <c r="F41" s="32">
        <f>IF($B41="",0,SUMIFS(tbLancamentos[Valor],tbLancamentos[Categoria],$B41,tbLancamentos[Tipo],"&lt;&gt;Receita",tbLancamentos[Conta no mês?],"sim",tbLancamentos[Mês],4,tbLancamentos[Ano],AnoSelecionado))</f>
        <v/>
      </c>
      <c r="G41" s="32">
        <f>IF($B41="",0,SUMIFS(tbLancamentos[Valor],tbLancamentos[Categoria],$B41,tbLancamentos[Tipo],"&lt;&gt;Receita",tbLancamentos[Conta no mês?],"sim",tbLancamentos[Mês],5,tbLancamentos[Ano],AnoSelecionado))</f>
        <v/>
      </c>
      <c r="H41" s="32">
        <f>IF($B41="",0,SUMIFS(tbLancamentos[Valor],tbLancamentos[Categoria],$B41,tbLancamentos[Tipo],"&lt;&gt;Receita",tbLancamentos[Conta no mês?],"sim",tbLancamentos[Mês],6,tbLancamentos[Ano],AnoSelecionado))</f>
        <v/>
      </c>
      <c r="I41" s="32">
        <f>IF($B41="",0,SUMIFS(tbLancamentos[Valor],tbLancamentos[Categoria],$B41,tbLancamentos[Tipo],"&lt;&gt;Receita",tbLancamentos[Conta no mês?],"sim",tbLancamentos[Mês],7,tbLancamentos[Ano],AnoSelecionado))</f>
        <v/>
      </c>
      <c r="J41" s="32">
        <f>IF($B41="",0,SUMIFS(tbLancamentos[Valor],tbLancamentos[Categoria],$B41,tbLancamentos[Tipo],"&lt;&gt;Receita",tbLancamentos[Conta no mês?],"sim",tbLancamentos[Mês],8,tbLancamentos[Ano],AnoSelecionado))</f>
        <v/>
      </c>
      <c r="K41" s="32">
        <f>IF($B41="",0,SUMIFS(tbLancamentos[Valor],tbLancamentos[Categoria],$B41,tbLancamentos[Tipo],"&lt;&gt;Receita",tbLancamentos[Conta no mês?],"sim",tbLancamentos[Mês],9,tbLancamentos[Ano],AnoSelecionado))</f>
        <v/>
      </c>
      <c r="L41" s="32">
        <f>IF($B41="",0,SUMIFS(tbLancamentos[Valor],tbLancamentos[Categoria],$B41,tbLancamentos[Tipo],"&lt;&gt;Receita",tbLancamentos[Conta no mês?],"sim",tbLancamentos[Mês],10,tbLancamentos[Ano],AnoSelecionado))</f>
        <v/>
      </c>
      <c r="M41" s="32">
        <f>IF($B41="",0,SUMIFS(tbLancamentos[Valor],tbLancamentos[Categoria],$B41,tbLancamentos[Tipo],"&lt;&gt;Receita",tbLancamentos[Conta no mês?],"sim",tbLancamentos[Mês],11,tbLancamentos[Ano],AnoSelecionado))</f>
        <v/>
      </c>
      <c r="N41" s="32">
        <f>IF($B41="",0,SUMIFS(tbLancamentos[Valor],tbLancamentos[Categoria],$B41,tbLancamentos[Tipo],"&lt;&gt;Receita",tbLancamentos[Conta no mês?],"sim",tbLancamentos[Mês],12,tbLancamentos[Ano],AnoSelecionado))</f>
        <v/>
      </c>
      <c r="O41" s="32">
        <f>SUM(C41:N41)</f>
        <v/>
      </c>
      <c r="P41" s="32">
        <f>IF(Calc!$B$26&gt;0,O41/Calc!$B$26,0)</f>
        <v/>
      </c>
      <c r="Q41" s="110" t="n"/>
      <c r="R41" s="4" t="n"/>
    </row>
    <row r="42" ht="20" customHeight="1">
      <c r="A42" s="4" t="n"/>
      <c r="B42" s="19">
        <f>IF(9&lt;=Calc!$B$21,INDEX(Config!$D$6:$D$1000,9),"")</f>
        <v/>
      </c>
      <c r="C42" s="32">
        <f>IF($B42="",0,SUMIFS(tbLancamentos[Valor],tbLancamentos[Categoria],$B42,tbLancamentos[Tipo],"&lt;&gt;Receita",tbLancamentos[Conta no mês?],"sim",tbLancamentos[Mês],1,tbLancamentos[Ano],AnoSelecionado))</f>
        <v/>
      </c>
      <c r="D42" s="32">
        <f>IF($B42="",0,SUMIFS(tbLancamentos[Valor],tbLancamentos[Categoria],$B42,tbLancamentos[Tipo],"&lt;&gt;Receita",tbLancamentos[Conta no mês?],"sim",tbLancamentos[Mês],2,tbLancamentos[Ano],AnoSelecionado))</f>
        <v/>
      </c>
      <c r="E42" s="32">
        <f>IF($B42="",0,SUMIFS(tbLancamentos[Valor],tbLancamentos[Categoria],$B42,tbLancamentos[Tipo],"&lt;&gt;Receita",tbLancamentos[Conta no mês?],"sim",tbLancamentos[Mês],3,tbLancamentos[Ano],AnoSelecionado))</f>
        <v/>
      </c>
      <c r="F42" s="32">
        <f>IF($B42="",0,SUMIFS(tbLancamentos[Valor],tbLancamentos[Categoria],$B42,tbLancamentos[Tipo],"&lt;&gt;Receita",tbLancamentos[Conta no mês?],"sim",tbLancamentos[Mês],4,tbLancamentos[Ano],AnoSelecionado))</f>
        <v/>
      </c>
      <c r="G42" s="32">
        <f>IF($B42="",0,SUMIFS(tbLancamentos[Valor],tbLancamentos[Categoria],$B42,tbLancamentos[Tipo],"&lt;&gt;Receita",tbLancamentos[Conta no mês?],"sim",tbLancamentos[Mês],5,tbLancamentos[Ano],AnoSelecionado))</f>
        <v/>
      </c>
      <c r="H42" s="32">
        <f>IF($B42="",0,SUMIFS(tbLancamentos[Valor],tbLancamentos[Categoria],$B42,tbLancamentos[Tipo],"&lt;&gt;Receita",tbLancamentos[Conta no mês?],"sim",tbLancamentos[Mês],6,tbLancamentos[Ano],AnoSelecionado))</f>
        <v/>
      </c>
      <c r="I42" s="32">
        <f>IF($B42="",0,SUMIFS(tbLancamentos[Valor],tbLancamentos[Categoria],$B42,tbLancamentos[Tipo],"&lt;&gt;Receita",tbLancamentos[Conta no mês?],"sim",tbLancamentos[Mês],7,tbLancamentos[Ano],AnoSelecionado))</f>
        <v/>
      </c>
      <c r="J42" s="32">
        <f>IF($B42="",0,SUMIFS(tbLancamentos[Valor],tbLancamentos[Categoria],$B42,tbLancamentos[Tipo],"&lt;&gt;Receita",tbLancamentos[Conta no mês?],"sim",tbLancamentos[Mês],8,tbLancamentos[Ano],AnoSelecionado))</f>
        <v/>
      </c>
      <c r="K42" s="32">
        <f>IF($B42="",0,SUMIFS(tbLancamentos[Valor],tbLancamentos[Categoria],$B42,tbLancamentos[Tipo],"&lt;&gt;Receita",tbLancamentos[Conta no mês?],"sim",tbLancamentos[Mês],9,tbLancamentos[Ano],AnoSelecionado))</f>
        <v/>
      </c>
      <c r="L42" s="32">
        <f>IF($B42="",0,SUMIFS(tbLancamentos[Valor],tbLancamentos[Categoria],$B42,tbLancamentos[Tipo],"&lt;&gt;Receita",tbLancamentos[Conta no mês?],"sim",tbLancamentos[Mês],10,tbLancamentos[Ano],AnoSelecionado))</f>
        <v/>
      </c>
      <c r="M42" s="32">
        <f>IF($B42="",0,SUMIFS(tbLancamentos[Valor],tbLancamentos[Categoria],$B42,tbLancamentos[Tipo],"&lt;&gt;Receita",tbLancamentos[Conta no mês?],"sim",tbLancamentos[Mês],11,tbLancamentos[Ano],AnoSelecionado))</f>
        <v/>
      </c>
      <c r="N42" s="32">
        <f>IF($B42="",0,SUMIFS(tbLancamentos[Valor],tbLancamentos[Categoria],$B42,tbLancamentos[Tipo],"&lt;&gt;Receita",tbLancamentos[Conta no mês?],"sim",tbLancamentos[Mês],12,tbLancamentos[Ano],AnoSelecionado))</f>
        <v/>
      </c>
      <c r="O42" s="32">
        <f>SUM(C42:N42)</f>
        <v/>
      </c>
      <c r="P42" s="32">
        <f>IF(Calc!$B$26&gt;0,O42/Calc!$B$26,0)</f>
        <v/>
      </c>
      <c r="Q42" s="110" t="n"/>
      <c r="R42" s="4" t="n"/>
    </row>
    <row r="43" ht="20" customHeight="1">
      <c r="A43" s="4" t="n"/>
      <c r="B43" s="19">
        <f>IF(10&lt;=Calc!$B$21,INDEX(Config!$D$6:$D$1000,10),"")</f>
        <v/>
      </c>
      <c r="C43" s="32">
        <f>IF($B43="",0,SUMIFS(tbLancamentos[Valor],tbLancamentos[Categoria],$B43,tbLancamentos[Tipo],"&lt;&gt;Receita",tbLancamentos[Conta no mês?],"sim",tbLancamentos[Mês],1,tbLancamentos[Ano],AnoSelecionado))</f>
        <v/>
      </c>
      <c r="D43" s="32">
        <f>IF($B43="",0,SUMIFS(tbLancamentos[Valor],tbLancamentos[Categoria],$B43,tbLancamentos[Tipo],"&lt;&gt;Receita",tbLancamentos[Conta no mês?],"sim",tbLancamentos[Mês],2,tbLancamentos[Ano],AnoSelecionado))</f>
        <v/>
      </c>
      <c r="E43" s="32">
        <f>IF($B43="",0,SUMIFS(tbLancamentos[Valor],tbLancamentos[Categoria],$B43,tbLancamentos[Tipo],"&lt;&gt;Receita",tbLancamentos[Conta no mês?],"sim",tbLancamentos[Mês],3,tbLancamentos[Ano],AnoSelecionado))</f>
        <v/>
      </c>
      <c r="F43" s="32">
        <f>IF($B43="",0,SUMIFS(tbLancamentos[Valor],tbLancamentos[Categoria],$B43,tbLancamentos[Tipo],"&lt;&gt;Receita",tbLancamentos[Conta no mês?],"sim",tbLancamentos[Mês],4,tbLancamentos[Ano],AnoSelecionado))</f>
        <v/>
      </c>
      <c r="G43" s="32">
        <f>IF($B43="",0,SUMIFS(tbLancamentos[Valor],tbLancamentos[Categoria],$B43,tbLancamentos[Tipo],"&lt;&gt;Receita",tbLancamentos[Conta no mês?],"sim",tbLancamentos[Mês],5,tbLancamentos[Ano],AnoSelecionado))</f>
        <v/>
      </c>
      <c r="H43" s="32">
        <f>IF($B43="",0,SUMIFS(tbLancamentos[Valor],tbLancamentos[Categoria],$B43,tbLancamentos[Tipo],"&lt;&gt;Receita",tbLancamentos[Conta no mês?],"sim",tbLancamentos[Mês],6,tbLancamentos[Ano],AnoSelecionado))</f>
        <v/>
      </c>
      <c r="I43" s="32">
        <f>IF($B43="",0,SUMIFS(tbLancamentos[Valor],tbLancamentos[Categoria],$B43,tbLancamentos[Tipo],"&lt;&gt;Receita",tbLancamentos[Conta no mês?],"sim",tbLancamentos[Mês],7,tbLancamentos[Ano],AnoSelecionado))</f>
        <v/>
      </c>
      <c r="J43" s="32">
        <f>IF($B43="",0,SUMIFS(tbLancamentos[Valor],tbLancamentos[Categoria],$B43,tbLancamentos[Tipo],"&lt;&gt;Receita",tbLancamentos[Conta no mês?],"sim",tbLancamentos[Mês],8,tbLancamentos[Ano],AnoSelecionado))</f>
        <v/>
      </c>
      <c r="K43" s="32">
        <f>IF($B43="",0,SUMIFS(tbLancamentos[Valor],tbLancamentos[Categoria],$B43,tbLancamentos[Tipo],"&lt;&gt;Receita",tbLancamentos[Conta no mês?],"sim",tbLancamentos[Mês],9,tbLancamentos[Ano],AnoSelecionado))</f>
        <v/>
      </c>
      <c r="L43" s="32">
        <f>IF($B43="",0,SUMIFS(tbLancamentos[Valor],tbLancamentos[Categoria],$B43,tbLancamentos[Tipo],"&lt;&gt;Receita",tbLancamentos[Conta no mês?],"sim",tbLancamentos[Mês],10,tbLancamentos[Ano],AnoSelecionado))</f>
        <v/>
      </c>
      <c r="M43" s="32">
        <f>IF($B43="",0,SUMIFS(tbLancamentos[Valor],tbLancamentos[Categoria],$B43,tbLancamentos[Tipo],"&lt;&gt;Receita",tbLancamentos[Conta no mês?],"sim",tbLancamentos[Mês],11,tbLancamentos[Ano],AnoSelecionado))</f>
        <v/>
      </c>
      <c r="N43" s="32">
        <f>IF($B43="",0,SUMIFS(tbLancamentos[Valor],tbLancamentos[Categoria],$B43,tbLancamentos[Tipo],"&lt;&gt;Receita",tbLancamentos[Conta no mês?],"sim",tbLancamentos[Mês],12,tbLancamentos[Ano],AnoSelecionado))</f>
        <v/>
      </c>
      <c r="O43" s="32">
        <f>SUM(C43:N43)</f>
        <v/>
      </c>
      <c r="P43" s="32">
        <f>IF(Calc!$B$26&gt;0,O43/Calc!$B$26,0)</f>
        <v/>
      </c>
      <c r="Q43" s="110" t="n"/>
      <c r="R43" s="4" t="n"/>
    </row>
    <row r="44" ht="20" customHeight="1">
      <c r="A44" s="4" t="n"/>
      <c r="B44" s="19">
        <f>IF(11&lt;=Calc!$B$21,INDEX(Config!$D$6:$D$1000,11),"")</f>
        <v/>
      </c>
      <c r="C44" s="32">
        <f>IF($B44="",0,SUMIFS(tbLancamentos[Valor],tbLancamentos[Categoria],$B44,tbLancamentos[Tipo],"&lt;&gt;Receita",tbLancamentos[Conta no mês?],"sim",tbLancamentos[Mês],1,tbLancamentos[Ano],AnoSelecionado))</f>
        <v/>
      </c>
      <c r="D44" s="32">
        <f>IF($B44="",0,SUMIFS(tbLancamentos[Valor],tbLancamentos[Categoria],$B44,tbLancamentos[Tipo],"&lt;&gt;Receita",tbLancamentos[Conta no mês?],"sim",tbLancamentos[Mês],2,tbLancamentos[Ano],AnoSelecionado))</f>
        <v/>
      </c>
      <c r="E44" s="32">
        <f>IF($B44="",0,SUMIFS(tbLancamentos[Valor],tbLancamentos[Categoria],$B44,tbLancamentos[Tipo],"&lt;&gt;Receita",tbLancamentos[Conta no mês?],"sim",tbLancamentos[Mês],3,tbLancamentos[Ano],AnoSelecionado))</f>
        <v/>
      </c>
      <c r="F44" s="32">
        <f>IF($B44="",0,SUMIFS(tbLancamentos[Valor],tbLancamentos[Categoria],$B44,tbLancamentos[Tipo],"&lt;&gt;Receita",tbLancamentos[Conta no mês?],"sim",tbLancamentos[Mês],4,tbLancamentos[Ano],AnoSelecionado))</f>
        <v/>
      </c>
      <c r="G44" s="32">
        <f>IF($B44="",0,SUMIFS(tbLancamentos[Valor],tbLancamentos[Categoria],$B44,tbLancamentos[Tipo],"&lt;&gt;Receita",tbLancamentos[Conta no mês?],"sim",tbLancamentos[Mês],5,tbLancamentos[Ano],AnoSelecionado))</f>
        <v/>
      </c>
      <c r="H44" s="32">
        <f>IF($B44="",0,SUMIFS(tbLancamentos[Valor],tbLancamentos[Categoria],$B44,tbLancamentos[Tipo],"&lt;&gt;Receita",tbLancamentos[Conta no mês?],"sim",tbLancamentos[Mês],6,tbLancamentos[Ano],AnoSelecionado))</f>
        <v/>
      </c>
      <c r="I44" s="32">
        <f>IF($B44="",0,SUMIFS(tbLancamentos[Valor],tbLancamentos[Categoria],$B44,tbLancamentos[Tipo],"&lt;&gt;Receita",tbLancamentos[Conta no mês?],"sim",tbLancamentos[Mês],7,tbLancamentos[Ano],AnoSelecionado))</f>
        <v/>
      </c>
      <c r="J44" s="32">
        <f>IF($B44="",0,SUMIFS(tbLancamentos[Valor],tbLancamentos[Categoria],$B44,tbLancamentos[Tipo],"&lt;&gt;Receita",tbLancamentos[Conta no mês?],"sim",tbLancamentos[Mês],8,tbLancamentos[Ano],AnoSelecionado))</f>
        <v/>
      </c>
      <c r="K44" s="32">
        <f>IF($B44="",0,SUMIFS(tbLancamentos[Valor],tbLancamentos[Categoria],$B44,tbLancamentos[Tipo],"&lt;&gt;Receita",tbLancamentos[Conta no mês?],"sim",tbLancamentos[Mês],9,tbLancamentos[Ano],AnoSelecionado))</f>
        <v/>
      </c>
      <c r="L44" s="32">
        <f>IF($B44="",0,SUMIFS(tbLancamentos[Valor],tbLancamentos[Categoria],$B44,tbLancamentos[Tipo],"&lt;&gt;Receita",tbLancamentos[Conta no mês?],"sim",tbLancamentos[Mês],10,tbLancamentos[Ano],AnoSelecionado))</f>
        <v/>
      </c>
      <c r="M44" s="32">
        <f>IF($B44="",0,SUMIFS(tbLancamentos[Valor],tbLancamentos[Categoria],$B44,tbLancamentos[Tipo],"&lt;&gt;Receita",tbLancamentos[Conta no mês?],"sim",tbLancamentos[Mês],11,tbLancamentos[Ano],AnoSelecionado))</f>
        <v/>
      </c>
      <c r="N44" s="32">
        <f>IF($B44="",0,SUMIFS(tbLancamentos[Valor],tbLancamentos[Categoria],$B44,tbLancamentos[Tipo],"&lt;&gt;Receita",tbLancamentos[Conta no mês?],"sim",tbLancamentos[Mês],12,tbLancamentos[Ano],AnoSelecionado))</f>
        <v/>
      </c>
      <c r="O44" s="32">
        <f>SUM(C44:N44)</f>
        <v/>
      </c>
      <c r="P44" s="32">
        <f>IF(Calc!$B$26&gt;0,O44/Calc!$B$26,0)</f>
        <v/>
      </c>
      <c r="Q44" s="110" t="n"/>
      <c r="R44" s="4" t="n"/>
    </row>
    <row r="45" ht="20" customHeight="1">
      <c r="A45" s="4" t="n"/>
      <c r="B45" s="19">
        <f>IF(12&lt;=Calc!$B$21,INDEX(Config!$D$6:$D$1000,12),"")</f>
        <v/>
      </c>
      <c r="C45" s="32">
        <f>IF($B45="",0,SUMIFS(tbLancamentos[Valor],tbLancamentos[Categoria],$B45,tbLancamentos[Tipo],"&lt;&gt;Receita",tbLancamentos[Conta no mês?],"sim",tbLancamentos[Mês],1,tbLancamentos[Ano],AnoSelecionado))</f>
        <v/>
      </c>
      <c r="D45" s="32">
        <f>IF($B45="",0,SUMIFS(tbLancamentos[Valor],tbLancamentos[Categoria],$B45,tbLancamentos[Tipo],"&lt;&gt;Receita",tbLancamentos[Conta no mês?],"sim",tbLancamentos[Mês],2,tbLancamentos[Ano],AnoSelecionado))</f>
        <v/>
      </c>
      <c r="E45" s="32">
        <f>IF($B45="",0,SUMIFS(tbLancamentos[Valor],tbLancamentos[Categoria],$B45,tbLancamentos[Tipo],"&lt;&gt;Receita",tbLancamentos[Conta no mês?],"sim",tbLancamentos[Mês],3,tbLancamentos[Ano],AnoSelecionado))</f>
        <v/>
      </c>
      <c r="F45" s="32">
        <f>IF($B45="",0,SUMIFS(tbLancamentos[Valor],tbLancamentos[Categoria],$B45,tbLancamentos[Tipo],"&lt;&gt;Receita",tbLancamentos[Conta no mês?],"sim",tbLancamentos[Mês],4,tbLancamentos[Ano],AnoSelecionado))</f>
        <v/>
      </c>
      <c r="G45" s="32">
        <f>IF($B45="",0,SUMIFS(tbLancamentos[Valor],tbLancamentos[Categoria],$B45,tbLancamentos[Tipo],"&lt;&gt;Receita",tbLancamentos[Conta no mês?],"sim",tbLancamentos[Mês],5,tbLancamentos[Ano],AnoSelecionado))</f>
        <v/>
      </c>
      <c r="H45" s="32">
        <f>IF($B45="",0,SUMIFS(tbLancamentos[Valor],tbLancamentos[Categoria],$B45,tbLancamentos[Tipo],"&lt;&gt;Receita",tbLancamentos[Conta no mês?],"sim",tbLancamentos[Mês],6,tbLancamentos[Ano],AnoSelecionado))</f>
        <v/>
      </c>
      <c r="I45" s="32">
        <f>IF($B45="",0,SUMIFS(tbLancamentos[Valor],tbLancamentos[Categoria],$B45,tbLancamentos[Tipo],"&lt;&gt;Receita",tbLancamentos[Conta no mês?],"sim",tbLancamentos[Mês],7,tbLancamentos[Ano],AnoSelecionado))</f>
        <v/>
      </c>
      <c r="J45" s="32">
        <f>IF($B45="",0,SUMIFS(tbLancamentos[Valor],tbLancamentos[Categoria],$B45,tbLancamentos[Tipo],"&lt;&gt;Receita",tbLancamentos[Conta no mês?],"sim",tbLancamentos[Mês],8,tbLancamentos[Ano],AnoSelecionado))</f>
        <v/>
      </c>
      <c r="K45" s="32">
        <f>IF($B45="",0,SUMIFS(tbLancamentos[Valor],tbLancamentos[Categoria],$B45,tbLancamentos[Tipo],"&lt;&gt;Receita",tbLancamentos[Conta no mês?],"sim",tbLancamentos[Mês],9,tbLancamentos[Ano],AnoSelecionado))</f>
        <v/>
      </c>
      <c r="L45" s="32">
        <f>IF($B45="",0,SUMIFS(tbLancamentos[Valor],tbLancamentos[Categoria],$B45,tbLancamentos[Tipo],"&lt;&gt;Receita",tbLancamentos[Conta no mês?],"sim",tbLancamentos[Mês],10,tbLancamentos[Ano],AnoSelecionado))</f>
        <v/>
      </c>
      <c r="M45" s="32">
        <f>IF($B45="",0,SUMIFS(tbLancamentos[Valor],tbLancamentos[Categoria],$B45,tbLancamentos[Tipo],"&lt;&gt;Receita",tbLancamentos[Conta no mês?],"sim",tbLancamentos[Mês],11,tbLancamentos[Ano],AnoSelecionado))</f>
        <v/>
      </c>
      <c r="N45" s="32">
        <f>IF($B45="",0,SUMIFS(tbLancamentos[Valor],tbLancamentos[Categoria],$B45,tbLancamentos[Tipo],"&lt;&gt;Receita",tbLancamentos[Conta no mês?],"sim",tbLancamentos[Mês],12,tbLancamentos[Ano],AnoSelecionado))</f>
        <v/>
      </c>
      <c r="O45" s="32">
        <f>SUM(C45:N45)</f>
        <v/>
      </c>
      <c r="P45" s="32">
        <f>IF(Calc!$B$26&gt;0,O45/Calc!$B$26,0)</f>
        <v/>
      </c>
      <c r="Q45" s="110" t="n"/>
      <c r="R45" s="4" t="n"/>
    </row>
    <row r="46" ht="20" customHeight="1">
      <c r="A46" s="4" t="n"/>
      <c r="B46" s="19">
        <f>IF(13&lt;=Calc!$B$21,INDEX(Config!$D$6:$D$1000,13),"")</f>
        <v/>
      </c>
      <c r="C46" s="32">
        <f>IF($B46="",0,SUMIFS(tbLancamentos[Valor],tbLancamentos[Categoria],$B46,tbLancamentos[Tipo],"&lt;&gt;Receita",tbLancamentos[Conta no mês?],"sim",tbLancamentos[Mês],1,tbLancamentos[Ano],AnoSelecionado))</f>
        <v/>
      </c>
      <c r="D46" s="32">
        <f>IF($B46="",0,SUMIFS(tbLancamentos[Valor],tbLancamentos[Categoria],$B46,tbLancamentos[Tipo],"&lt;&gt;Receita",tbLancamentos[Conta no mês?],"sim",tbLancamentos[Mês],2,tbLancamentos[Ano],AnoSelecionado))</f>
        <v/>
      </c>
      <c r="E46" s="32">
        <f>IF($B46="",0,SUMIFS(tbLancamentos[Valor],tbLancamentos[Categoria],$B46,tbLancamentos[Tipo],"&lt;&gt;Receita",tbLancamentos[Conta no mês?],"sim",tbLancamentos[Mês],3,tbLancamentos[Ano],AnoSelecionado))</f>
        <v/>
      </c>
      <c r="F46" s="32">
        <f>IF($B46="",0,SUMIFS(tbLancamentos[Valor],tbLancamentos[Categoria],$B46,tbLancamentos[Tipo],"&lt;&gt;Receita",tbLancamentos[Conta no mês?],"sim",tbLancamentos[Mês],4,tbLancamentos[Ano],AnoSelecionado))</f>
        <v/>
      </c>
      <c r="G46" s="32">
        <f>IF($B46="",0,SUMIFS(tbLancamentos[Valor],tbLancamentos[Categoria],$B46,tbLancamentos[Tipo],"&lt;&gt;Receita",tbLancamentos[Conta no mês?],"sim",tbLancamentos[Mês],5,tbLancamentos[Ano],AnoSelecionado))</f>
        <v/>
      </c>
      <c r="H46" s="32">
        <f>IF($B46="",0,SUMIFS(tbLancamentos[Valor],tbLancamentos[Categoria],$B46,tbLancamentos[Tipo],"&lt;&gt;Receita",tbLancamentos[Conta no mês?],"sim",tbLancamentos[Mês],6,tbLancamentos[Ano],AnoSelecionado))</f>
        <v/>
      </c>
      <c r="I46" s="32">
        <f>IF($B46="",0,SUMIFS(tbLancamentos[Valor],tbLancamentos[Categoria],$B46,tbLancamentos[Tipo],"&lt;&gt;Receita",tbLancamentos[Conta no mês?],"sim",tbLancamentos[Mês],7,tbLancamentos[Ano],AnoSelecionado))</f>
        <v/>
      </c>
      <c r="J46" s="32">
        <f>IF($B46="",0,SUMIFS(tbLancamentos[Valor],tbLancamentos[Categoria],$B46,tbLancamentos[Tipo],"&lt;&gt;Receita",tbLancamentos[Conta no mês?],"sim",tbLancamentos[Mês],8,tbLancamentos[Ano],AnoSelecionado))</f>
        <v/>
      </c>
      <c r="K46" s="32">
        <f>IF($B46="",0,SUMIFS(tbLancamentos[Valor],tbLancamentos[Categoria],$B46,tbLancamentos[Tipo],"&lt;&gt;Receita",tbLancamentos[Conta no mês?],"sim",tbLancamentos[Mês],9,tbLancamentos[Ano],AnoSelecionado))</f>
        <v/>
      </c>
      <c r="L46" s="32">
        <f>IF($B46="",0,SUMIFS(tbLancamentos[Valor],tbLancamentos[Categoria],$B46,tbLancamentos[Tipo],"&lt;&gt;Receita",tbLancamentos[Conta no mês?],"sim",tbLancamentos[Mês],10,tbLancamentos[Ano],AnoSelecionado))</f>
        <v/>
      </c>
      <c r="M46" s="32">
        <f>IF($B46="",0,SUMIFS(tbLancamentos[Valor],tbLancamentos[Categoria],$B46,tbLancamentos[Tipo],"&lt;&gt;Receita",tbLancamentos[Conta no mês?],"sim",tbLancamentos[Mês],11,tbLancamentos[Ano],AnoSelecionado))</f>
        <v/>
      </c>
      <c r="N46" s="32">
        <f>IF($B46="",0,SUMIFS(tbLancamentos[Valor],tbLancamentos[Categoria],$B46,tbLancamentos[Tipo],"&lt;&gt;Receita",tbLancamentos[Conta no mês?],"sim",tbLancamentos[Mês],12,tbLancamentos[Ano],AnoSelecionado))</f>
        <v/>
      </c>
      <c r="O46" s="32">
        <f>SUM(C46:N46)</f>
        <v/>
      </c>
      <c r="P46" s="32">
        <f>IF(Calc!$B$26&gt;0,O46/Calc!$B$26,0)</f>
        <v/>
      </c>
      <c r="Q46" s="110" t="n"/>
      <c r="R46" s="4" t="n"/>
    </row>
    <row r="47" ht="20" customHeight="1">
      <c r="A47" s="4" t="n"/>
      <c r="B47" s="19">
        <f>IF(14&lt;=Calc!$B$21,INDEX(Config!$D$6:$D$1000,14),"")</f>
        <v/>
      </c>
      <c r="C47" s="32">
        <f>IF($B47="",0,SUMIFS(tbLancamentos[Valor],tbLancamentos[Categoria],$B47,tbLancamentos[Tipo],"&lt;&gt;Receita",tbLancamentos[Conta no mês?],"sim",tbLancamentos[Mês],1,tbLancamentos[Ano],AnoSelecionado))</f>
        <v/>
      </c>
      <c r="D47" s="32">
        <f>IF($B47="",0,SUMIFS(tbLancamentos[Valor],tbLancamentos[Categoria],$B47,tbLancamentos[Tipo],"&lt;&gt;Receita",tbLancamentos[Conta no mês?],"sim",tbLancamentos[Mês],2,tbLancamentos[Ano],AnoSelecionado))</f>
        <v/>
      </c>
      <c r="E47" s="32">
        <f>IF($B47="",0,SUMIFS(tbLancamentos[Valor],tbLancamentos[Categoria],$B47,tbLancamentos[Tipo],"&lt;&gt;Receita",tbLancamentos[Conta no mês?],"sim",tbLancamentos[Mês],3,tbLancamentos[Ano],AnoSelecionado))</f>
        <v/>
      </c>
      <c r="F47" s="32">
        <f>IF($B47="",0,SUMIFS(tbLancamentos[Valor],tbLancamentos[Categoria],$B47,tbLancamentos[Tipo],"&lt;&gt;Receita",tbLancamentos[Conta no mês?],"sim",tbLancamentos[Mês],4,tbLancamentos[Ano],AnoSelecionado))</f>
        <v/>
      </c>
      <c r="G47" s="32">
        <f>IF($B47="",0,SUMIFS(tbLancamentos[Valor],tbLancamentos[Categoria],$B47,tbLancamentos[Tipo],"&lt;&gt;Receita",tbLancamentos[Conta no mês?],"sim",tbLancamentos[Mês],5,tbLancamentos[Ano],AnoSelecionado))</f>
        <v/>
      </c>
      <c r="H47" s="32">
        <f>IF($B47="",0,SUMIFS(tbLancamentos[Valor],tbLancamentos[Categoria],$B47,tbLancamentos[Tipo],"&lt;&gt;Receita",tbLancamentos[Conta no mês?],"sim",tbLancamentos[Mês],6,tbLancamentos[Ano],AnoSelecionado))</f>
        <v/>
      </c>
      <c r="I47" s="32">
        <f>IF($B47="",0,SUMIFS(tbLancamentos[Valor],tbLancamentos[Categoria],$B47,tbLancamentos[Tipo],"&lt;&gt;Receita",tbLancamentos[Conta no mês?],"sim",tbLancamentos[Mês],7,tbLancamentos[Ano],AnoSelecionado))</f>
        <v/>
      </c>
      <c r="J47" s="32">
        <f>IF($B47="",0,SUMIFS(tbLancamentos[Valor],tbLancamentos[Categoria],$B47,tbLancamentos[Tipo],"&lt;&gt;Receita",tbLancamentos[Conta no mês?],"sim",tbLancamentos[Mês],8,tbLancamentos[Ano],AnoSelecionado))</f>
        <v/>
      </c>
      <c r="K47" s="32">
        <f>IF($B47="",0,SUMIFS(tbLancamentos[Valor],tbLancamentos[Categoria],$B47,tbLancamentos[Tipo],"&lt;&gt;Receita",tbLancamentos[Conta no mês?],"sim",tbLancamentos[Mês],9,tbLancamentos[Ano],AnoSelecionado))</f>
        <v/>
      </c>
      <c r="L47" s="32">
        <f>IF($B47="",0,SUMIFS(tbLancamentos[Valor],tbLancamentos[Categoria],$B47,tbLancamentos[Tipo],"&lt;&gt;Receita",tbLancamentos[Conta no mês?],"sim",tbLancamentos[Mês],10,tbLancamentos[Ano],AnoSelecionado))</f>
        <v/>
      </c>
      <c r="M47" s="32">
        <f>IF($B47="",0,SUMIFS(tbLancamentos[Valor],tbLancamentos[Categoria],$B47,tbLancamentos[Tipo],"&lt;&gt;Receita",tbLancamentos[Conta no mês?],"sim",tbLancamentos[Mês],11,tbLancamentos[Ano],AnoSelecionado))</f>
        <v/>
      </c>
      <c r="N47" s="32">
        <f>IF($B47="",0,SUMIFS(tbLancamentos[Valor],tbLancamentos[Categoria],$B47,tbLancamentos[Tipo],"&lt;&gt;Receita",tbLancamentos[Conta no mês?],"sim",tbLancamentos[Mês],12,tbLancamentos[Ano],AnoSelecionado))</f>
        <v/>
      </c>
      <c r="O47" s="32">
        <f>SUM(C47:N47)</f>
        <v/>
      </c>
      <c r="P47" s="32">
        <f>IF(Calc!$B$26&gt;0,O47/Calc!$B$26,0)</f>
        <v/>
      </c>
      <c r="Q47" s="110" t="n"/>
      <c r="R47" s="4" t="n"/>
    </row>
    <row r="48" ht="20" customHeight="1">
      <c r="A48" s="4" t="n"/>
      <c r="B48" s="19">
        <f>IF(15&lt;=Calc!$B$21,INDEX(Config!$D$6:$D$1000,15),"")</f>
        <v/>
      </c>
      <c r="C48" s="32">
        <f>IF($B48="",0,SUMIFS(tbLancamentos[Valor],tbLancamentos[Categoria],$B48,tbLancamentos[Tipo],"&lt;&gt;Receita",tbLancamentos[Conta no mês?],"sim",tbLancamentos[Mês],1,tbLancamentos[Ano],AnoSelecionado))</f>
        <v/>
      </c>
      <c r="D48" s="32">
        <f>IF($B48="",0,SUMIFS(tbLancamentos[Valor],tbLancamentos[Categoria],$B48,tbLancamentos[Tipo],"&lt;&gt;Receita",tbLancamentos[Conta no mês?],"sim",tbLancamentos[Mês],2,tbLancamentos[Ano],AnoSelecionado))</f>
        <v/>
      </c>
      <c r="E48" s="32">
        <f>IF($B48="",0,SUMIFS(tbLancamentos[Valor],tbLancamentos[Categoria],$B48,tbLancamentos[Tipo],"&lt;&gt;Receita",tbLancamentos[Conta no mês?],"sim",tbLancamentos[Mês],3,tbLancamentos[Ano],AnoSelecionado))</f>
        <v/>
      </c>
      <c r="F48" s="32">
        <f>IF($B48="",0,SUMIFS(tbLancamentos[Valor],tbLancamentos[Categoria],$B48,tbLancamentos[Tipo],"&lt;&gt;Receita",tbLancamentos[Conta no mês?],"sim",tbLancamentos[Mês],4,tbLancamentos[Ano],AnoSelecionado))</f>
        <v/>
      </c>
      <c r="G48" s="32">
        <f>IF($B48="",0,SUMIFS(tbLancamentos[Valor],tbLancamentos[Categoria],$B48,tbLancamentos[Tipo],"&lt;&gt;Receita",tbLancamentos[Conta no mês?],"sim",tbLancamentos[Mês],5,tbLancamentos[Ano],AnoSelecionado))</f>
        <v/>
      </c>
      <c r="H48" s="32">
        <f>IF($B48="",0,SUMIFS(tbLancamentos[Valor],tbLancamentos[Categoria],$B48,tbLancamentos[Tipo],"&lt;&gt;Receita",tbLancamentos[Conta no mês?],"sim",tbLancamentos[Mês],6,tbLancamentos[Ano],AnoSelecionado))</f>
        <v/>
      </c>
      <c r="I48" s="32">
        <f>IF($B48="",0,SUMIFS(tbLancamentos[Valor],tbLancamentos[Categoria],$B48,tbLancamentos[Tipo],"&lt;&gt;Receita",tbLancamentos[Conta no mês?],"sim",tbLancamentos[Mês],7,tbLancamentos[Ano],AnoSelecionado))</f>
        <v/>
      </c>
      <c r="J48" s="32">
        <f>IF($B48="",0,SUMIFS(tbLancamentos[Valor],tbLancamentos[Categoria],$B48,tbLancamentos[Tipo],"&lt;&gt;Receita",tbLancamentos[Conta no mês?],"sim",tbLancamentos[Mês],8,tbLancamentos[Ano],AnoSelecionado))</f>
        <v/>
      </c>
      <c r="K48" s="32">
        <f>IF($B48="",0,SUMIFS(tbLancamentos[Valor],tbLancamentos[Categoria],$B48,tbLancamentos[Tipo],"&lt;&gt;Receita",tbLancamentos[Conta no mês?],"sim",tbLancamentos[Mês],9,tbLancamentos[Ano],AnoSelecionado))</f>
        <v/>
      </c>
      <c r="L48" s="32">
        <f>IF($B48="",0,SUMIFS(tbLancamentos[Valor],tbLancamentos[Categoria],$B48,tbLancamentos[Tipo],"&lt;&gt;Receita",tbLancamentos[Conta no mês?],"sim",tbLancamentos[Mês],10,tbLancamentos[Ano],AnoSelecionado))</f>
        <v/>
      </c>
      <c r="M48" s="32">
        <f>IF($B48="",0,SUMIFS(tbLancamentos[Valor],tbLancamentos[Categoria],$B48,tbLancamentos[Tipo],"&lt;&gt;Receita",tbLancamentos[Conta no mês?],"sim",tbLancamentos[Mês],11,tbLancamentos[Ano],AnoSelecionado))</f>
        <v/>
      </c>
      <c r="N48" s="32">
        <f>IF($B48="",0,SUMIFS(tbLancamentos[Valor],tbLancamentos[Categoria],$B48,tbLancamentos[Tipo],"&lt;&gt;Receita",tbLancamentos[Conta no mês?],"sim",tbLancamentos[Mês],12,tbLancamentos[Ano],AnoSelecionado))</f>
        <v/>
      </c>
      <c r="O48" s="32">
        <f>SUM(C48:N48)</f>
        <v/>
      </c>
      <c r="P48" s="32">
        <f>IF(Calc!$B$26&gt;0,O48/Calc!$B$26,0)</f>
        <v/>
      </c>
      <c r="Q48" s="110" t="n"/>
      <c r="R48" s="4" t="n"/>
    </row>
    <row r="49">
      <c r="A49" s="4" t="n"/>
      <c r="B49" s="116" t="inlineStr">
        <is>
          <t>Total de gastos</t>
        </is>
      </c>
      <c r="C49" s="117">
        <f>SUM(C34:C48)</f>
        <v/>
      </c>
      <c r="D49" s="117">
        <f>SUM(D34:D48)</f>
        <v/>
      </c>
      <c r="E49" s="117">
        <f>SUM(E34:E48)</f>
        <v/>
      </c>
      <c r="F49" s="117">
        <f>SUM(F34:F48)</f>
        <v/>
      </c>
      <c r="G49" s="117">
        <f>SUM(G34:G48)</f>
        <v/>
      </c>
      <c r="H49" s="117">
        <f>SUM(H34:H48)</f>
        <v/>
      </c>
      <c r="I49" s="117">
        <f>SUM(I34:I48)</f>
        <v/>
      </c>
      <c r="J49" s="117">
        <f>SUM(J34:J48)</f>
        <v/>
      </c>
      <c r="K49" s="117">
        <f>SUM(K34:K48)</f>
        <v/>
      </c>
      <c r="L49" s="117">
        <f>SUM(L34:L48)</f>
        <v/>
      </c>
      <c r="M49" s="117">
        <f>SUM(M34:M48)</f>
        <v/>
      </c>
      <c r="N49" s="117">
        <f>SUM(N34:N48)</f>
        <v/>
      </c>
      <c r="O49" s="117">
        <f>SUM(O34:O48)</f>
        <v/>
      </c>
      <c r="P49" s="117">
        <f>IF(Calc!$B$26&gt;0,O49/Calc!$B$26,0)</f>
        <v/>
      </c>
      <c r="Q49" s="118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19" t="inlineStr">
        <is>
          <t>Saldo do mês</t>
        </is>
      </c>
      <c r="C51" s="120">
        <f>C31-C49</f>
        <v/>
      </c>
      <c r="D51" s="120">
        <f>D31-D49</f>
        <v/>
      </c>
      <c r="E51" s="120">
        <f>E31-E49</f>
        <v/>
      </c>
      <c r="F51" s="120">
        <f>F31-F49</f>
        <v/>
      </c>
      <c r="G51" s="120">
        <f>G31-G49</f>
        <v/>
      </c>
      <c r="H51" s="120">
        <f>H31-H49</f>
        <v/>
      </c>
      <c r="I51" s="120">
        <f>I31-I49</f>
        <v/>
      </c>
      <c r="J51" s="120">
        <f>J31-J49</f>
        <v/>
      </c>
      <c r="K51" s="120">
        <f>K31-K49</f>
        <v/>
      </c>
      <c r="L51" s="120">
        <f>L31-L49</f>
        <v/>
      </c>
      <c r="M51" s="120">
        <f>M31-M49</f>
        <v/>
      </c>
      <c r="N51" s="120">
        <f>N31-N49</f>
        <v/>
      </c>
      <c r="O51" s="120">
        <f>O31-O49</f>
        <v/>
      </c>
      <c r="P51" s="120">
        <f>P31-P49</f>
        <v/>
      </c>
      <c r="Q51" s="121" t="n"/>
      <c r="R51" s="4" t="n"/>
    </row>
    <row r="52">
      <c r="A52" s="4" t="n"/>
      <c r="B52" s="122" t="inlineStr">
        <is>
          <t>Taxa de poupança</t>
        </is>
      </c>
      <c r="C52" s="123">
        <f>IF(C31&gt;0,C51/C31,0)</f>
        <v/>
      </c>
      <c r="D52" s="123">
        <f>IF(D31&gt;0,D51/D31,0)</f>
        <v/>
      </c>
      <c r="E52" s="123">
        <f>IF(E31&gt;0,E51/E31,0)</f>
        <v/>
      </c>
      <c r="F52" s="123">
        <f>IF(F31&gt;0,F51/F31,0)</f>
        <v/>
      </c>
      <c r="G52" s="123">
        <f>IF(G31&gt;0,G51/G31,0)</f>
        <v/>
      </c>
      <c r="H52" s="123">
        <f>IF(H31&gt;0,H51/H31,0)</f>
        <v/>
      </c>
      <c r="I52" s="123">
        <f>IF(I31&gt;0,I51/I31,0)</f>
        <v/>
      </c>
      <c r="J52" s="123">
        <f>IF(J31&gt;0,J51/J31,0)</f>
        <v/>
      </c>
      <c r="K52" s="123">
        <f>IF(K31&gt;0,K51/K31,0)</f>
        <v/>
      </c>
      <c r="L52" s="123">
        <f>IF(L31&gt;0,L51/L31,0)</f>
        <v/>
      </c>
      <c r="M52" s="123">
        <f>IF(M31&gt;0,M51/M31,0)</f>
        <v/>
      </c>
      <c r="N52" s="123">
        <f>IF(N31&gt;0,N51/N31,0)</f>
        <v/>
      </c>
      <c r="O52" s="123">
        <f>IF(O31&gt;0,O51/O31,0)</f>
        <v/>
      </c>
      <c r="P52" s="123" t="n"/>
      <c r="Q52" s="124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3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25" t="inlineStr">
        <is>
          <t>Receitas</t>
        </is>
      </c>
      <c r="D56" s="125" t="inlineStr">
        <is>
          <t>Despesa</t>
        </is>
      </c>
      <c r="E56" s="125" t="inlineStr">
        <is>
          <t>Resultado</t>
        </is>
      </c>
      <c r="F56" s="125" t="inlineStr">
        <is>
          <t>Aporte</t>
        </is>
      </c>
      <c r="G56" s="125" t="inlineStr">
        <is>
          <t>Resgate</t>
        </is>
      </c>
      <c r="H56" s="125" t="inlineStr">
        <is>
          <t>Saldo livre</t>
        </is>
      </c>
      <c r="I56" s="125" t="inlineStr">
        <is>
          <t>% comprometido</t>
        </is>
      </c>
      <c r="J56" s="125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26" t="n">
        <v>46113</v>
      </c>
      <c r="C57" s="32">
        <f>SUMIFS(tbLancamentos[Valor],tbLancamentos[Tipo],"Receita",tbLancamentos[Conta no mês?],"sim",tbLancamentos[Mês],MONTH($B57),tbLancamentos[Ano],YEAR($B57))</f>
        <v/>
      </c>
      <c r="D57" s="32">
        <f>SUMIFS(tbLancamentos[Valor],tbLancamentos[Tipo],"Despesa",tbLancamentos[Conta no mês?],"sim",tbLancamentos[Mês],MONTH($B57),tbLancamentos[Ano],YEAR($B57))</f>
        <v/>
      </c>
      <c r="E57" s="127">
        <f>C57-D57</f>
        <v/>
      </c>
      <c r="F57" s="32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2">
        <f>SUMPRODUCT((YEAR(tbInvestimentos[Data])=YEAR($B57))*(MONTH(tbInvestimentos[Data])=MONTH($B57))*(tbInvestimentos[Aplicado]&lt;0)*(-tbInvestimentos[Aplicado]))</f>
        <v/>
      </c>
      <c r="H57" s="127">
        <f>E57-F57+G57</f>
        <v/>
      </c>
      <c r="I57" s="26">
        <f>IF(C57&gt;0,D57/C57,0)</f>
        <v/>
      </c>
      <c r="J57" s="128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26" t="n">
        <v>46143</v>
      </c>
      <c r="C58" s="32">
        <f>SUMIFS(tbLancamentos[Valor],tbLancamentos[Tipo],"Receita",tbLancamentos[Conta no mês?],"sim",tbLancamentos[Mês],MONTH($B58),tbLancamentos[Ano],YEAR($B58))</f>
        <v/>
      </c>
      <c r="D58" s="32">
        <f>SUMIFS(tbLancamentos[Valor],tbLancamentos[Tipo],"Despesa",tbLancamentos[Conta no mês?],"sim",tbLancamentos[Mês],MONTH($B58),tbLancamentos[Ano],YEAR($B58))</f>
        <v/>
      </c>
      <c r="E58" s="127">
        <f>C58-D58</f>
        <v/>
      </c>
      <c r="F58" s="32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2">
        <f>SUMPRODUCT((YEAR(tbInvestimentos[Data])=YEAR($B58))*(MONTH(tbInvestimentos[Data])=MONTH($B58))*(tbInvestimentos[Aplicado]&lt;0)*(-tbInvestimentos[Aplicado]))</f>
        <v/>
      </c>
      <c r="H58" s="127">
        <f>E58-F58+G58</f>
        <v/>
      </c>
      <c r="I58" s="26">
        <f>IF(C58&gt;0,D58/C58,0)</f>
        <v/>
      </c>
      <c r="J58" s="128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26" t="n">
        <v>46174</v>
      </c>
      <c r="C59" s="32">
        <f>SUMIFS(tbLancamentos[Valor],tbLancamentos[Tipo],"Receita",tbLancamentos[Conta no mês?],"sim",tbLancamentos[Mês],MONTH($B59),tbLancamentos[Ano],YEAR($B59))</f>
        <v/>
      </c>
      <c r="D59" s="32">
        <f>SUMIFS(tbLancamentos[Valor],tbLancamentos[Tipo],"Despesa",tbLancamentos[Conta no mês?],"sim",tbLancamentos[Mês],MONTH($B59),tbLancamentos[Ano],YEAR($B59))</f>
        <v/>
      </c>
      <c r="E59" s="127">
        <f>C59-D59</f>
        <v/>
      </c>
      <c r="F59" s="32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2">
        <f>SUMPRODUCT((YEAR(tbInvestimentos[Data])=YEAR($B59))*(MONTH(tbInvestimentos[Data])=MONTH($B59))*(tbInvestimentos[Aplicado]&lt;0)*(-tbInvestimentos[Aplicado]))</f>
        <v/>
      </c>
      <c r="H59" s="127">
        <f>E59-F59+G59</f>
        <v/>
      </c>
      <c r="I59" s="26">
        <f>IF(C59&gt;0,D59/C59,0)</f>
        <v/>
      </c>
      <c r="J59" s="128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26" t="n">
        <v>46204</v>
      </c>
      <c r="C60" s="32">
        <f>SUMIFS(tbLancamentos[Valor],tbLancamentos[Tipo],"Receita",tbLancamentos[Conta no mês?],"sim",tbLancamentos[Mês],MONTH($B60),tbLancamentos[Ano],YEAR($B60))</f>
        <v/>
      </c>
      <c r="D60" s="32">
        <f>SUMIFS(tbLancamentos[Valor],tbLancamentos[Tipo],"Despesa",tbLancamentos[Conta no mês?],"sim",tbLancamentos[Mês],MONTH($B60),tbLancamentos[Ano],YEAR($B60))</f>
        <v/>
      </c>
      <c r="E60" s="127">
        <f>C60-D60</f>
        <v/>
      </c>
      <c r="F60" s="32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2">
        <f>SUMPRODUCT((YEAR(tbInvestimentos[Data])=YEAR($B60))*(MONTH(tbInvestimentos[Data])=MONTH($B60))*(tbInvestimentos[Aplicado]&lt;0)*(-tbInvestimentos[Aplicado]))</f>
        <v/>
      </c>
      <c r="H60" s="127">
        <f>E60-F60+G60</f>
        <v/>
      </c>
      <c r="I60" s="26">
        <f>IF(C60&gt;0,D60/C60,0)</f>
        <v/>
      </c>
      <c r="J60" s="128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26" t="n">
        <v>46235</v>
      </c>
      <c r="C61" s="32">
        <f>SUMIFS(tbLancamentos[Valor],tbLancamentos[Tipo],"Receita",tbLancamentos[Conta no mês?],"sim",tbLancamentos[Mês],MONTH($B61),tbLancamentos[Ano],YEAR($B61))</f>
        <v/>
      </c>
      <c r="D61" s="32">
        <f>SUMIFS(tbLancamentos[Valor],tbLancamentos[Tipo],"Despesa",tbLancamentos[Conta no mês?],"sim",tbLancamentos[Mês],MONTH($B61),tbLancamentos[Ano],YEAR($B61))</f>
        <v/>
      </c>
      <c r="E61" s="127">
        <f>C61-D61</f>
        <v/>
      </c>
      <c r="F61" s="32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2">
        <f>SUMPRODUCT((YEAR(tbInvestimentos[Data])=YEAR($B61))*(MONTH(tbInvestimentos[Data])=MONTH($B61))*(tbInvestimentos[Aplicado]&lt;0)*(-tbInvestimentos[Aplicado]))</f>
        <v/>
      </c>
      <c r="H61" s="127">
        <f>E61-F61+G61</f>
        <v/>
      </c>
      <c r="I61" s="26">
        <f>IF(C61&gt;0,D61/C61,0)</f>
        <v/>
      </c>
      <c r="J61" s="128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26" t="n">
        <v>46266</v>
      </c>
      <c r="C62" s="32">
        <f>SUMIFS(tbLancamentos[Valor],tbLancamentos[Tipo],"Receita",tbLancamentos[Conta no mês?],"sim",tbLancamentos[Mês],MONTH($B62),tbLancamentos[Ano],YEAR($B62))</f>
        <v/>
      </c>
      <c r="D62" s="32">
        <f>SUMIFS(tbLancamentos[Valor],tbLancamentos[Tipo],"Despesa",tbLancamentos[Conta no mês?],"sim",tbLancamentos[Mês],MONTH($B62),tbLancamentos[Ano],YEAR($B62))</f>
        <v/>
      </c>
      <c r="E62" s="127">
        <f>C62-D62</f>
        <v/>
      </c>
      <c r="F62" s="32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2">
        <f>SUMPRODUCT((YEAR(tbInvestimentos[Data])=YEAR($B62))*(MONTH(tbInvestimentos[Data])=MONTH($B62))*(tbInvestimentos[Aplicado]&lt;0)*(-tbInvestimentos[Aplicado]))</f>
        <v/>
      </c>
      <c r="H62" s="127">
        <f>E62-F62+G62</f>
        <v/>
      </c>
      <c r="I62" s="26">
        <f>IF(C62&gt;0,D62/C62,0)</f>
        <v/>
      </c>
      <c r="J62" s="128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26" t="n">
        <v>46296</v>
      </c>
      <c r="C63" s="32">
        <f>SUMIFS(tbLancamentos[Valor],tbLancamentos[Tipo],"Receita",tbLancamentos[Conta no mês?],"sim",tbLancamentos[Mês],MONTH($B63),tbLancamentos[Ano],YEAR($B63))</f>
        <v/>
      </c>
      <c r="D63" s="32">
        <f>SUMIFS(tbLancamentos[Valor],tbLancamentos[Tipo],"Despesa",tbLancamentos[Conta no mês?],"sim",tbLancamentos[Mês],MONTH($B63),tbLancamentos[Ano],YEAR($B63))</f>
        <v/>
      </c>
      <c r="E63" s="127">
        <f>C63-D63</f>
        <v/>
      </c>
      <c r="F63" s="32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2">
        <f>SUMPRODUCT((YEAR(tbInvestimentos[Data])=YEAR($B63))*(MONTH(tbInvestimentos[Data])=MONTH($B63))*(tbInvestimentos[Aplicado]&lt;0)*(-tbInvestimentos[Aplicado]))</f>
        <v/>
      </c>
      <c r="H63" s="127">
        <f>E63-F63+G63</f>
        <v/>
      </c>
      <c r="I63" s="26">
        <f>IF(C63&gt;0,D63/C63,0)</f>
        <v/>
      </c>
      <c r="J63" s="128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26" t="n">
        <v>46327</v>
      </c>
      <c r="C64" s="32">
        <f>SUMIFS(tbLancamentos[Valor],tbLancamentos[Tipo],"Receita",tbLancamentos[Conta no mês?],"sim",tbLancamentos[Mês],MONTH($B64),tbLancamentos[Ano],YEAR($B64))</f>
        <v/>
      </c>
      <c r="D64" s="32">
        <f>SUMIFS(tbLancamentos[Valor],tbLancamentos[Tipo],"Despesa",tbLancamentos[Conta no mês?],"sim",tbLancamentos[Mês],MONTH($B64),tbLancamentos[Ano],YEAR($B64))</f>
        <v/>
      </c>
      <c r="E64" s="127">
        <f>C64-D64</f>
        <v/>
      </c>
      <c r="F64" s="32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2">
        <f>SUMPRODUCT((YEAR(tbInvestimentos[Data])=YEAR($B64))*(MONTH(tbInvestimentos[Data])=MONTH($B64))*(tbInvestimentos[Aplicado]&lt;0)*(-tbInvestimentos[Aplicado]))</f>
        <v/>
      </c>
      <c r="H64" s="127">
        <f>E64-F64+G64</f>
        <v/>
      </c>
      <c r="I64" s="26">
        <f>IF(C64&gt;0,D64/C64,0)</f>
        <v/>
      </c>
      <c r="J64" s="128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29" t="n">
        <v>46357</v>
      </c>
      <c r="C65" s="130">
        <f>SUMIFS(tbLancamentos[Valor],tbLancamentos[Tipo],"Receita",tbLancamentos[Conta no mês?],"sim",tbLancamentos[Mês],MONTH($B65),tbLancamentos[Ano],YEAR($B65))</f>
        <v/>
      </c>
      <c r="D65" s="130">
        <f>SUMIFS(tbLancamentos[Valor],tbLancamentos[Tipo],"Despesa",tbLancamentos[Conta no mês?],"sim",tbLancamentos[Mês],MONTH($B65),tbLancamentos[Ano],YEAR($B65))</f>
        <v/>
      </c>
      <c r="E65" s="131">
        <f>C65-D65</f>
        <v/>
      </c>
      <c r="F65" s="130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30">
        <f>SUMPRODUCT((YEAR(tbInvestimentos[Data])=YEAR($B65))*(MONTH(tbInvestimentos[Data])=MONTH($B65))*(tbInvestimentos[Aplicado]&lt;0)*(-tbInvestimentos[Aplicado]))</f>
        <v/>
      </c>
      <c r="H65" s="131">
        <f>E65-F65+G65</f>
        <v/>
      </c>
      <c r="I65" s="132">
        <f>IF(C65&gt;0,D65/C65,0)</f>
        <v/>
      </c>
      <c r="J65" s="133" t="n"/>
      <c r="K65" s="4" t="n"/>
      <c r="L65" s="4" t="n"/>
      <c r="M65" s="4" t="n"/>
      <c r="N65" s="4" t="n"/>
      <c r="O65" s="4" t="n"/>
      <c r="P65" s="4" t="n"/>
      <c r="Q65" s="4" t="n"/>
      <c r="R65" s="4" t="n"/>
    </row>
    <row r="66" ht="20" customHeight="1">
      <c r="A66" s="4" t="n"/>
      <c r="B66" s="126" t="n">
        <v>46388</v>
      </c>
      <c r="C66" s="32">
        <f>SUMIFS(tbLancamentos[Valor],tbLancamentos[Tipo],"Receita",tbLancamentos[Conta no mês?],"sim",tbLancamentos[Mês],MONTH($B66),tbLancamentos[Ano],YEAR($B66))</f>
        <v/>
      </c>
      <c r="D66" s="32">
        <f>SUMIFS(tbLancamentos[Valor],tbLancamentos[Tipo],"Despesa",tbLancamentos[Conta no mês?],"sim",tbLancamentos[Mês],MONTH($B66),tbLancamentos[Ano],YEAR($B66))</f>
        <v/>
      </c>
      <c r="E66" s="127">
        <f>C66-D66</f>
        <v/>
      </c>
      <c r="F66" s="32">
        <f>SUMPRODUCT((YEAR(tbInvestimentos[Data])=YEAR($B66))*(MONTH(tbInvestimentos[Data])=MONTH($B66))*(tbInvestimentos[Aplicado]&gt;0)*ISERROR(SEARCH("reaplica",tbInvestimentos[Observação]))*ISERROR(SEARCH("correção",tbInvestimentos[Observação]))*tbInvestimentos[Aplicado])</f>
        <v/>
      </c>
      <c r="G66" s="32">
        <f>SUMPRODUCT((YEAR(tbInvestimentos[Data])=YEAR($B66))*(MONTH(tbInvestimentos[Data])=MONTH($B66))*(tbInvestimentos[Aplicado]&lt;0)*(-tbInvestimentos[Aplicado]))</f>
        <v/>
      </c>
      <c r="H66" s="127">
        <f>E66-F66+G66</f>
        <v/>
      </c>
      <c r="I66" s="26">
        <f>IF(C66&gt;0,D66/C66,0)</f>
        <v/>
      </c>
      <c r="J66" s="128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20" customHeight="1">
      <c r="A67" s="4" t="n"/>
      <c r="B67" s="126" t="n">
        <v>46419</v>
      </c>
      <c r="C67" s="32">
        <f>SUMIFS(tbLancamentos[Valor],tbLancamentos[Tipo],"Receita",tbLancamentos[Conta no mês?],"sim",tbLancamentos[Mês],MONTH($B67),tbLancamentos[Ano],YEAR($B67))</f>
        <v/>
      </c>
      <c r="D67" s="32">
        <f>SUMIFS(tbLancamentos[Valor],tbLancamentos[Tipo],"Despesa",tbLancamentos[Conta no mês?],"sim",tbLancamentos[Mês],MONTH($B67),tbLancamentos[Ano],YEAR($B67))</f>
        <v/>
      </c>
      <c r="E67" s="127">
        <f>C67-D67</f>
        <v/>
      </c>
      <c r="F67" s="32">
        <f>SUMPRODUCT((YEAR(tbInvestimentos[Data])=YEAR($B67))*(MONTH(tbInvestimentos[Data])=MONTH($B67))*(tbInvestimentos[Aplicado]&gt;0)*ISERROR(SEARCH("reaplica",tbInvestimentos[Observação]))*ISERROR(SEARCH("correção",tbInvestimentos[Observação]))*tbInvestimentos[Aplicado])</f>
        <v/>
      </c>
      <c r="G67" s="32">
        <f>SUMPRODUCT((YEAR(tbInvestimentos[Data])=YEAR($B67))*(MONTH(tbInvestimentos[Data])=MONTH($B67))*(tbInvestimentos[Aplicado]&lt;0)*(-tbInvestimentos[Aplicado]))</f>
        <v/>
      </c>
      <c r="H67" s="127">
        <f>E67-F67+G67</f>
        <v/>
      </c>
      <c r="I67" s="26">
        <f>IF(C67&gt;0,D67/C67,0)</f>
        <v/>
      </c>
      <c r="J67" s="128" t="n"/>
      <c r="K67" s="4" t="n"/>
      <c r="L67" s="4" t="n"/>
      <c r="M67" s="4" t="n"/>
      <c r="N67" s="4" t="n"/>
      <c r="O67" s="4" t="n"/>
      <c r="P67" s="4" t="n"/>
      <c r="Q67" s="4" t="n"/>
      <c r="R67" s="4" t="n"/>
    </row>
    <row r="68" ht="20" customHeight="1">
      <c r="A68" s="4" t="n"/>
      <c r="B68" s="126" t="n">
        <v>46447</v>
      </c>
      <c r="C68" s="32">
        <f>SUMIFS(tbLancamentos[Valor],tbLancamentos[Tipo],"Receita",tbLancamentos[Conta no mês?],"sim",tbLancamentos[Mês],MONTH($B68),tbLancamentos[Ano],YEAR($B68))</f>
        <v/>
      </c>
      <c r="D68" s="32">
        <f>SUMIFS(tbLancamentos[Valor],tbLancamentos[Tipo],"Despesa",tbLancamentos[Conta no mês?],"sim",tbLancamentos[Mês],MONTH($B68),tbLancamentos[Ano],YEAR($B68))</f>
        <v/>
      </c>
      <c r="E68" s="127">
        <f>C68-D68</f>
        <v/>
      </c>
      <c r="F68" s="32">
        <f>SUMPRODUCT((YEAR(tbInvestimentos[Data])=YEAR($B68))*(MONTH(tbInvestimentos[Data])=MONTH($B68))*(tbInvestimentos[Aplicado]&gt;0)*ISERROR(SEARCH("reaplica",tbInvestimentos[Observação]))*ISERROR(SEARCH("correção",tbInvestimentos[Observação]))*tbInvestimentos[Aplicado])</f>
        <v/>
      </c>
      <c r="G68" s="32">
        <f>SUMPRODUCT((YEAR(tbInvestimentos[Data])=YEAR($B68))*(MONTH(tbInvestimentos[Data])=MONTH($B68))*(tbInvestimentos[Aplicado]&lt;0)*(-tbInvestimentos[Aplicado]))</f>
        <v/>
      </c>
      <c r="H68" s="127">
        <f>E68-F68+G68</f>
        <v/>
      </c>
      <c r="I68" s="26">
        <f>IF(C68&gt;0,D68/C68,0)</f>
        <v/>
      </c>
      <c r="J68" s="128" t="n"/>
      <c r="K68" s="4" t="n"/>
      <c r="L68" s="4" t="n"/>
      <c r="M68" s="4" t="n"/>
      <c r="N68" s="4" t="n"/>
      <c r="O68" s="4" t="n"/>
      <c r="P68" s="4" t="n"/>
      <c r="Q68" s="4" t="n"/>
      <c r="R68" s="4" t="n"/>
    </row>
    <row r="69" ht="20" customHeight="1">
      <c r="A69" s="4" t="n"/>
      <c r="B69" s="126" t="n">
        <v>46478</v>
      </c>
      <c r="C69" s="32">
        <f>SUMIFS(tbLancamentos[Valor],tbLancamentos[Tipo],"Receita",tbLancamentos[Conta no mês?],"sim",tbLancamentos[Mês],MONTH($B69),tbLancamentos[Ano],YEAR($B69))</f>
        <v/>
      </c>
      <c r="D69" s="32">
        <f>SUMIFS(tbLancamentos[Valor],tbLancamentos[Tipo],"Despesa",tbLancamentos[Conta no mês?],"sim",tbLancamentos[Mês],MONTH($B69),tbLancamentos[Ano],YEAR($B69))</f>
        <v/>
      </c>
      <c r="E69" s="127">
        <f>C69-D69</f>
        <v/>
      </c>
      <c r="F69" s="32">
        <f>SUMPRODUCT((YEAR(tbInvestimentos[Data])=YEAR($B69))*(MONTH(tbInvestimentos[Data])=MONTH($B69))*(tbInvestimentos[Aplicado]&gt;0)*ISERROR(SEARCH("reaplica",tbInvestimentos[Observação]))*ISERROR(SEARCH("correção",tbInvestimentos[Observação]))*tbInvestimentos[Aplicado])</f>
        <v/>
      </c>
      <c r="G69" s="32">
        <f>SUMPRODUCT((YEAR(tbInvestimentos[Data])=YEAR($B69))*(MONTH(tbInvestimentos[Data])=MONTH($B69))*(tbInvestimentos[Aplicado]&lt;0)*(-tbInvestimentos[Aplicado]))</f>
        <v/>
      </c>
      <c r="H69" s="127">
        <f>E69-F69+G69</f>
        <v/>
      </c>
      <c r="I69" s="26">
        <f>IF(C69&gt;0,D69/C69,0)</f>
        <v/>
      </c>
      <c r="J69" s="128" t="n"/>
      <c r="K69" s="4" t="n"/>
      <c r="L69" s="4" t="n"/>
      <c r="M69" s="4" t="n"/>
      <c r="N69" s="4" t="n"/>
      <c r="O69" s="4" t="n"/>
      <c r="P69" s="4" t="n"/>
      <c r="Q69" s="4" t="n"/>
      <c r="R69" s="4" t="n"/>
    </row>
    <row r="70" ht="20" customHeight="1">
      <c r="A70" s="4" t="n"/>
      <c r="B70" s="126" t="n">
        <v>46508</v>
      </c>
      <c r="C70" s="32">
        <f>SUMIFS(tbLancamentos[Valor],tbLancamentos[Tipo],"Receita",tbLancamentos[Conta no mês?],"sim",tbLancamentos[Mês],MONTH($B70),tbLancamentos[Ano],YEAR($B70))</f>
        <v/>
      </c>
      <c r="D70" s="32">
        <f>SUMIFS(tbLancamentos[Valor],tbLancamentos[Tipo],"Despesa",tbLancamentos[Conta no mês?],"sim",tbLancamentos[Mês],MONTH($B70),tbLancamentos[Ano],YEAR($B70))</f>
        <v/>
      </c>
      <c r="E70" s="127">
        <f>C70-D70</f>
        <v/>
      </c>
      <c r="F70" s="32">
        <f>SUMPRODUCT((YEAR(tbInvestimentos[Data])=YEAR($B70))*(MONTH(tbInvestimentos[Data])=MONTH($B70))*(tbInvestimentos[Aplicado]&gt;0)*ISERROR(SEARCH("reaplica",tbInvestimentos[Observação]))*ISERROR(SEARCH("correção",tbInvestimentos[Observação]))*tbInvestimentos[Aplicado])</f>
        <v/>
      </c>
      <c r="G70" s="32">
        <f>SUMPRODUCT((YEAR(tbInvestimentos[Data])=YEAR($B70))*(MONTH(tbInvestimentos[Data])=MONTH($B70))*(tbInvestimentos[Aplicado]&lt;0)*(-tbInvestimentos[Aplicado]))</f>
        <v/>
      </c>
      <c r="H70" s="127">
        <f>E70-F70+G70</f>
        <v/>
      </c>
      <c r="I70" s="26">
        <f>IF(C70&gt;0,D70/C70,0)</f>
        <v/>
      </c>
      <c r="J70" s="128" t="n"/>
      <c r="K70" s="4" t="n"/>
      <c r="L70" s="4" t="n"/>
      <c r="M70" s="4" t="n"/>
      <c r="N70" s="4" t="n"/>
      <c r="O70" s="4" t="n"/>
      <c r="P70" s="4" t="n"/>
      <c r="Q70" s="4" t="n"/>
      <c r="R70" s="4" t="n"/>
    </row>
    <row r="71" ht="20" customHeight="1">
      <c r="A71" s="4" t="n"/>
      <c r="B71" s="126" t="n">
        <v>46539</v>
      </c>
      <c r="C71" s="32">
        <f>SUMIFS(tbLancamentos[Valor],tbLancamentos[Tipo],"Receita",tbLancamentos[Conta no mês?],"sim",tbLancamentos[Mês],MONTH($B71),tbLancamentos[Ano],YEAR($B71))</f>
        <v/>
      </c>
      <c r="D71" s="32">
        <f>SUMIFS(tbLancamentos[Valor],tbLancamentos[Tipo],"Despesa",tbLancamentos[Conta no mês?],"sim",tbLancamentos[Mês],MONTH($B71),tbLancamentos[Ano],YEAR($B71))</f>
        <v/>
      </c>
      <c r="E71" s="127">
        <f>C71-D71</f>
        <v/>
      </c>
      <c r="F71" s="32">
        <f>SUMPRODUCT((YEAR(tbInvestimentos[Data])=YEAR($B71))*(MONTH(tbInvestimentos[Data])=MONTH($B71))*(tbInvestimentos[Aplicado]&gt;0)*ISERROR(SEARCH("reaplica",tbInvestimentos[Observação]))*ISERROR(SEARCH("correção",tbInvestimentos[Observação]))*tbInvestimentos[Aplicado])</f>
        <v/>
      </c>
      <c r="G71" s="32">
        <f>SUMPRODUCT((YEAR(tbInvestimentos[Data])=YEAR($B71))*(MONTH(tbInvestimentos[Data])=MONTH($B71))*(tbInvestimentos[Aplicado]&lt;0)*(-tbInvestimentos[Aplicado]))</f>
        <v/>
      </c>
      <c r="H71" s="127">
        <f>E71-F71+G71</f>
        <v/>
      </c>
      <c r="I71" s="26">
        <f>IF(C71&gt;0,D71/C71,0)</f>
        <v/>
      </c>
      <c r="J71" s="128" t="n"/>
      <c r="K71" s="4" t="n"/>
      <c r="L71" s="4" t="n"/>
      <c r="M71" s="4" t="n"/>
      <c r="N71" s="4" t="n"/>
      <c r="O71" s="4" t="n"/>
      <c r="P71" s="4" t="n"/>
      <c r="Q71" s="4" t="n"/>
      <c r="R71" s="4" t="n"/>
    </row>
    <row r="72" ht="20" customHeight="1">
      <c r="A72" s="4" t="n"/>
      <c r="B72" s="126" t="n">
        <v>46569</v>
      </c>
      <c r="C72" s="32">
        <f>SUMIFS(tbLancamentos[Valor],tbLancamentos[Tipo],"Receita",tbLancamentos[Conta no mês?],"sim",tbLancamentos[Mês],MONTH($B72),tbLancamentos[Ano],YEAR($B72))</f>
        <v/>
      </c>
      <c r="D72" s="32">
        <f>SUMIFS(tbLancamentos[Valor],tbLancamentos[Tipo],"Despesa",tbLancamentos[Conta no mês?],"sim",tbLancamentos[Mês],MONTH($B72),tbLancamentos[Ano],YEAR($B72))</f>
        <v/>
      </c>
      <c r="E72" s="127">
        <f>C72-D72</f>
        <v/>
      </c>
      <c r="F72" s="32">
        <f>SUMPRODUCT((YEAR(tbInvestimentos[Data])=YEAR($B72))*(MONTH(tbInvestimentos[Data])=MONTH($B72))*(tbInvestimentos[Aplicado]&gt;0)*ISERROR(SEARCH("reaplica",tbInvestimentos[Observação]))*ISERROR(SEARCH("correção",tbInvestimentos[Observação]))*tbInvestimentos[Aplicado])</f>
        <v/>
      </c>
      <c r="G72" s="32">
        <f>SUMPRODUCT((YEAR(tbInvestimentos[Data])=YEAR($B72))*(MONTH(tbInvestimentos[Data])=MONTH($B72))*(tbInvestimentos[Aplicado]&lt;0)*(-tbInvestimentos[Aplicado]))</f>
        <v/>
      </c>
      <c r="H72" s="127">
        <f>E72-F72+G72</f>
        <v/>
      </c>
      <c r="I72" s="26">
        <f>IF(C72&gt;0,D72/C72,0)</f>
        <v/>
      </c>
      <c r="J72" s="128" t="n"/>
      <c r="K72" s="4" t="n"/>
      <c r="L72" s="4" t="n"/>
      <c r="M72" s="4" t="n"/>
      <c r="N72" s="4" t="n"/>
      <c r="O72" s="4" t="n"/>
      <c r="P72" s="4" t="n"/>
      <c r="Q72" s="4" t="n"/>
      <c r="R72" s="4" t="n"/>
    </row>
    <row r="73" ht="20" customHeight="1">
      <c r="A73" s="4" t="n"/>
      <c r="B73" s="126" t="n">
        <v>46600</v>
      </c>
      <c r="C73" s="32">
        <f>SUMIFS(tbLancamentos[Valor],tbLancamentos[Tipo],"Receita",tbLancamentos[Conta no mês?],"sim",tbLancamentos[Mês],MONTH($B73),tbLancamentos[Ano],YEAR($B73))</f>
        <v/>
      </c>
      <c r="D73" s="32">
        <f>SUMIFS(tbLancamentos[Valor],tbLancamentos[Tipo],"Despesa",tbLancamentos[Conta no mês?],"sim",tbLancamentos[Mês],MONTH($B73),tbLancamentos[Ano],YEAR($B73))</f>
        <v/>
      </c>
      <c r="E73" s="127">
        <f>C73-D73</f>
        <v/>
      </c>
      <c r="F73" s="32">
        <f>SUMPRODUCT((YEAR(tbInvestimentos[Data])=YEAR($B73))*(MONTH(tbInvestimentos[Data])=MONTH($B73))*(tbInvestimentos[Aplicado]&gt;0)*ISERROR(SEARCH("reaplica",tbInvestimentos[Observação]))*ISERROR(SEARCH("correção",tbInvestimentos[Observação]))*tbInvestimentos[Aplicado])</f>
        <v/>
      </c>
      <c r="G73" s="32">
        <f>SUMPRODUCT((YEAR(tbInvestimentos[Data])=YEAR($B73))*(MONTH(tbInvestimentos[Data])=MONTH($B73))*(tbInvestimentos[Aplicado]&lt;0)*(-tbInvestimentos[Aplicado]))</f>
        <v/>
      </c>
      <c r="H73" s="127">
        <f>E73-F73+G73</f>
        <v/>
      </c>
      <c r="I73" s="26">
        <f>IF(C73&gt;0,D73/C73,0)</f>
        <v/>
      </c>
      <c r="J73" s="128" t="n"/>
      <c r="K73" s="4" t="n"/>
      <c r="L73" s="4" t="n"/>
      <c r="M73" s="4" t="n"/>
      <c r="N73" s="4" t="n"/>
      <c r="O73" s="4" t="n"/>
      <c r="P73" s="4" t="n"/>
      <c r="Q73" s="4" t="n"/>
      <c r="R73" s="4" t="n"/>
    </row>
    <row r="74" ht="20" customHeight="1">
      <c r="A74" s="4" t="n"/>
      <c r="B74" s="126" t="n">
        <v>46631</v>
      </c>
      <c r="C74" s="32">
        <f>SUMIFS(tbLancamentos[Valor],tbLancamentos[Tipo],"Receita",tbLancamentos[Conta no mês?],"sim",tbLancamentos[Mês],MONTH($B74),tbLancamentos[Ano],YEAR($B74))</f>
        <v/>
      </c>
      <c r="D74" s="32">
        <f>SUMIFS(tbLancamentos[Valor],tbLancamentos[Tipo],"Despesa",tbLancamentos[Conta no mês?],"sim",tbLancamentos[Mês],MONTH($B74),tbLancamentos[Ano],YEAR($B74))</f>
        <v/>
      </c>
      <c r="E74" s="127">
        <f>C74-D74</f>
        <v/>
      </c>
      <c r="F74" s="32">
        <f>SUMPRODUCT((YEAR(tbInvestimentos[Data])=YEAR($B74))*(MONTH(tbInvestimentos[Data])=MONTH($B74))*(tbInvestimentos[Aplicado]&gt;0)*ISERROR(SEARCH("reaplica",tbInvestimentos[Observação]))*ISERROR(SEARCH("correção",tbInvestimentos[Observação]))*tbInvestimentos[Aplicado])</f>
        <v/>
      </c>
      <c r="G74" s="32">
        <f>SUMPRODUCT((YEAR(tbInvestimentos[Data])=YEAR($B74))*(MONTH(tbInvestimentos[Data])=MONTH($B74))*(tbInvestimentos[Aplicado]&lt;0)*(-tbInvestimentos[Aplicado]))</f>
        <v/>
      </c>
      <c r="H74" s="127">
        <f>E74-F74+G74</f>
        <v/>
      </c>
      <c r="I74" s="26">
        <f>IF(C74&gt;0,D74/C74,0)</f>
        <v/>
      </c>
      <c r="J74" s="128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 ht="20" customHeight="1">
      <c r="A75" s="4" t="n"/>
      <c r="B75" s="126" t="n">
        <v>46661</v>
      </c>
      <c r="C75" s="32">
        <f>SUMIFS(tbLancamentos[Valor],tbLancamentos[Tipo],"Receita",tbLancamentos[Conta no mês?],"sim",tbLancamentos[Mês],MONTH($B75),tbLancamentos[Ano],YEAR($B75))</f>
        <v/>
      </c>
      <c r="D75" s="32">
        <f>SUMIFS(tbLancamentos[Valor],tbLancamentos[Tipo],"Despesa",tbLancamentos[Conta no mês?],"sim",tbLancamentos[Mês],MONTH($B75),tbLancamentos[Ano],YEAR($B75))</f>
        <v/>
      </c>
      <c r="E75" s="127">
        <f>C75-D75</f>
        <v/>
      </c>
      <c r="F75" s="32">
        <f>SUMPRODUCT((YEAR(tbInvestimentos[Data])=YEAR($B75))*(MONTH(tbInvestimentos[Data])=MONTH($B75))*(tbInvestimentos[Aplicado]&gt;0)*ISERROR(SEARCH("reaplica",tbInvestimentos[Observação]))*ISERROR(SEARCH("correção",tbInvestimentos[Observação]))*tbInvestimentos[Aplicado])</f>
        <v/>
      </c>
      <c r="G75" s="32">
        <f>SUMPRODUCT((YEAR(tbInvestimentos[Data])=YEAR($B75))*(MONTH(tbInvestimentos[Data])=MONTH($B75))*(tbInvestimentos[Aplicado]&lt;0)*(-tbInvestimentos[Aplicado]))</f>
        <v/>
      </c>
      <c r="H75" s="127">
        <f>E75-F75+G75</f>
        <v/>
      </c>
      <c r="I75" s="26">
        <f>IF(C75&gt;0,D75/C75,0)</f>
        <v/>
      </c>
      <c r="J75" s="128" t="n"/>
      <c r="K75" s="4" t="n"/>
      <c r="L75" s="4" t="n"/>
      <c r="M75" s="4" t="n"/>
      <c r="N75" s="4" t="n"/>
      <c r="O75" s="4" t="n"/>
      <c r="P75" s="4" t="n"/>
      <c r="Q75" s="4" t="n"/>
      <c r="R75" s="4" t="n"/>
    </row>
    <row r="76" ht="20" customHeight="1">
      <c r="A76" s="4" t="n"/>
      <c r="B76" s="126" t="n">
        <v>46692</v>
      </c>
      <c r="C76" s="32">
        <f>SUMIFS(tbLancamentos[Valor],tbLancamentos[Tipo],"Receita",tbLancamentos[Conta no mês?],"sim",tbLancamentos[Mês],MONTH($B76),tbLancamentos[Ano],YEAR($B76))</f>
        <v/>
      </c>
      <c r="D76" s="32">
        <f>SUMIFS(tbLancamentos[Valor],tbLancamentos[Tipo],"Despesa",tbLancamentos[Conta no mês?],"sim",tbLancamentos[Mês],MONTH($B76),tbLancamentos[Ano],YEAR($B76))</f>
        <v/>
      </c>
      <c r="E76" s="127">
        <f>C76-D76</f>
        <v/>
      </c>
      <c r="F76" s="32">
        <f>SUMPRODUCT((YEAR(tbInvestimentos[Data])=YEAR($B76))*(MONTH(tbInvestimentos[Data])=MONTH($B76))*(tbInvestimentos[Aplicado]&gt;0)*ISERROR(SEARCH("reaplica",tbInvestimentos[Observação]))*ISERROR(SEARCH("correção",tbInvestimentos[Observação]))*tbInvestimentos[Aplicado])</f>
        <v/>
      </c>
      <c r="G76" s="32">
        <f>SUMPRODUCT((YEAR(tbInvestimentos[Data])=YEAR($B76))*(MONTH(tbInvestimentos[Data])=MONTH($B76))*(tbInvestimentos[Aplicado]&lt;0)*(-tbInvestimentos[Aplicado]))</f>
        <v/>
      </c>
      <c r="H76" s="127">
        <f>E76-F76+G76</f>
        <v/>
      </c>
      <c r="I76" s="26">
        <f>IF(C76&gt;0,D76/C76,0)</f>
        <v/>
      </c>
      <c r="J76" s="128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 ht="20" customHeight="1">
      <c r="A77" s="4" t="n"/>
      <c r="B77" s="129" t="n">
        <v>46722</v>
      </c>
      <c r="C77" s="130">
        <f>SUMIFS(tbLancamentos[Valor],tbLancamentos[Tipo],"Receita",tbLancamentos[Conta no mês?],"sim",tbLancamentos[Mês],MONTH($B77),tbLancamentos[Ano],YEAR($B77))</f>
        <v/>
      </c>
      <c r="D77" s="130">
        <f>SUMIFS(tbLancamentos[Valor],tbLancamentos[Tipo],"Despesa",tbLancamentos[Conta no mês?],"sim",tbLancamentos[Mês],MONTH($B77),tbLancamentos[Ano],YEAR($B77))</f>
        <v/>
      </c>
      <c r="E77" s="131">
        <f>C77-D77</f>
        <v/>
      </c>
      <c r="F77" s="130">
        <f>SUMPRODUCT((YEAR(tbInvestimentos[Data])=YEAR($B77))*(MONTH(tbInvestimentos[Data])=MONTH($B77))*(tbInvestimentos[Aplicado]&gt;0)*ISERROR(SEARCH("reaplica",tbInvestimentos[Observação]))*ISERROR(SEARCH("correção",tbInvestimentos[Observação]))*tbInvestimentos[Aplicado])</f>
        <v/>
      </c>
      <c r="G77" s="130">
        <f>SUMPRODUCT((YEAR(tbInvestimentos[Data])=YEAR($B77))*(MONTH(tbInvestimentos[Data])=MONTH($B77))*(tbInvestimentos[Aplicado]&lt;0)*(-tbInvestimentos[Aplicado]))</f>
        <v/>
      </c>
      <c r="H77" s="131">
        <f>E77-F77+G77</f>
        <v/>
      </c>
      <c r="I77" s="132">
        <f>IF(C77&gt;0,D77/C77,0)</f>
        <v/>
      </c>
      <c r="J77" s="133" t="n"/>
      <c r="K77" s="4" t="n"/>
      <c r="L77" s="4" t="n"/>
      <c r="M77" s="4" t="n"/>
      <c r="N77" s="4" t="n"/>
      <c r="O77" s="4" t="n"/>
      <c r="P77" s="4" t="n"/>
      <c r="Q77" s="4" t="n"/>
      <c r="R77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77">
    <cfRule type="expression" priority="8" dxfId="7">
      <formula>E57&lt;0</formula>
    </cfRule>
    <cfRule type="expression" priority="9" dxfId="5">
      <formula>E57&gt;0</formula>
    </cfRule>
  </conditionalFormatting>
  <conditionalFormatting sqref="H57:H77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77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1" t="inlineStr">
        <is>
          <t>Categorizar</t>
        </is>
      </c>
      <c r="C2" s="1" t="n"/>
      <c r="D2" s="1" t="n"/>
      <c r="E2" s="1" t="n"/>
      <c r="F2" s="1" t="n"/>
      <c r="G2" s="1" t="n"/>
      <c r="H2" s="45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34" t="inlineStr">
        <is>
          <t>COMO FUNCIONA</t>
        </is>
      </c>
      <c r="K4" s="4" t="n"/>
      <c r="L4" s="4" t="n"/>
    </row>
    <row r="5" ht="34" customHeight="1">
      <c r="A5" s="4" t="n"/>
      <c r="B5" s="135" t="inlineStr">
        <is>
          <t>FALTAM RESPONDER</t>
        </is>
      </c>
      <c r="C5" s="136" t="n"/>
      <c r="D5" s="4" t="n"/>
      <c r="E5" s="137" t="inlineStr">
        <is>
          <t>RESPONDIDAS</t>
        </is>
      </c>
      <c r="F5" s="138" t="n"/>
      <c r="G5" s="4" t="n"/>
      <c r="H5" s="139" t="inlineStr">
        <is>
          <t>LANÇAMENTOS AFETADOS</t>
        </is>
      </c>
      <c r="I5" s="4" t="n"/>
      <c r="J5" s="140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41">
        <f>COUNTIFS(tbRevisaoCat[Descrição],"&lt;&gt;",tbRevisaoCat[Categoria certa],"")</f>
        <v/>
      </c>
      <c r="C6" s="4" t="n"/>
      <c r="D6" s="4" t="n"/>
      <c r="E6" s="142">
        <f>COUNTIFS(tbRevisaoCat[Descrição],"&lt;&gt;",tbRevisaoCat[Categoria certa],"&lt;&gt;")</f>
        <v/>
      </c>
      <c r="F6" s="4" t="n"/>
      <c r="G6" s="4" t="n"/>
      <c r="H6" s="143">
        <f>SUM(tbRevisaoCat[Vezes])</f>
        <v/>
      </c>
      <c r="I6" s="4" t="n"/>
      <c r="J6" s="140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40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40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44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78" t="n"/>
      <c r="E10" s="21" t="n"/>
      <c r="F10" s="22" t="n"/>
      <c r="G10" s="23" t="n"/>
      <c r="H10" s="23" t="n"/>
      <c r="I10" s="145" t="n"/>
      <c r="J10" s="146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7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1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78" t="inlineStr">
        <is>
          <t>sim</t>
        </is>
      </c>
      <c r="K6" s="78" t="n"/>
      <c r="L6" s="20">
        <f>COUNTIF(tbLancamentos[Descrição],tbAtalhos[[#This Row],[Descrição]])</f>
        <v/>
      </c>
      <c r="M6" s="147">
        <f>IFERROR(INDEX(tbLancamentos[Valor],MATCH(tbAtalhos[[#This Row],[Descrição]],tbLancamentos[Descrição],0)),"")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78" t="inlineStr">
        <is>
          <t>sim</t>
        </is>
      </c>
      <c r="K7" s="78" t="n"/>
      <c r="L7" s="20">
        <f>COUNTIF(tbLancamentos[Descrição],tbAtalhos[[#This Row],[Descrição]])</f>
        <v/>
      </c>
      <c r="M7" s="147">
        <f>IFERROR(INDEX(tbLancamentos[Valor],MATCH(tbAtalhos[[#This Row],[Descrição]],tbLancamentos[Descrição],0)),"")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78" t="inlineStr">
        <is>
          <t>sim</t>
        </is>
      </c>
      <c r="K8" s="78" t="n"/>
      <c r="L8" s="20">
        <f>COUNTIF(tbLancamentos[Descrição],tbAtalhos[[#This Row],[Descrição]])</f>
        <v/>
      </c>
      <c r="M8" s="147">
        <f>IFERROR(INDEX(tbLancamentos[Valor],MATCH(tbAtalhos[[#This Row],[Descrição]],tbLancamentos[Descrição],0)),"")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78" t="inlineStr">
        <is>
          <t>sim</t>
        </is>
      </c>
      <c r="K9" s="78" t="n"/>
      <c r="L9" s="20">
        <f>COUNTIF(tbLancamentos[Descrição],tbAtalhos[[#This Row],[Descrição]])</f>
        <v/>
      </c>
      <c r="M9" s="147">
        <f>IFERROR(INDEX(tbLancamentos[Valor],MATCH(tbAtalhos[[#This Row],[Descrição]],tbLancamentos[Descrição],0)),"")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78" t="inlineStr">
        <is>
          <t>sim</t>
        </is>
      </c>
      <c r="K10" s="78" t="n"/>
      <c r="L10" s="20">
        <f>COUNTIF(tbLancamentos[Descrição],tbAtalhos[[#This Row],[Descrição]])</f>
        <v/>
      </c>
      <c r="M10" s="147">
        <f>IFERROR(INDEX(tbLancamentos[Valor],MATCH(tbAtalhos[[#This Row],[Descrição]],tbLancamentos[Descrição],0)),"")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78" t="inlineStr">
        <is>
          <t>sim</t>
        </is>
      </c>
      <c r="K11" s="78" t="n"/>
      <c r="L11" s="20">
        <f>COUNTIF(tbLancamentos[Descrição],tbAtalhos[[#This Row],[Descrição]])</f>
        <v/>
      </c>
      <c r="M11" s="147">
        <f>IFERROR(INDEX(tbLancamentos[Valor],MATCH(tbAtalhos[[#This Row],[Descrição]],tbLancamentos[Descrição],0)),"")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78" t="inlineStr">
        <is>
          <t>sim</t>
        </is>
      </c>
      <c r="K12" s="78" t="n"/>
      <c r="L12" s="20">
        <f>COUNTIF(tbLancamentos[Descrição],tbAtalhos[[#This Row],[Descrição]])</f>
        <v/>
      </c>
      <c r="M12" s="147">
        <f>IFERROR(INDEX(tbLancamentos[Valor],MATCH(tbAtalhos[[#This Row],[Descrição]],tbLancamentos[Descrição],0)),"")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78" t="inlineStr">
        <is>
          <t>sim</t>
        </is>
      </c>
      <c r="K13" s="78" t="n"/>
      <c r="L13" s="20">
        <f>COUNTIF(tbLancamentos[Descrição],tbAtalhos[[#This Row],[Descrição]])</f>
        <v/>
      </c>
      <c r="M13" s="147">
        <f>IFERROR(INDEX(tbLancamentos[Valor],MATCH(tbAtalhos[[#This Row],[Descrição]],tbLancamentos[Descrição],0)),"")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78" t="inlineStr">
        <is>
          <t>sim</t>
        </is>
      </c>
      <c r="K14" s="78" t="n"/>
      <c r="L14" s="20">
        <f>COUNTIF(tbLancamentos[Descrição],tbAtalhos[[#This Row],[Descrição]])</f>
        <v/>
      </c>
      <c r="M14" s="147">
        <f>IFERROR(INDEX(tbLancamentos[Valor],MATCH(tbAtalhos[[#This Row],[Descrição]],tbLancamentos[Descrição],0)),"")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78" t="inlineStr">
        <is>
          <t>sim</t>
        </is>
      </c>
      <c r="K15" s="78" t="n"/>
      <c r="L15" s="20">
        <f>COUNTIF(tbLancamentos[Descrição],tbAtalhos[[#This Row],[Descrição]])</f>
        <v/>
      </c>
      <c r="M15" s="147">
        <f>IFERROR(INDEX(tbLancamentos[Valor],MATCH(tbAtalhos[[#This Row],[Descrição]],tbLancamentos[Descrição],0)),"")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82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82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82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82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82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82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82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82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82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82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82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82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82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82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82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82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82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82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82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82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82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82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82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82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82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82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82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82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82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82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82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82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82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82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82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82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82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82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82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82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82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82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82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82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82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82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82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82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82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82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82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82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82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82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82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82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82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82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82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82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82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82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82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82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82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82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82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82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82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82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82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82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82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82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82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82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82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82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82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82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82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82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82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82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82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82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82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82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82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82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82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82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82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82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82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82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82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82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82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82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82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82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82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82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82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82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82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82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82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82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82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82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82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82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82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82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82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82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82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82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82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82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82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82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82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82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82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82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82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82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82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82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82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82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82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82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82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82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82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82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82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82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82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82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82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82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82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82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82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82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82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82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82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82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82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82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82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82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82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82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82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82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82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82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82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82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82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82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82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82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82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82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82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82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82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82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82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82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82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82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82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82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82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82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82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82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82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82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82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82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82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82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82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82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82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82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82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82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82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82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82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82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82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82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82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82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82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82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82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82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82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82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82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82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82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82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82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82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82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82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82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82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82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82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82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82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82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82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82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82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82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82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82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82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82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82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82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82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82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82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82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82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82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82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82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82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82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82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82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82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82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82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82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82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82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82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82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82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82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82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82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82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82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82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82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82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82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82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82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82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82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82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82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82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82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82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82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82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82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82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82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82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82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82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82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82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82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82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82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82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82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82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82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82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82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82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82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82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82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82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82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82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82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82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82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82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82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82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82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82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82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82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82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82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82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82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82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82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82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82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82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82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82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82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82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82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82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82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82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82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82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82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82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82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82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82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82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82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82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82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82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82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82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82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82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82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82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82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82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82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82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82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82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82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82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82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82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82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82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82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82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82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82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82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82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82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82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82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82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82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82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82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82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82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82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82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82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82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82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82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82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82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82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82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82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82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82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82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82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82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82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82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82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82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82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82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82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82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82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82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82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82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82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82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82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82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82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82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82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82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82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82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82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82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82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82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82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82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82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82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82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82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82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82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82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82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82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82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82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82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82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82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82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82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82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82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82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82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82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82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82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82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82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82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82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82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82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82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82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82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82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82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82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82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82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82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82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82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82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82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82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82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82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82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82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82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82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82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82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82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82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82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82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82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82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82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82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82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82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82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82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82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82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82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82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82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82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82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82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82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82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82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82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82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82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82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82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82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82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1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3" t="inlineStr">
        <is>
          <t>RECEITAS</t>
        </is>
      </c>
      <c r="C4" s="4" t="n"/>
      <c r="D4" s="53" t="inlineStr">
        <is>
          <t>GASTOS</t>
        </is>
      </c>
      <c r="E4" s="4" t="n"/>
      <c r="F4" s="4" t="n"/>
      <c r="G4" s="4" t="n"/>
      <c r="H4" s="53" t="inlineStr">
        <is>
          <t>INVESTIMENTOS / OUTRAS</t>
        </is>
      </c>
      <c r="I4" s="4" t="n"/>
      <c r="J4" s="53" t="inlineStr">
        <is>
          <t>POTES</t>
        </is>
      </c>
      <c r="K4" s="4" t="n"/>
      <c r="L4" s="53" t="inlineStr">
        <is>
          <t>FAMÍLIA (QUEM)</t>
        </is>
      </c>
      <c r="M4" s="4" t="n"/>
      <c r="N4" s="53" t="inlineStr">
        <is>
          <t>DESCONTAR DE</t>
        </is>
      </c>
      <c r="O4" s="4" t="n"/>
      <c r="P4" s="53" t="inlineStr">
        <is>
          <t>CONTAS / BANCOS</t>
        </is>
      </c>
      <c r="Q4" s="4" t="n"/>
      <c r="R4" s="4" t="n"/>
      <c r="S4" s="4" t="n"/>
      <c r="T4" s="53" t="inlineStr">
        <is>
          <t>CARTÕES</t>
        </is>
      </c>
      <c r="U4" s="4" t="n"/>
      <c r="V4" s="4" t="n"/>
      <c r="W4" s="4" t="n"/>
      <c r="X4" s="4" t="n"/>
      <c r="Y4" s="4" t="n"/>
      <c r="Z4" s="53" t="inlineStr">
        <is>
          <t>FORMAS DE PAGAMENTO</t>
        </is>
      </c>
      <c r="AA4" s="4" t="n"/>
      <c r="AB4" s="53" t="inlineStr">
        <is>
          <t>TIPOS</t>
        </is>
      </c>
      <c r="AC4" s="4" t="n"/>
      <c r="AD4" s="53" t="inlineStr">
        <is>
          <t>SITUAÇÕES</t>
        </is>
      </c>
      <c r="AE4" s="4" t="n"/>
      <c r="AF4" s="53" t="inlineStr">
        <is>
          <t>MESES</t>
        </is>
      </c>
      <c r="AG4" s="4" t="n"/>
      <c r="AH4" s="4" t="n"/>
      <c r="AI4" s="4" t="n"/>
      <c r="AJ4" s="53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48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48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1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49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50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50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50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50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50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50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50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50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50">
        <f>DATE(B3,B2,1)</f>
        <v/>
      </c>
      <c r="D4" s="150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50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50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50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50">
        <f>DATE(B3,B2-1,1)</f>
        <v/>
      </c>
      <c r="D5" s="150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50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50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50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50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50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50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50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50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50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50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50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50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50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50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50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50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50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50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51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51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51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51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52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52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52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51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52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52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52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51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52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52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52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52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52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52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2026-09-30T02:22:28Z</dcterms:created>
  <dcterms:modified xmlns:dcterms="http://purl.org/dc/terms/" xmlns:xsi="http://www.w3.org/2001/XMLSchema-instance" xsi:type="dcterms:W3CDTF">2026-09-30T02:22:29Z</dcterms:modified>
</cp:coreProperties>
</file>